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435" windowWidth="23880" windowHeight="9180" tabRatio="610"/>
  </bookViews>
  <sheets>
    <sheet name="Feuil1" sheetId="5" r:id="rId1"/>
    <sheet name="Feuil4" sheetId="6" r:id="rId2"/>
    <sheet name="Feuil5" sheetId="7" r:id="rId3"/>
  </sheets>
  <definedNames>
    <definedName name="acc2_">Feuil1!$L$6</definedName>
    <definedName name="alpha">Feuil1!$L$2</definedName>
    <definedName name="am">Feuil1!$H$3</definedName>
    <definedName name="am_1">Feuil1!$P$3</definedName>
    <definedName name="am_10">Feuil1!$JZ$36</definedName>
    <definedName name="am_11">Feuil1!$JZ$37</definedName>
    <definedName name="am_12">Feuil1!$JZ$38</definedName>
    <definedName name="am_13">Feuil1!$JZ$39</definedName>
    <definedName name="am_14">Feuil1!$JZ$40</definedName>
    <definedName name="am_15">Feuil1!$JZ$41</definedName>
    <definedName name="am_16">Feuil1!$JZ$42</definedName>
    <definedName name="am_17">Feuil1!$JZ$43</definedName>
    <definedName name="am_18">Feuil1!$JZ$44</definedName>
    <definedName name="am_19">Feuil1!$JZ$45</definedName>
    <definedName name="am_2">Feuil1!$P$4</definedName>
    <definedName name="am_20">Feuil1!$JZ$46</definedName>
    <definedName name="am_21">Feuil1!$JZ$47</definedName>
    <definedName name="am_3">Feuil1!$P$5</definedName>
    <definedName name="am_4">Feuil1!$P$6</definedName>
    <definedName name="am_5">Feuil1!$P$7</definedName>
    <definedName name="am_6">Feuil1!$P$8</definedName>
    <definedName name="am_7">Feuil1!$P$10</definedName>
    <definedName name="am_8">Feuil1!$P$11</definedName>
    <definedName name="am_9">Feuil1!$JZ$35</definedName>
    <definedName name="am_n_1">Feuil1!$KC$28</definedName>
    <definedName name="am_n_10">Feuil1!$KC$37</definedName>
    <definedName name="am_n_11">Feuil1!$KC$38</definedName>
    <definedName name="am_n_12">Feuil1!$KC$39</definedName>
    <definedName name="am_n_13">Feuil1!$KC$40</definedName>
    <definedName name="am_n_14">Feuil1!$KC$41</definedName>
    <definedName name="am_n_15">Feuil1!$KC$42</definedName>
    <definedName name="am_n_16">Feuil1!$KC$43</definedName>
    <definedName name="am_n_17">Feuil1!$KC$44</definedName>
    <definedName name="am_n_18">Feuil1!$KC$45</definedName>
    <definedName name="am_n_19">Feuil1!$KC$46</definedName>
    <definedName name="am_n_2">Feuil1!$KC$29</definedName>
    <definedName name="am_n_2_1">Feuil1!$KD$28</definedName>
    <definedName name="am_n_2_10">Feuil1!$KD$37</definedName>
    <definedName name="am_n_2_11">Feuil1!$KD$38</definedName>
    <definedName name="am_n_2_12">Feuil1!$KD$39</definedName>
    <definedName name="am_n_2_13">Feuil1!$KD$40</definedName>
    <definedName name="am_n_2_14">Feuil1!$KD$41</definedName>
    <definedName name="am_n_2_15">Feuil1!$KD$42</definedName>
    <definedName name="am_n_2_16">Feuil1!$KD$43</definedName>
    <definedName name="am_n_2_17">Feuil1!$KD$44</definedName>
    <definedName name="am_n_2_18">Feuil1!$KD$45</definedName>
    <definedName name="am_n_2_19">Feuil1!$KD$46</definedName>
    <definedName name="am_n_2_2">Feuil1!$KD$29</definedName>
    <definedName name="am_n_2_20">Feuil1!$KD$47</definedName>
    <definedName name="am_n_2_3">Feuil1!$KD$30</definedName>
    <definedName name="am_n_2_4">Feuil1!$KD$31</definedName>
    <definedName name="am_n_2_5">Feuil1!$KD$32</definedName>
    <definedName name="am_n_2_6">Feuil1!$KD$33</definedName>
    <definedName name="am_n_2_7">Feuil1!$KD$34</definedName>
    <definedName name="am_n_2_8">Feuil1!$KD$35</definedName>
    <definedName name="am_n_2_9">Feuil1!$KD$36</definedName>
    <definedName name="am_n_20">Feuil1!$KC$47</definedName>
    <definedName name="am_n_3">Feuil1!$KC$30</definedName>
    <definedName name="am_n_4">Feuil1!$KC$31</definedName>
    <definedName name="am_n_5">Feuil1!$KC$32</definedName>
    <definedName name="am_n_6">Feuil1!$KC$33</definedName>
    <definedName name="am_n_7">Feuil1!$KC$34</definedName>
    <definedName name="am_n_8">Feuil1!$KC$35</definedName>
    <definedName name="am_n_9">Feuil1!$KC$36</definedName>
    <definedName name="amn_1">Feuil1!$O$3</definedName>
    <definedName name="amn_10">Feuil1!$JY$36</definedName>
    <definedName name="amn_11">Feuil1!$JY$37</definedName>
    <definedName name="amn_12">Feuil1!$JY$38</definedName>
    <definedName name="amn_13">Feuil1!$JY$39</definedName>
    <definedName name="amn_14">Feuil1!$JY$40</definedName>
    <definedName name="amn_15">Feuil1!$JY$41</definedName>
    <definedName name="amn_16">Feuil1!$JY$42</definedName>
    <definedName name="amn_17">Feuil1!$JY$43</definedName>
    <definedName name="amn_18">Feuil1!$JY$44</definedName>
    <definedName name="amn_19">Feuil1!$JY$45</definedName>
    <definedName name="amn_2">Feuil1!$O$4</definedName>
    <definedName name="amn_20">Feuil1!$JY$46</definedName>
    <definedName name="amn_21">Feuil1!$JY$47</definedName>
    <definedName name="amn_3">Feuil1!$O$5</definedName>
    <definedName name="amn_4">Feuil1!$O$6</definedName>
    <definedName name="amn_5">Feuil1!$O$7</definedName>
    <definedName name="amn_6">Feuil1!$O$8</definedName>
    <definedName name="amn_7">Feuil1!$O$10</definedName>
    <definedName name="amn_8">Feuil1!$O$11</definedName>
    <definedName name="amn_9">Feuil1!$JY$35</definedName>
    <definedName name="dateeffet">Feuil1!$B$4</definedName>
    <definedName name="datenaissance">Feuil5!$D$15</definedName>
    <definedName name="Différé">Feuil5!$I$13</definedName>
    <definedName name="f">#REF!</definedName>
    <definedName name="fg">Feuil5!$H$14</definedName>
    <definedName name="frac">Feuil1!$J$4</definedName>
    <definedName name="fractionnelentrente">Feuil1!$H$11</definedName>
    <definedName name="Frais_sur_versement">Feuil1!$L$1</definedName>
    <definedName name="fraisacquisition">Feuil5!$K$15</definedName>
    <definedName name="FraisF">Feuil5!$D$12</definedName>
    <definedName name="FraisV">Feuil5!$D$13</definedName>
    <definedName name="g">#REF!</definedName>
    <definedName name="gg">Feuil1!$H$6</definedName>
    <definedName name="gp">#REF!</definedName>
    <definedName name="gpp">Feuil1!$H$1</definedName>
    <definedName name="gr">#REF!</definedName>
    <definedName name="grr">Feuil1!$H$2</definedName>
    <definedName name="i">Feuil1!$J$1</definedName>
    <definedName name="i_2">#REF!</definedName>
    <definedName name="k">Feuil1!$J$5</definedName>
    <definedName name="m">Feuil1!$B$6</definedName>
    <definedName name="majoration">Feuil1!$H$9</definedName>
    <definedName name="montantcapital">Feuil5!$D$5</definedName>
    <definedName name="MtEch">Feuil5!$I$6</definedName>
    <definedName name="MtEmprunt">Feuil5!$D$5</definedName>
    <definedName name="n">Feuil1!$B$5</definedName>
    <definedName name="NbDeci">2</definedName>
    <definedName name="NbEch">Feuil5!$I$11</definedName>
    <definedName name="NbEchAn">Feuil5!$I$10</definedName>
    <definedName name="P">Feuil1!$F$9</definedName>
    <definedName name="period">Feuil1!$F$9</definedName>
    <definedName name="Periodicité">Feuil1!$H$10</definedName>
    <definedName name="Periodicitérente">Feuil1!$H$10</definedName>
    <definedName name="prcred">Feuil1!$J$9</definedName>
    <definedName name="primecommercialeannuelle">Feuil1!$F$10</definedName>
    <definedName name="Px">#REF!</definedName>
    <definedName name="rd">Feuil1!$B$15</definedName>
    <definedName name="rd_2">Feuil1!$J$9</definedName>
    <definedName name="rv">Feuil1!$B$12</definedName>
    <definedName name="t">#REF!</definedName>
    <definedName name="t_2">Feuil5!$D$16</definedName>
    <definedName name="tf">Feuil5!$H$13</definedName>
    <definedName name="txpen_rachat">Feuil1!$J$8</definedName>
    <definedName name="TxPer">Feuil5!$I$8</definedName>
    <definedName name="u">Feuil1!$H$9</definedName>
    <definedName name="v">Feuil1!$J$2</definedName>
    <definedName name="Veillissement">Feuil1!$L$3</definedName>
    <definedName name="x">Feuil1!$C$3</definedName>
  </definedNames>
  <calcPr calcId="144525" calcMode="autoNoTable" iterate="1" iterateCount="200"/>
</workbook>
</file>

<file path=xl/calcChain.xml><?xml version="1.0" encoding="utf-8"?>
<calcChain xmlns="http://schemas.openxmlformats.org/spreadsheetml/2006/main">
  <c r="H5" i="5" l="1"/>
  <c r="H4" i="5"/>
  <c r="H3" i="5"/>
  <c r="B15" i="5"/>
  <c r="E23" i="5" l="1"/>
  <c r="JW134" i="5" l="1"/>
  <c r="JW135" i="5"/>
  <c r="JW136" i="5"/>
  <c r="JW137" i="5"/>
  <c r="JW138" i="5"/>
  <c r="JJ134" i="5"/>
  <c r="JJ135" i="5"/>
  <c r="JJ136" i="5"/>
  <c r="JJ137" i="5"/>
  <c r="JJ138" i="5"/>
  <c r="JI134" i="5"/>
  <c r="JI135" i="5"/>
  <c r="JI136" i="5"/>
  <c r="JI137" i="5"/>
  <c r="JI138" i="5"/>
  <c r="J4" i="5" l="1"/>
  <c r="F9" i="5"/>
  <c r="L6" i="5" l="1"/>
  <c r="J7" i="5"/>
  <c r="AO131" i="5" l="1"/>
  <c r="AO132" i="5"/>
  <c r="AO133" i="5"/>
  <c r="AN132" i="5"/>
  <c r="AN133" i="5"/>
  <c r="HO134" i="5" l="1"/>
  <c r="HO135" i="5"/>
  <c r="HO136" i="5"/>
  <c r="HO137" i="5"/>
  <c r="HO138" i="5"/>
  <c r="HN134" i="5"/>
  <c r="HN135" i="5"/>
  <c r="HN136" i="5"/>
  <c r="HN137" i="5"/>
  <c r="HN138" i="5"/>
  <c r="HM134" i="5"/>
  <c r="HM135" i="5"/>
  <c r="HM136" i="5"/>
  <c r="HM137" i="5"/>
  <c r="HM138" i="5"/>
  <c r="HL134" i="5"/>
  <c r="HL135" i="5"/>
  <c r="HL136" i="5"/>
  <c r="HL137" i="5"/>
  <c r="HL138" i="5"/>
  <c r="HK134" i="5"/>
  <c r="HK135" i="5"/>
  <c r="HK136" i="5"/>
  <c r="HK137" i="5"/>
  <c r="HK138" i="5"/>
  <c r="HJ134" i="5"/>
  <c r="HJ135" i="5"/>
  <c r="HJ136" i="5"/>
  <c r="HJ137" i="5"/>
  <c r="HJ138" i="5"/>
  <c r="HI134" i="5"/>
  <c r="HI135" i="5"/>
  <c r="HI136" i="5"/>
  <c r="HI137" i="5"/>
  <c r="HI138" i="5"/>
  <c r="HH134" i="5"/>
  <c r="HH135" i="5"/>
  <c r="HH136" i="5"/>
  <c r="HH137" i="5"/>
  <c r="HH138" i="5"/>
  <c r="HG134" i="5"/>
  <c r="HG135" i="5"/>
  <c r="HG136" i="5"/>
  <c r="HG137" i="5"/>
  <c r="HG138" i="5"/>
  <c r="HF134" i="5"/>
  <c r="HF135" i="5"/>
  <c r="HF136" i="5"/>
  <c r="HF137" i="5"/>
  <c r="HF138" i="5"/>
  <c r="HE134" i="5"/>
  <c r="HE135" i="5"/>
  <c r="HE136" i="5"/>
  <c r="HE137" i="5"/>
  <c r="HE138" i="5"/>
  <c r="HD134" i="5"/>
  <c r="HD135" i="5"/>
  <c r="HD136" i="5"/>
  <c r="HD137" i="5"/>
  <c r="HD138" i="5"/>
  <c r="HC134" i="5"/>
  <c r="HC135" i="5"/>
  <c r="HC136" i="5"/>
  <c r="HC137" i="5"/>
  <c r="HC138" i="5"/>
  <c r="B5" i="5" l="1"/>
  <c r="G23" i="5" l="1"/>
  <c r="F23" i="5"/>
  <c r="O21" i="5"/>
  <c r="O20" i="5"/>
  <c r="O19" i="5"/>
  <c r="O18" i="5"/>
  <c r="O17" i="5"/>
  <c r="O16" i="5"/>
  <c r="O15" i="5"/>
  <c r="O14" i="5"/>
  <c r="O13" i="5"/>
  <c r="O12" i="5"/>
  <c r="O11" i="5"/>
  <c r="O10" i="5"/>
  <c r="O9" i="5"/>
  <c r="O8" i="5"/>
  <c r="O7" i="5"/>
  <c r="O6" i="5"/>
  <c r="O5" i="5"/>
  <c r="O4" i="5"/>
  <c r="O3" i="5"/>
  <c r="O2" i="5"/>
  <c r="KF47" i="5"/>
  <c r="Q21" i="5" s="1"/>
  <c r="KF46" i="5"/>
  <c r="Q20" i="5" s="1"/>
  <c r="KE45" i="5"/>
  <c r="P19" i="5" s="1"/>
  <c r="KF44" i="5"/>
  <c r="Q18" i="5" s="1"/>
  <c r="KF43" i="5"/>
  <c r="Q17" i="5" s="1"/>
  <c r="KF42" i="5"/>
  <c r="Q16" i="5" s="1"/>
  <c r="N21" i="5"/>
  <c r="N19" i="5"/>
  <c r="N17" i="5"/>
  <c r="N15" i="5"/>
  <c r="N13" i="5"/>
  <c r="N11" i="5"/>
  <c r="N9" i="5"/>
  <c r="N7" i="5"/>
  <c r="N5" i="5"/>
  <c r="N3" i="5"/>
  <c r="KE47" i="5"/>
  <c r="P21" i="5" s="1"/>
  <c r="KF45" i="5"/>
  <c r="Q19" i="5" s="1"/>
  <c r="KE43" i="5"/>
  <c r="P17" i="5" s="1"/>
  <c r="N20" i="5"/>
  <c r="N18" i="5"/>
  <c r="N16" i="5"/>
  <c r="N14" i="5"/>
  <c r="N12" i="5"/>
  <c r="N10" i="5"/>
  <c r="N8" i="5"/>
  <c r="N6" i="5"/>
  <c r="N4" i="5"/>
  <c r="N2" i="5"/>
  <c r="KE46" i="5"/>
  <c r="P20" i="5" s="1"/>
  <c r="KE44" i="5"/>
  <c r="P18" i="5" s="1"/>
  <c r="KE42" i="5"/>
  <c r="P16" i="5" s="1"/>
  <c r="KC28" i="5"/>
  <c r="GT134" i="5"/>
  <c r="GT135" i="5"/>
  <c r="GT136" i="5"/>
  <c r="GT137" i="5"/>
  <c r="GT138" i="5"/>
  <c r="GS134" i="5"/>
  <c r="GS135" i="5"/>
  <c r="GS136" i="5"/>
  <c r="GS137" i="5"/>
  <c r="GS138" i="5"/>
  <c r="GR134" i="5"/>
  <c r="GR135" i="5"/>
  <c r="GR136" i="5"/>
  <c r="GR137" i="5"/>
  <c r="GR138" i="5"/>
  <c r="GQ134" i="5"/>
  <c r="GQ135" i="5"/>
  <c r="GQ136" i="5"/>
  <c r="GQ137" i="5"/>
  <c r="GQ138" i="5"/>
  <c r="GP134" i="5"/>
  <c r="GP135" i="5"/>
  <c r="GP136" i="5"/>
  <c r="GP137" i="5"/>
  <c r="GP138" i="5"/>
  <c r="GO134" i="5"/>
  <c r="GO135" i="5"/>
  <c r="GO136" i="5"/>
  <c r="GO137" i="5"/>
  <c r="GO138" i="5"/>
  <c r="GN134" i="5"/>
  <c r="GN135" i="5"/>
  <c r="GN136" i="5"/>
  <c r="GN137" i="5"/>
  <c r="GN138" i="5"/>
  <c r="GM134" i="5"/>
  <c r="GM135" i="5"/>
  <c r="GM136" i="5"/>
  <c r="GM137" i="5"/>
  <c r="GM138" i="5"/>
  <c r="GL134" i="5"/>
  <c r="GL135" i="5"/>
  <c r="GL136" i="5"/>
  <c r="GL137" i="5"/>
  <c r="GL138" i="5"/>
  <c r="GK134" i="5"/>
  <c r="GK135" i="5"/>
  <c r="GK136" i="5"/>
  <c r="GK137" i="5"/>
  <c r="GK138" i="5"/>
  <c r="GJ134" i="5"/>
  <c r="GJ135" i="5"/>
  <c r="GJ136" i="5"/>
  <c r="GJ137" i="5"/>
  <c r="GJ138" i="5"/>
  <c r="GI134" i="5"/>
  <c r="GI135" i="5"/>
  <c r="GI136" i="5"/>
  <c r="GI137" i="5"/>
  <c r="GI138" i="5"/>
  <c r="GH134" i="5"/>
  <c r="GH135" i="5"/>
  <c r="GH136" i="5"/>
  <c r="GH137" i="5"/>
  <c r="GH138" i="5"/>
  <c r="FW133" i="5"/>
  <c r="FW134" i="5"/>
  <c r="FW135" i="5"/>
  <c r="FW136" i="5"/>
  <c r="FW137" i="5"/>
  <c r="FW138" i="5"/>
  <c r="FV133" i="5"/>
  <c r="FV134" i="5"/>
  <c r="FV135" i="5"/>
  <c r="FV136" i="5"/>
  <c r="FV137" i="5"/>
  <c r="FV138" i="5"/>
  <c r="FU133" i="5"/>
  <c r="FU134" i="5"/>
  <c r="FU135" i="5"/>
  <c r="FU136" i="5"/>
  <c r="FU137" i="5"/>
  <c r="FU138" i="5"/>
  <c r="FT133" i="5"/>
  <c r="FT134" i="5"/>
  <c r="FT135" i="5"/>
  <c r="FT136" i="5"/>
  <c r="FT137" i="5"/>
  <c r="FT138" i="5"/>
  <c r="FS133" i="5"/>
  <c r="FS134" i="5"/>
  <c r="FS135" i="5"/>
  <c r="FS136" i="5"/>
  <c r="FS137" i="5"/>
  <c r="FS138" i="5"/>
  <c r="FR133" i="5"/>
  <c r="FR134" i="5"/>
  <c r="FR135" i="5"/>
  <c r="FR136" i="5"/>
  <c r="FR137" i="5"/>
  <c r="FR138" i="5"/>
  <c r="FQ133" i="5"/>
  <c r="FQ134" i="5"/>
  <c r="FQ135" i="5"/>
  <c r="FQ136" i="5"/>
  <c r="FQ137" i="5"/>
  <c r="FQ138" i="5"/>
  <c r="FP133" i="5"/>
  <c r="FP134" i="5"/>
  <c r="FP135" i="5"/>
  <c r="FP136" i="5"/>
  <c r="FP137" i="5"/>
  <c r="FP138" i="5"/>
  <c r="FO133" i="5"/>
  <c r="FO134" i="5"/>
  <c r="FO135" i="5"/>
  <c r="FO136" i="5"/>
  <c r="FO137" i="5"/>
  <c r="FO138" i="5"/>
  <c r="FN133" i="5"/>
  <c r="FN134" i="5"/>
  <c r="FN135" i="5"/>
  <c r="FN136" i="5"/>
  <c r="FN137" i="5"/>
  <c r="FN138" i="5"/>
  <c r="FM133" i="5"/>
  <c r="FM134" i="5"/>
  <c r="FM135" i="5"/>
  <c r="FM136" i="5"/>
  <c r="FM137" i="5"/>
  <c r="FM138" i="5"/>
  <c r="CW134" i="5"/>
  <c r="CW135" i="5"/>
  <c r="CW136" i="5"/>
  <c r="CW137" i="5"/>
  <c r="CW138" i="5"/>
  <c r="CV134" i="5"/>
  <c r="CV135" i="5"/>
  <c r="CV136" i="5"/>
  <c r="CV137" i="5"/>
  <c r="CV138" i="5"/>
  <c r="CU134" i="5"/>
  <c r="CU135" i="5"/>
  <c r="CU136" i="5"/>
  <c r="CU137" i="5"/>
  <c r="CU138" i="5"/>
  <c r="CT134" i="5"/>
  <c r="CT135" i="5"/>
  <c r="CT136" i="5"/>
  <c r="CT137" i="5"/>
  <c r="CT138" i="5"/>
  <c r="CS134" i="5"/>
  <c r="CS135" i="5"/>
  <c r="CS136" i="5"/>
  <c r="CS137" i="5"/>
  <c r="CS138" i="5"/>
  <c r="CR134" i="5"/>
  <c r="CR135" i="5"/>
  <c r="CR136" i="5"/>
  <c r="CR137" i="5"/>
  <c r="CR138" i="5"/>
  <c r="CQ134" i="5"/>
  <c r="CQ135" i="5"/>
  <c r="CQ136" i="5"/>
  <c r="CQ137" i="5"/>
  <c r="CQ138" i="5"/>
  <c r="CP134" i="5"/>
  <c r="CP135" i="5"/>
  <c r="CP136" i="5"/>
  <c r="CP137" i="5"/>
  <c r="CP138" i="5"/>
  <c r="CO134" i="5"/>
  <c r="CO135" i="5"/>
  <c r="CO136" i="5"/>
  <c r="CO137" i="5"/>
  <c r="CO138" i="5"/>
  <c r="CN134" i="5"/>
  <c r="CN135" i="5"/>
  <c r="CN136" i="5"/>
  <c r="CN137" i="5"/>
  <c r="CN138" i="5"/>
  <c r="CM134" i="5"/>
  <c r="CM135" i="5"/>
  <c r="CM136" i="5"/>
  <c r="CM137" i="5"/>
  <c r="CM138" i="5"/>
  <c r="CL134" i="5"/>
  <c r="CL135" i="5"/>
  <c r="CL136" i="5"/>
  <c r="CL137" i="5"/>
  <c r="CL138" i="5"/>
  <c r="CK134" i="5"/>
  <c r="CK135" i="5"/>
  <c r="CK136" i="5"/>
  <c r="CK137" i="5"/>
  <c r="CK138" i="5"/>
  <c r="CJ134" i="5"/>
  <c r="CI134" i="5"/>
  <c r="CH134" i="5"/>
  <c r="CG134" i="5"/>
  <c r="CF134" i="5"/>
  <c r="CE134" i="5"/>
  <c r="CD134" i="5"/>
  <c r="CC134" i="5"/>
  <c r="BH133" i="5"/>
  <c r="BI132" i="5" s="1"/>
  <c r="BJ131" i="5" s="1"/>
  <c r="BK130" i="5" s="1"/>
  <c r="BL129" i="5" s="1"/>
  <c r="BM128" i="5" s="1"/>
  <c r="BN127" i="5" s="1"/>
  <c r="BO126" i="5" s="1"/>
  <c r="BP125" i="5" s="1"/>
  <c r="AM133" i="5"/>
  <c r="JY138" i="5"/>
  <c r="EI138" i="5"/>
  <c r="FD138" i="5" s="1"/>
  <c r="EH138" i="5"/>
  <c r="FC138" i="5" s="1"/>
  <c r="EG138" i="5"/>
  <c r="FB138" i="5" s="1"/>
  <c r="EF138" i="5"/>
  <c r="FA138" i="5" s="1"/>
  <c r="EE138" i="5"/>
  <c r="EZ138" i="5" s="1"/>
  <c r="ED138" i="5"/>
  <c r="EY138" i="5" s="1"/>
  <c r="EC138" i="5"/>
  <c r="EX138" i="5" s="1"/>
  <c r="EB138" i="5"/>
  <c r="EW138" i="5" s="1"/>
  <c r="EA138" i="5"/>
  <c r="EV138" i="5" s="1"/>
  <c r="DZ138" i="5"/>
  <c r="EU138" i="5" s="1"/>
  <c r="DY138" i="5"/>
  <c r="ET138" i="5" s="1"/>
  <c r="DX138" i="5"/>
  <c r="ES138" i="5" s="1"/>
  <c r="DW138" i="5"/>
  <c r="ER138" i="5" s="1"/>
  <c r="CB138" i="5"/>
  <c r="CA138" i="5"/>
  <c r="BZ138" i="5"/>
  <c r="BY138" i="5"/>
  <c r="BX138" i="5"/>
  <c r="BW138" i="5"/>
  <c r="BV138" i="5"/>
  <c r="BU138" i="5"/>
  <c r="BT138" i="5"/>
  <c r="BS138" i="5"/>
  <c r="BR138" i="5"/>
  <c r="BQ138" i="5"/>
  <c r="BP138" i="5"/>
  <c r="BG138" i="5"/>
  <c r="BF138" i="5"/>
  <c r="BE138" i="5"/>
  <c r="BD138" i="5"/>
  <c r="BC138" i="5"/>
  <c r="BB138" i="5"/>
  <c r="BA138" i="5"/>
  <c r="AZ138" i="5"/>
  <c r="AY138" i="5"/>
  <c r="AX138" i="5"/>
  <c r="AW138" i="5"/>
  <c r="AV138" i="5"/>
  <c r="AU138" i="5"/>
  <c r="JY137" i="5"/>
  <c r="EI137" i="5"/>
  <c r="FD137" i="5" s="1"/>
  <c r="EH137" i="5"/>
  <c r="EG137" i="5"/>
  <c r="FB137" i="5" s="1"/>
  <c r="EF137" i="5"/>
  <c r="EE137" i="5"/>
  <c r="EZ137" i="5" s="1"/>
  <c r="ED137" i="5"/>
  <c r="EC137" i="5"/>
  <c r="EX137" i="5" s="1"/>
  <c r="EB137" i="5"/>
  <c r="EA137" i="5"/>
  <c r="EV137" i="5" s="1"/>
  <c r="DZ137" i="5"/>
  <c r="DY137" i="5"/>
  <c r="ET137" i="5" s="1"/>
  <c r="DX137" i="5"/>
  <c r="DW137" i="5"/>
  <c r="ER137" i="5" s="1"/>
  <c r="CB137" i="5"/>
  <c r="CA137" i="5"/>
  <c r="BZ137" i="5"/>
  <c r="BY137" i="5"/>
  <c r="BX137" i="5"/>
  <c r="BW137" i="5"/>
  <c r="BV137" i="5"/>
  <c r="BU137" i="5"/>
  <c r="BT137" i="5"/>
  <c r="BS137" i="5"/>
  <c r="BR137" i="5"/>
  <c r="BQ137" i="5"/>
  <c r="BP137" i="5"/>
  <c r="BG137" i="5"/>
  <c r="BF137" i="5"/>
  <c r="BE137" i="5"/>
  <c r="BD137" i="5"/>
  <c r="BC137" i="5"/>
  <c r="BB137" i="5"/>
  <c r="BA137" i="5"/>
  <c r="AZ137" i="5"/>
  <c r="AY137" i="5"/>
  <c r="AX137" i="5"/>
  <c r="AW137" i="5"/>
  <c r="AV137" i="5"/>
  <c r="AU137" i="5"/>
  <c r="JY136" i="5"/>
  <c r="EI136" i="5"/>
  <c r="EH136" i="5"/>
  <c r="FC136" i="5" s="1"/>
  <c r="EG136" i="5"/>
  <c r="FB136" i="5" s="1"/>
  <c r="EF136" i="5"/>
  <c r="FA136" i="5" s="1"/>
  <c r="EE136" i="5"/>
  <c r="ED136" i="5"/>
  <c r="EY136" i="5" s="1"/>
  <c r="EC136" i="5"/>
  <c r="EX136" i="5" s="1"/>
  <c r="EB136" i="5"/>
  <c r="EW136" i="5" s="1"/>
  <c r="EA136" i="5"/>
  <c r="DZ136" i="5"/>
  <c r="EU136" i="5" s="1"/>
  <c r="DY136" i="5"/>
  <c r="ET136" i="5" s="1"/>
  <c r="DX136" i="5"/>
  <c r="ES136" i="5" s="1"/>
  <c r="DW136" i="5"/>
  <c r="CB136" i="5"/>
  <c r="CA136" i="5"/>
  <c r="BZ136" i="5"/>
  <c r="BY136" i="5"/>
  <c r="BX136" i="5"/>
  <c r="BW136" i="5"/>
  <c r="BV136" i="5"/>
  <c r="BU136" i="5"/>
  <c r="BT136" i="5"/>
  <c r="BS136" i="5"/>
  <c r="BR136" i="5"/>
  <c r="BQ136" i="5"/>
  <c r="BP136" i="5"/>
  <c r="BG136" i="5"/>
  <c r="BF136" i="5"/>
  <c r="BE136" i="5"/>
  <c r="BD136" i="5"/>
  <c r="BC136" i="5"/>
  <c r="BB136" i="5"/>
  <c r="BA136" i="5"/>
  <c r="AZ136" i="5"/>
  <c r="AY136" i="5"/>
  <c r="AX136" i="5"/>
  <c r="AW136" i="5"/>
  <c r="AV136" i="5"/>
  <c r="AU136" i="5"/>
  <c r="JY135" i="5"/>
  <c r="EH135" i="5"/>
  <c r="EI134" i="5" s="1"/>
  <c r="EF135" i="5"/>
  <c r="EG134" i="5" s="1"/>
  <c r="EH133" i="5" s="1"/>
  <c r="EI132" i="5" s="1"/>
  <c r="ED135" i="5"/>
  <c r="EE134" i="5" s="1"/>
  <c r="EB135" i="5"/>
  <c r="DZ135" i="5"/>
  <c r="EA134" i="5" s="1"/>
  <c r="DX135" i="5"/>
  <c r="DY134" i="5" s="1"/>
  <c r="DZ133" i="5" s="1"/>
  <c r="EA132" i="5" s="1"/>
  <c r="DW135" i="5"/>
  <c r="CA135" i="5"/>
  <c r="BY135" i="5"/>
  <c r="BW135" i="5"/>
  <c r="BU135" i="5"/>
  <c r="BS135" i="5"/>
  <c r="BQ135" i="5"/>
  <c r="BP135" i="5"/>
  <c r="BG135" i="5"/>
  <c r="BE135" i="5"/>
  <c r="BC135" i="5"/>
  <c r="BA135" i="5"/>
  <c r="AY135" i="5"/>
  <c r="AW135" i="5"/>
  <c r="AU135" i="5"/>
  <c r="JY134" i="5"/>
  <c r="EC134" i="5"/>
  <c r="DX134" i="5"/>
  <c r="DW134" i="5"/>
  <c r="DE134" i="5"/>
  <c r="DD134" i="5"/>
  <c r="DC134" i="5"/>
  <c r="DB134" i="5"/>
  <c r="DA134" i="5"/>
  <c r="CZ134" i="5"/>
  <c r="CY134" i="5"/>
  <c r="CX134" i="5"/>
  <c r="CB134" i="5"/>
  <c r="BZ134" i="5"/>
  <c r="BX134" i="5"/>
  <c r="BV134" i="5"/>
  <c r="BT134" i="5"/>
  <c r="BR134" i="5"/>
  <c r="BQ134" i="5"/>
  <c r="BP134" i="5"/>
  <c r="BO134" i="5"/>
  <c r="BN134" i="5"/>
  <c r="BM134" i="5"/>
  <c r="BL134" i="5"/>
  <c r="BF134" i="5"/>
  <c r="BD134" i="5"/>
  <c r="BE133" i="5" s="1"/>
  <c r="BB134" i="5"/>
  <c r="AZ134" i="5"/>
  <c r="BA133" i="5" s="1"/>
  <c r="AX134" i="5"/>
  <c r="AV134" i="5"/>
  <c r="AU134" i="5"/>
  <c r="ED133" i="5"/>
  <c r="DY133" i="5"/>
  <c r="DX133" i="5"/>
  <c r="DW133" i="5"/>
  <c r="DE133" i="5"/>
  <c r="DD133" i="5"/>
  <c r="DC133" i="5"/>
  <c r="DB133" i="5"/>
  <c r="DA133" i="5"/>
  <c r="CZ133" i="5"/>
  <c r="CY133" i="5"/>
  <c r="CX133" i="5"/>
  <c r="CA133" i="5"/>
  <c r="BY133" i="5"/>
  <c r="BW133" i="5"/>
  <c r="BU133" i="5"/>
  <c r="BS133" i="5"/>
  <c r="BR133" i="5"/>
  <c r="BQ133" i="5"/>
  <c r="BP133" i="5"/>
  <c r="BO133" i="5"/>
  <c r="BN133" i="5"/>
  <c r="BM133" i="5"/>
  <c r="BL133" i="5"/>
  <c r="BK133" i="5"/>
  <c r="BJ133" i="5"/>
  <c r="BI133" i="5"/>
  <c r="BG133" i="5"/>
  <c r="BC133" i="5"/>
  <c r="AY133" i="5"/>
  <c r="AV133" i="5"/>
  <c r="AU133" i="5"/>
  <c r="AT133" i="5"/>
  <c r="AS133" i="5"/>
  <c r="AR133" i="5"/>
  <c r="AQ133" i="5"/>
  <c r="AP133" i="5"/>
  <c r="EE132" i="5"/>
  <c r="DZ132" i="5"/>
  <c r="DY132" i="5"/>
  <c r="DX132" i="5"/>
  <c r="DW132" i="5"/>
  <c r="DE132" i="5"/>
  <c r="DD132" i="5"/>
  <c r="DC132" i="5"/>
  <c r="DB132" i="5"/>
  <c r="DA132" i="5"/>
  <c r="CZ132" i="5"/>
  <c r="CY132" i="5"/>
  <c r="CB132" i="5"/>
  <c r="BZ132" i="5"/>
  <c r="BX132" i="5"/>
  <c r="BV132" i="5"/>
  <c r="BT132" i="5"/>
  <c r="BS132" i="5"/>
  <c r="BR132" i="5"/>
  <c r="BQ132" i="5"/>
  <c r="BP132" i="5"/>
  <c r="BO132" i="5"/>
  <c r="BN132" i="5"/>
  <c r="BM132" i="5"/>
  <c r="BL132" i="5"/>
  <c r="BK132" i="5"/>
  <c r="BJ132" i="5"/>
  <c r="BF132" i="5"/>
  <c r="BD132" i="5"/>
  <c r="BB132" i="5"/>
  <c r="AZ132" i="5"/>
  <c r="AW132" i="5"/>
  <c r="AV132" i="5"/>
  <c r="AU132" i="5"/>
  <c r="AT132" i="5"/>
  <c r="AS132" i="5"/>
  <c r="AR132" i="5"/>
  <c r="AQ132" i="5"/>
  <c r="AP132" i="5"/>
  <c r="EF131" i="5"/>
  <c r="EB131" i="5"/>
  <c r="EA131" i="5"/>
  <c r="DZ131" i="5"/>
  <c r="DY131" i="5"/>
  <c r="DX131" i="5"/>
  <c r="DW131" i="5"/>
  <c r="DE131" i="5"/>
  <c r="DD131" i="5"/>
  <c r="DC131" i="5"/>
  <c r="DB131" i="5"/>
  <c r="DA131" i="5"/>
  <c r="CZ131" i="5"/>
  <c r="CA131" i="5"/>
  <c r="BY131" i="5"/>
  <c r="BW131" i="5"/>
  <c r="BU131" i="5"/>
  <c r="BT131" i="5"/>
  <c r="BS131" i="5"/>
  <c r="BR131" i="5"/>
  <c r="BQ131" i="5"/>
  <c r="BP131" i="5"/>
  <c r="BO131" i="5"/>
  <c r="BN131" i="5"/>
  <c r="BM131" i="5"/>
  <c r="BL131" i="5"/>
  <c r="BK131" i="5"/>
  <c r="BG131" i="5"/>
  <c r="BE131" i="5"/>
  <c r="BC131" i="5"/>
  <c r="BA131" i="5"/>
  <c r="AX131" i="5"/>
  <c r="AW131" i="5"/>
  <c r="AV131" i="5"/>
  <c r="AU131" i="5"/>
  <c r="AT131" i="5"/>
  <c r="AS131" i="5"/>
  <c r="AR131" i="5"/>
  <c r="AQ131" i="5"/>
  <c r="AR130" i="5" s="1"/>
  <c r="AS129" i="5" s="1"/>
  <c r="AT128" i="5" s="1"/>
  <c r="AU127" i="5" s="1"/>
  <c r="AP131" i="5"/>
  <c r="EG130" i="5"/>
  <c r="EC130" i="5"/>
  <c r="EB130" i="5"/>
  <c r="EA130" i="5"/>
  <c r="DZ130" i="5"/>
  <c r="DY130" i="5"/>
  <c r="DX130" i="5"/>
  <c r="DW130" i="5"/>
  <c r="DE130" i="5"/>
  <c r="DD130" i="5"/>
  <c r="DC130" i="5"/>
  <c r="DB130" i="5"/>
  <c r="DA130" i="5"/>
  <c r="CB130" i="5"/>
  <c r="BZ130" i="5"/>
  <c r="BX130" i="5"/>
  <c r="BV130" i="5"/>
  <c r="BU130" i="5"/>
  <c r="BT130" i="5"/>
  <c r="BS130" i="5"/>
  <c r="BR130" i="5"/>
  <c r="BQ130" i="5"/>
  <c r="BP130" i="5"/>
  <c r="BO130" i="5"/>
  <c r="BN130" i="5"/>
  <c r="BM130" i="5"/>
  <c r="BL130" i="5"/>
  <c r="BF130" i="5"/>
  <c r="BD130" i="5"/>
  <c r="BB130" i="5"/>
  <c r="AY130" i="5"/>
  <c r="AX130" i="5"/>
  <c r="AW130" i="5"/>
  <c r="AV130" i="5"/>
  <c r="AU130" i="5"/>
  <c r="AT130" i="5"/>
  <c r="AS130" i="5"/>
  <c r="AQ130" i="5"/>
  <c r="AR129" i="5" s="1"/>
  <c r="AP130" i="5"/>
  <c r="AQ129" i="5" s="1"/>
  <c r="AR128" i="5" s="1"/>
  <c r="AS127" i="5" s="1"/>
  <c r="AT126" i="5" s="1"/>
  <c r="AU125" i="5" s="1"/>
  <c r="EH129" i="5"/>
  <c r="ED129" i="5"/>
  <c r="EC129" i="5"/>
  <c r="EB129" i="5"/>
  <c r="EA129" i="5"/>
  <c r="DZ129" i="5"/>
  <c r="DY129" i="5"/>
  <c r="DX129" i="5"/>
  <c r="DW129" i="5"/>
  <c r="DE129" i="5"/>
  <c r="DD129" i="5"/>
  <c r="DC129" i="5"/>
  <c r="DB129" i="5"/>
  <c r="CA129" i="5"/>
  <c r="BY129" i="5"/>
  <c r="BW129" i="5"/>
  <c r="BV129" i="5"/>
  <c r="BW128" i="5" s="1"/>
  <c r="BU129" i="5"/>
  <c r="BT129" i="5"/>
  <c r="BU128" i="5" s="1"/>
  <c r="BS129" i="5"/>
  <c r="BR129" i="5"/>
  <c r="BS128" i="5" s="1"/>
  <c r="BQ129" i="5"/>
  <c r="BP129" i="5"/>
  <c r="BQ128" i="5" s="1"/>
  <c r="BO129" i="5"/>
  <c r="BN129" i="5"/>
  <c r="BO128" i="5" s="1"/>
  <c r="BP127" i="5" s="1"/>
  <c r="BM129" i="5"/>
  <c r="BG129" i="5"/>
  <c r="BE129" i="5"/>
  <c r="BC129" i="5"/>
  <c r="AZ129" i="5"/>
  <c r="AY129" i="5"/>
  <c r="AX129" i="5"/>
  <c r="AY128" i="5" s="1"/>
  <c r="AW129" i="5"/>
  <c r="AV129" i="5"/>
  <c r="AU129" i="5"/>
  <c r="AV128" i="5" s="1"/>
  <c r="AT129" i="5"/>
  <c r="EI128" i="5"/>
  <c r="EE128" i="5"/>
  <c r="ED128" i="5"/>
  <c r="EC128" i="5"/>
  <c r="EB128" i="5"/>
  <c r="EA128" i="5"/>
  <c r="DZ128" i="5"/>
  <c r="DY128" i="5"/>
  <c r="DX128" i="5"/>
  <c r="DW128" i="5"/>
  <c r="DE128" i="5"/>
  <c r="DD128" i="5"/>
  <c r="DC128" i="5"/>
  <c r="CB128" i="5"/>
  <c r="BZ128" i="5"/>
  <c r="BX128" i="5"/>
  <c r="BV128" i="5"/>
  <c r="BT128" i="5"/>
  <c r="BR128" i="5"/>
  <c r="BP128" i="5"/>
  <c r="BN128" i="5"/>
  <c r="BF128" i="5"/>
  <c r="BD128" i="5"/>
  <c r="AX128" i="5"/>
  <c r="EE127" i="5"/>
  <c r="EC127" i="5"/>
  <c r="EA127" i="5"/>
  <c r="DY127" i="5"/>
  <c r="DW127" i="5"/>
  <c r="DE127" i="5"/>
  <c r="DD127" i="5"/>
  <c r="CA127" i="5"/>
  <c r="BY127" i="5"/>
  <c r="BW127" i="5"/>
  <c r="BU127" i="5"/>
  <c r="BS127" i="5"/>
  <c r="BQ127" i="5"/>
  <c r="BO127" i="5"/>
  <c r="BG127" i="5"/>
  <c r="BE127" i="5"/>
  <c r="AY127" i="5"/>
  <c r="AW127" i="5"/>
  <c r="EF126" i="5"/>
  <c r="ED126" i="5"/>
  <c r="EB126" i="5"/>
  <c r="DZ126" i="5"/>
  <c r="DX126" i="5"/>
  <c r="DW126" i="5"/>
  <c r="DE126" i="5"/>
  <c r="CB126" i="5"/>
  <c r="BZ126" i="5"/>
  <c r="BX126" i="5"/>
  <c r="BV126" i="5"/>
  <c r="BT126" i="5"/>
  <c r="BR126" i="5"/>
  <c r="BP126" i="5"/>
  <c r="BF126" i="5"/>
  <c r="AZ126" i="5"/>
  <c r="AX126" i="5"/>
  <c r="EG125" i="5"/>
  <c r="EE125" i="5"/>
  <c r="EC125" i="5"/>
  <c r="EA125" i="5"/>
  <c r="DY125" i="5"/>
  <c r="DX125" i="5"/>
  <c r="DW125" i="5"/>
  <c r="CA125" i="5"/>
  <c r="BY125" i="5"/>
  <c r="BW125" i="5"/>
  <c r="BU125" i="5"/>
  <c r="BS125" i="5"/>
  <c r="BQ125" i="5"/>
  <c r="BG125" i="5"/>
  <c r="BA125" i="5"/>
  <c r="AY125" i="5"/>
  <c r="EH124" i="5"/>
  <c r="EF124" i="5"/>
  <c r="ED124" i="5"/>
  <c r="EB124" i="5"/>
  <c r="DZ124" i="5"/>
  <c r="DY124" i="5"/>
  <c r="DX124" i="5"/>
  <c r="DW124" i="5"/>
  <c r="CB124" i="5"/>
  <c r="BZ124" i="5"/>
  <c r="BX124" i="5"/>
  <c r="BV124" i="5"/>
  <c r="BT124" i="5"/>
  <c r="BR124" i="5"/>
  <c r="BB124" i="5"/>
  <c r="AZ124" i="5"/>
  <c r="EI123" i="5"/>
  <c r="EG123" i="5"/>
  <c r="EE123" i="5"/>
  <c r="EC123" i="5"/>
  <c r="EA123" i="5"/>
  <c r="DZ123" i="5"/>
  <c r="DY123" i="5"/>
  <c r="DX123" i="5"/>
  <c r="DW123" i="5"/>
  <c r="CA123" i="5"/>
  <c r="BY123" i="5"/>
  <c r="BW123" i="5"/>
  <c r="BU123" i="5"/>
  <c r="BS123" i="5"/>
  <c r="BC123" i="5"/>
  <c r="BD122" i="5" s="1"/>
  <c r="BA123" i="5"/>
  <c r="EH122" i="5"/>
  <c r="EF122" i="5"/>
  <c r="ED122" i="5"/>
  <c r="EB122" i="5"/>
  <c r="EA122" i="5"/>
  <c r="DZ122" i="5"/>
  <c r="DY122" i="5"/>
  <c r="DX122" i="5"/>
  <c r="DW122" i="5"/>
  <c r="CB122" i="5"/>
  <c r="BX122" i="5"/>
  <c r="BT122" i="5"/>
  <c r="BB122" i="5"/>
  <c r="EI121" i="5"/>
  <c r="EG121" i="5"/>
  <c r="EE121" i="5"/>
  <c r="EC121" i="5"/>
  <c r="EB121" i="5"/>
  <c r="EA121" i="5"/>
  <c r="DZ121" i="5"/>
  <c r="DY121" i="5"/>
  <c r="DX121" i="5"/>
  <c r="DW121" i="5"/>
  <c r="BY121" i="5"/>
  <c r="BU121" i="5"/>
  <c r="BC121" i="5"/>
  <c r="EH120" i="5"/>
  <c r="EF120" i="5"/>
  <c r="ED120" i="5"/>
  <c r="EC120" i="5"/>
  <c r="EB120" i="5"/>
  <c r="EA120" i="5"/>
  <c r="DZ120" i="5"/>
  <c r="DY120" i="5"/>
  <c r="DX120" i="5"/>
  <c r="DW120" i="5"/>
  <c r="BZ120" i="5"/>
  <c r="BV120" i="5"/>
  <c r="BD120" i="5"/>
  <c r="EI119" i="5"/>
  <c r="EG119" i="5"/>
  <c r="EE119" i="5"/>
  <c r="ED119" i="5"/>
  <c r="EC119" i="5"/>
  <c r="EB119" i="5"/>
  <c r="EA119" i="5"/>
  <c r="DZ119" i="5"/>
  <c r="DY119" i="5"/>
  <c r="DX119" i="5"/>
  <c r="DW119" i="5"/>
  <c r="CA119" i="5"/>
  <c r="BW119" i="5"/>
  <c r="BE119" i="5"/>
  <c r="EH118" i="5"/>
  <c r="EF118" i="5"/>
  <c r="EE118" i="5"/>
  <c r="ED118" i="5"/>
  <c r="EC118" i="5"/>
  <c r="EB118" i="5"/>
  <c r="EA118" i="5"/>
  <c r="DZ118" i="5"/>
  <c r="DY118" i="5"/>
  <c r="DX118" i="5"/>
  <c r="DW118" i="5"/>
  <c r="CB118" i="5"/>
  <c r="BX118" i="5"/>
  <c r="BF118" i="5"/>
  <c r="EI117" i="5"/>
  <c r="EG117" i="5"/>
  <c r="EF117" i="5"/>
  <c r="EE117" i="5"/>
  <c r="ED117" i="5"/>
  <c r="EC117" i="5"/>
  <c r="EB117" i="5"/>
  <c r="EA117" i="5"/>
  <c r="DZ117" i="5"/>
  <c r="DY117" i="5"/>
  <c r="DX117" i="5"/>
  <c r="DW117" i="5"/>
  <c r="BY117" i="5"/>
  <c r="BZ116" i="5" s="1"/>
  <c r="BG117" i="5"/>
  <c r="EH116" i="5"/>
  <c r="EG116" i="5"/>
  <c r="EF116" i="5"/>
  <c r="EE116" i="5"/>
  <c r="ED116" i="5"/>
  <c r="EC116" i="5"/>
  <c r="EB116" i="5"/>
  <c r="EA116" i="5"/>
  <c r="DZ116" i="5"/>
  <c r="DY116" i="5"/>
  <c r="DX116" i="5"/>
  <c r="DW116" i="5"/>
  <c r="EI115" i="5"/>
  <c r="EH115" i="5"/>
  <c r="EG115" i="5"/>
  <c r="EH114" i="5" s="1"/>
  <c r="EI113" i="5" s="1"/>
  <c r="EF115" i="5"/>
  <c r="EE115" i="5"/>
  <c r="EF114" i="5" s="1"/>
  <c r="EG113" i="5" s="1"/>
  <c r="EH112" i="5" s="1"/>
  <c r="EI111" i="5" s="1"/>
  <c r="ED115" i="5"/>
  <c r="EC115" i="5"/>
  <c r="ED114" i="5" s="1"/>
  <c r="EB115" i="5"/>
  <c r="EA115" i="5"/>
  <c r="EB114" i="5" s="1"/>
  <c r="DZ115" i="5"/>
  <c r="DY115" i="5"/>
  <c r="DZ114" i="5" s="1"/>
  <c r="DX115" i="5"/>
  <c r="DW115" i="5"/>
  <c r="DX114" i="5" s="1"/>
  <c r="EI114" i="5"/>
  <c r="EG114" i="5"/>
  <c r="EE114" i="5"/>
  <c r="EC114" i="5"/>
  <c r="EA114" i="5"/>
  <c r="DY114" i="5"/>
  <c r="DW114" i="5"/>
  <c r="EH113" i="5"/>
  <c r="EF113" i="5"/>
  <c r="ED113" i="5"/>
  <c r="EB113" i="5"/>
  <c r="DZ113" i="5"/>
  <c r="DX113" i="5"/>
  <c r="DW113" i="5"/>
  <c r="EI112" i="5"/>
  <c r="EG112" i="5"/>
  <c r="EE112" i="5"/>
  <c r="EC112" i="5"/>
  <c r="EA112" i="5"/>
  <c r="DY112" i="5"/>
  <c r="DX112" i="5"/>
  <c r="DW112" i="5"/>
  <c r="EH111" i="5"/>
  <c r="EI110" i="5" s="1"/>
  <c r="EF111" i="5"/>
  <c r="EG110" i="5" s="1"/>
  <c r="EH109" i="5" s="1"/>
  <c r="ED111" i="5"/>
  <c r="EE110" i="5" s="1"/>
  <c r="EF109" i="5" s="1"/>
  <c r="EB111" i="5"/>
  <c r="EC110" i="5" s="1"/>
  <c r="ED109" i="5" s="1"/>
  <c r="DZ111" i="5"/>
  <c r="EA110" i="5" s="1"/>
  <c r="EB109" i="5" s="1"/>
  <c r="DY111" i="5"/>
  <c r="DX111" i="5"/>
  <c r="DY110" i="5" s="1"/>
  <c r="DZ109" i="5" s="1"/>
  <c r="DW111" i="5"/>
  <c r="DZ110" i="5"/>
  <c r="EA109" i="5" s="1"/>
  <c r="DX110" i="5"/>
  <c r="DY109" i="5" s="1"/>
  <c r="DW110" i="5"/>
  <c r="DX109" i="5"/>
  <c r="DW109" i="5"/>
  <c r="EI108" i="5"/>
  <c r="EG108" i="5"/>
  <c r="EE108" i="5"/>
  <c r="EC108" i="5"/>
  <c r="EA108" i="5"/>
  <c r="DY108" i="5"/>
  <c r="DX108" i="5"/>
  <c r="DW108" i="5"/>
  <c r="EH107" i="5"/>
  <c r="EF107" i="5"/>
  <c r="ED107" i="5"/>
  <c r="EB107" i="5"/>
  <c r="DZ107" i="5"/>
  <c r="DY107" i="5"/>
  <c r="DX107" i="5"/>
  <c r="DW107" i="5"/>
  <c r="EI106" i="5"/>
  <c r="EG106" i="5"/>
  <c r="EE106" i="5"/>
  <c r="EF105" i="5" s="1"/>
  <c r="EG104" i="5" s="1"/>
  <c r="EH103" i="5" s="1"/>
  <c r="EI102" i="5" s="1"/>
  <c r="EC106" i="5"/>
  <c r="EA106" i="5"/>
  <c r="EB105" i="5" s="1"/>
  <c r="EC104" i="5" s="1"/>
  <c r="ED103" i="5" s="1"/>
  <c r="EE102" i="5" s="1"/>
  <c r="EF101" i="5" s="1"/>
  <c r="EG100" i="5" s="1"/>
  <c r="EH99" i="5" s="1"/>
  <c r="EI98" i="5" s="1"/>
  <c r="DZ106" i="5"/>
  <c r="DY106" i="5"/>
  <c r="DX106" i="5"/>
  <c r="DW106" i="5"/>
  <c r="EH105" i="5"/>
  <c r="EI104" i="5" s="1"/>
  <c r="ED105" i="5"/>
  <c r="EE104" i="5" s="1"/>
  <c r="EF103" i="5" s="1"/>
  <c r="EG102" i="5" s="1"/>
  <c r="EH101" i="5" s="1"/>
  <c r="EI100" i="5" s="1"/>
  <c r="DZ105" i="5"/>
  <c r="EA104" i="5" s="1"/>
  <c r="EB103" i="5" s="1"/>
  <c r="EC102" i="5" s="1"/>
  <c r="ED101" i="5" s="1"/>
  <c r="EE100" i="5" s="1"/>
  <c r="EF99" i="5" s="1"/>
  <c r="EG98" i="5" s="1"/>
  <c r="EH97" i="5" s="1"/>
  <c r="EI96" i="5" s="1"/>
  <c r="DW105" i="5"/>
  <c r="DX104" i="5" s="1"/>
  <c r="DW104" i="5"/>
  <c r="DX103" i="5"/>
  <c r="DY102" i="5" s="1"/>
  <c r="DZ101" i="5" s="1"/>
  <c r="EA100" i="5" s="1"/>
  <c r="EB99" i="5" s="1"/>
  <c r="EC98" i="5" s="1"/>
  <c r="ED97" i="5" s="1"/>
  <c r="EE96" i="5" s="1"/>
  <c r="EF95" i="5" s="1"/>
  <c r="DW103" i="5"/>
  <c r="DX102" i="5"/>
  <c r="DW102" i="5"/>
  <c r="DX101" i="5"/>
  <c r="DY100" i="5" s="1"/>
  <c r="DZ99" i="5" s="1"/>
  <c r="EA98" i="5" s="1"/>
  <c r="EB97" i="5" s="1"/>
  <c r="EC96" i="5" s="1"/>
  <c r="ED95" i="5" s="1"/>
  <c r="EE94" i="5" s="1"/>
  <c r="EF93" i="5" s="1"/>
  <c r="EG92" i="5" s="1"/>
  <c r="EH91" i="5" s="1"/>
  <c r="DW101" i="5"/>
  <c r="DX100" i="5"/>
  <c r="DY99" i="5" s="1"/>
  <c r="DZ98" i="5" s="1"/>
  <c r="EA97" i="5" s="1"/>
  <c r="EB96" i="5" s="1"/>
  <c r="EC95" i="5" s="1"/>
  <c r="ED94" i="5" s="1"/>
  <c r="EE93" i="5" s="1"/>
  <c r="EF92" i="5" s="1"/>
  <c r="EG91" i="5" s="1"/>
  <c r="EH90" i="5" s="1"/>
  <c r="EI89" i="5" s="1"/>
  <c r="DW100" i="5"/>
  <c r="DX99" i="5"/>
  <c r="DY98" i="5" s="1"/>
  <c r="DZ97" i="5" s="1"/>
  <c r="EA96" i="5" s="1"/>
  <c r="EB95" i="5" s="1"/>
  <c r="EC94" i="5" s="1"/>
  <c r="ED93" i="5" s="1"/>
  <c r="EE92" i="5" s="1"/>
  <c r="EF91" i="5" s="1"/>
  <c r="DW99" i="5"/>
  <c r="DX98" i="5"/>
  <c r="DY97" i="5" s="1"/>
  <c r="DZ96" i="5" s="1"/>
  <c r="EA95" i="5" s="1"/>
  <c r="DW98" i="5"/>
  <c r="DX97" i="5"/>
  <c r="DY96" i="5" s="1"/>
  <c r="DZ95" i="5" s="1"/>
  <c r="EA94" i="5" s="1"/>
  <c r="EB93" i="5" s="1"/>
  <c r="EC92" i="5" s="1"/>
  <c r="ED91" i="5" s="1"/>
  <c r="DW97" i="5"/>
  <c r="DX96" i="5"/>
  <c r="DY95" i="5" s="1"/>
  <c r="DZ94" i="5" s="1"/>
  <c r="EA93" i="5" s="1"/>
  <c r="EB92" i="5" s="1"/>
  <c r="EC91" i="5" s="1"/>
  <c r="ED90" i="5" s="1"/>
  <c r="EE89" i="5" s="1"/>
  <c r="EF88" i="5" s="1"/>
  <c r="DW96" i="5"/>
  <c r="DX95" i="5"/>
  <c r="DY94" i="5" s="1"/>
  <c r="DZ93" i="5" s="1"/>
  <c r="EA92" i="5" s="1"/>
  <c r="EB91" i="5" s="1"/>
  <c r="DW95" i="5"/>
  <c r="EG94" i="5"/>
  <c r="EB94" i="5"/>
  <c r="DX94" i="5"/>
  <c r="DW94" i="5"/>
  <c r="EH93" i="5"/>
  <c r="EI92" i="5" s="1"/>
  <c r="EC93" i="5"/>
  <c r="DY93" i="5"/>
  <c r="DX93" i="5"/>
  <c r="DW93" i="5"/>
  <c r="ED92" i="5"/>
  <c r="DZ92" i="5"/>
  <c r="DY92" i="5"/>
  <c r="DX92" i="5"/>
  <c r="DY91" i="5" s="1"/>
  <c r="DZ90" i="5" s="1"/>
  <c r="EA89" i="5" s="1"/>
  <c r="DW92" i="5"/>
  <c r="EE91" i="5"/>
  <c r="EF90" i="5" s="1"/>
  <c r="EG89" i="5" s="1"/>
  <c r="EH88" i="5" s="1"/>
  <c r="EA91" i="5"/>
  <c r="EB90" i="5" s="1"/>
  <c r="EC89" i="5" s="1"/>
  <c r="ED88" i="5" s="1"/>
  <c r="DW91" i="5"/>
  <c r="DX90" i="5" s="1"/>
  <c r="DY89" i="5" s="1"/>
  <c r="DZ88" i="5" s="1"/>
  <c r="DV91" i="5"/>
  <c r="DU91" i="5"/>
  <c r="DV90" i="5" s="1"/>
  <c r="DW89" i="5" s="1"/>
  <c r="DT91" i="5"/>
  <c r="DS91" i="5"/>
  <c r="DT90" i="5" s="1"/>
  <c r="DU89" i="5" s="1"/>
  <c r="DV88" i="5" s="1"/>
  <c r="DR91" i="5"/>
  <c r="DQ91" i="5"/>
  <c r="DR90" i="5" s="1"/>
  <c r="DS89" i="5" s="1"/>
  <c r="DP91" i="5"/>
  <c r="DW90" i="5"/>
  <c r="DU90" i="5"/>
  <c r="DS90" i="5"/>
  <c r="DQ90" i="5"/>
  <c r="HP95" i="5" l="1"/>
  <c r="HP99" i="5"/>
  <c r="HP103" i="5"/>
  <c r="HP107" i="5"/>
  <c r="HP111" i="5"/>
  <c r="HP115" i="5"/>
  <c r="HP119" i="5"/>
  <c r="HP123" i="5"/>
  <c r="HP127" i="5"/>
  <c r="HP131" i="5"/>
  <c r="HP135" i="5"/>
  <c r="HP96" i="5"/>
  <c r="HP104" i="5"/>
  <c r="HP112" i="5"/>
  <c r="HP120" i="5"/>
  <c r="HP128" i="5"/>
  <c r="HP136" i="5"/>
  <c r="HP98" i="5"/>
  <c r="HP106" i="5"/>
  <c r="HP114" i="5"/>
  <c r="HP122" i="5"/>
  <c r="HP130" i="5"/>
  <c r="HP138" i="5"/>
  <c r="HP126" i="5"/>
  <c r="HP93" i="5"/>
  <c r="HP97" i="5"/>
  <c r="HP101" i="5"/>
  <c r="HP105" i="5"/>
  <c r="HP109" i="5"/>
  <c r="HP113" i="5"/>
  <c r="HP117" i="5"/>
  <c r="HP121" i="5"/>
  <c r="HP125" i="5"/>
  <c r="HP129" i="5"/>
  <c r="HP133" i="5"/>
  <c r="HP137" i="5"/>
  <c r="HP92" i="5"/>
  <c r="HP100" i="5"/>
  <c r="HP108" i="5"/>
  <c r="HP116" i="5"/>
  <c r="HP124" i="5"/>
  <c r="HP132" i="5"/>
  <c r="HP94" i="5"/>
  <c r="HP102" i="5"/>
  <c r="HP110" i="5"/>
  <c r="HP118" i="5"/>
  <c r="HP134" i="5"/>
  <c r="AV126" i="5"/>
  <c r="AV124" i="5"/>
  <c r="DT88" i="5"/>
  <c r="DX88" i="5"/>
  <c r="EB88" i="5"/>
  <c r="DX105" i="5"/>
  <c r="DY104" i="5" s="1"/>
  <c r="DZ103" i="5" s="1"/>
  <c r="EA102" i="5" s="1"/>
  <c r="EB101" i="5" s="1"/>
  <c r="EC100" i="5" s="1"/>
  <c r="ED99" i="5" s="1"/>
  <c r="EE98" i="5" s="1"/>
  <c r="EF97" i="5" s="1"/>
  <c r="EG96" i="5" s="1"/>
  <c r="EH95" i="5" s="1"/>
  <c r="EI94" i="5" s="1"/>
  <c r="EB108" i="5"/>
  <c r="DZ108" i="5"/>
  <c r="DY113" i="5"/>
  <c r="EA113" i="5"/>
  <c r="EC113" i="5"/>
  <c r="EE113" i="5"/>
  <c r="AZ128" i="5"/>
  <c r="ES134" i="5"/>
  <c r="ER135" i="5"/>
  <c r="ER136" i="5"/>
  <c r="EV136" i="5"/>
  <c r="EZ136" i="5"/>
  <c r="FD136" i="5"/>
  <c r="AW133" i="5"/>
  <c r="FD134" i="5"/>
  <c r="EC90" i="5"/>
  <c r="EE90" i="5"/>
  <c r="EG90" i="5"/>
  <c r="EI90" i="5"/>
  <c r="DU87" i="5"/>
  <c r="DW87" i="5"/>
  <c r="DY87" i="5"/>
  <c r="EA87" i="5"/>
  <c r="EC87" i="5"/>
  <c r="EE87" i="5"/>
  <c r="EG87" i="5"/>
  <c r="EI87" i="5"/>
  <c r="DR89" i="5"/>
  <c r="DT89" i="5"/>
  <c r="DV89" i="5"/>
  <c r="DX89" i="5"/>
  <c r="DX91" i="5"/>
  <c r="DZ91" i="5"/>
  <c r="DY101" i="5"/>
  <c r="DY103" i="5"/>
  <c r="DY105" i="5"/>
  <c r="EA105" i="5"/>
  <c r="CA115" i="5"/>
  <c r="BE121" i="5"/>
  <c r="BV122" i="5"/>
  <c r="BZ122" i="5"/>
  <c r="BQ124" i="5"/>
  <c r="BQ126" i="5"/>
  <c r="BR127" i="5"/>
  <c r="BT127" i="5"/>
  <c r="BV127" i="5"/>
  <c r="BX127" i="5"/>
  <c r="AZ127" i="5"/>
  <c r="DX127" i="5"/>
  <c r="DZ127" i="5"/>
  <c r="EB127" i="5"/>
  <c r="ED127" i="5"/>
  <c r="EF127" i="5"/>
  <c r="AS128" i="5"/>
  <c r="AU128" i="5"/>
  <c r="AW128" i="5"/>
  <c r="BA128" i="5"/>
  <c r="EV134" i="5"/>
  <c r="EB133" i="5"/>
  <c r="EZ134" i="5"/>
  <c r="EF133" i="5"/>
  <c r="ES135" i="5"/>
  <c r="EW135" i="5"/>
  <c r="FA135" i="5"/>
  <c r="ER134" i="5"/>
  <c r="ET134" i="5"/>
  <c r="EX134" i="5"/>
  <c r="FB134" i="5"/>
  <c r="EU135" i="5"/>
  <c r="EY135" i="5"/>
  <c r="FC135" i="5"/>
  <c r="AV135" i="5"/>
  <c r="AX135" i="5"/>
  <c r="AZ135" i="5"/>
  <c r="BB135" i="5"/>
  <c r="BD135" i="5"/>
  <c r="BF135" i="5"/>
  <c r="BR135" i="5"/>
  <c r="BT135" i="5"/>
  <c r="BV135" i="5"/>
  <c r="BX135" i="5"/>
  <c r="BZ135" i="5"/>
  <c r="CB135" i="5"/>
  <c r="DY135" i="5"/>
  <c r="EA135" i="5"/>
  <c r="EC135" i="5"/>
  <c r="EE135" i="5"/>
  <c r="EG135" i="5"/>
  <c r="EI135" i="5"/>
  <c r="FD135" i="5" s="1"/>
  <c r="ES137" i="5"/>
  <c r="EW137" i="5"/>
  <c r="FA137" i="5"/>
  <c r="EU137" i="5"/>
  <c r="EY137" i="5"/>
  <c r="FC137" i="5"/>
  <c r="AW125" i="5" l="1"/>
  <c r="AW123" i="5"/>
  <c r="BA127" i="5"/>
  <c r="AX132" i="5"/>
  <c r="EF112" i="5"/>
  <c r="ED112" i="5"/>
  <c r="EB112" i="5"/>
  <c r="DZ112" i="5"/>
  <c r="EA107" i="5"/>
  <c r="EC107" i="5"/>
  <c r="BB127" i="5"/>
  <c r="AV127" i="5"/>
  <c r="EG126" i="5"/>
  <c r="EC126" i="5"/>
  <c r="DY126" i="5"/>
  <c r="BY126" i="5"/>
  <c r="BU126" i="5"/>
  <c r="BR125" i="5"/>
  <c r="BR123" i="5"/>
  <c r="BW121" i="5"/>
  <c r="BF120" i="5"/>
  <c r="CB114" i="5"/>
  <c r="EB104" i="5"/>
  <c r="DZ102" i="5"/>
  <c r="EA90" i="5"/>
  <c r="DY88" i="5"/>
  <c r="DW88" i="5"/>
  <c r="DU88" i="5"/>
  <c r="DS88" i="5"/>
  <c r="EF86" i="5"/>
  <c r="EB86" i="5"/>
  <c r="DX86" i="5"/>
  <c r="FB135" i="5"/>
  <c r="EH134" i="5"/>
  <c r="EX135" i="5"/>
  <c r="ED134" i="5"/>
  <c r="ET135" i="5"/>
  <c r="DZ134" i="5"/>
  <c r="CA134" i="5"/>
  <c r="BW134" i="5"/>
  <c r="BS134" i="5"/>
  <c r="BE134" i="5"/>
  <c r="BA134" i="5"/>
  <c r="AW134" i="5"/>
  <c r="EF134" i="5"/>
  <c r="EZ135" i="5"/>
  <c r="EB134" i="5"/>
  <c r="EV135" i="5"/>
  <c r="BY134" i="5"/>
  <c r="BU134" i="5"/>
  <c r="BG134" i="5"/>
  <c r="BC134" i="5"/>
  <c r="AY134" i="5"/>
  <c r="EG132" i="5"/>
  <c r="EC132" i="5"/>
  <c r="AX127" i="5"/>
  <c r="AT127" i="5"/>
  <c r="EE126" i="5"/>
  <c r="EA126" i="5"/>
  <c r="BA126" i="5"/>
  <c r="BW126" i="5"/>
  <c r="BS126" i="5"/>
  <c r="CA121" i="5"/>
  <c r="DZ104" i="5"/>
  <c r="DZ100" i="5"/>
  <c r="DY90" i="5"/>
  <c r="EH86" i="5"/>
  <c r="ED86" i="5"/>
  <c r="DZ86" i="5"/>
  <c r="DV86" i="5"/>
  <c r="EH89" i="5"/>
  <c r="EF89" i="5"/>
  <c r="ED89" i="5"/>
  <c r="AX124" i="5" l="1"/>
  <c r="AX122" i="5"/>
  <c r="AY131" i="5"/>
  <c r="BB126" i="5"/>
  <c r="ED106" i="5"/>
  <c r="EB106" i="5"/>
  <c r="EA111" i="5"/>
  <c r="EC111" i="5"/>
  <c r="EE111" i="5"/>
  <c r="EG111" i="5"/>
  <c r="EE88" i="5"/>
  <c r="EG88" i="5"/>
  <c r="EI88" i="5"/>
  <c r="DW85" i="5"/>
  <c r="EA85" i="5"/>
  <c r="EE85" i="5"/>
  <c r="EI85" i="5"/>
  <c r="DZ89" i="5"/>
  <c r="EA99" i="5"/>
  <c r="BX125" i="5"/>
  <c r="BB125" i="5"/>
  <c r="EB125" i="5"/>
  <c r="EF125" i="5"/>
  <c r="AU126" i="5"/>
  <c r="AY126" i="5"/>
  <c r="EC133" i="5"/>
  <c r="EW134" i="5"/>
  <c r="EG133" i="5"/>
  <c r="FA134" i="5"/>
  <c r="AX133" i="5"/>
  <c r="BB133" i="5"/>
  <c r="BF133" i="5"/>
  <c r="BT133" i="5"/>
  <c r="BX133" i="5"/>
  <c r="CB133" i="5"/>
  <c r="EA133" i="5"/>
  <c r="EU134" i="5"/>
  <c r="EE133" i="5"/>
  <c r="EY134" i="5"/>
  <c r="EI133" i="5"/>
  <c r="FC134" i="5"/>
  <c r="EA103" i="5"/>
  <c r="CB120" i="5"/>
  <c r="BT125" i="5"/>
  <c r="ED131" i="5"/>
  <c r="EH131" i="5"/>
  <c r="AZ133" i="5"/>
  <c r="BD133" i="5"/>
  <c r="BV133" i="5"/>
  <c r="BZ133" i="5"/>
  <c r="DY85" i="5"/>
  <c r="EC85" i="5"/>
  <c r="EG85" i="5"/>
  <c r="EA101" i="5"/>
  <c r="EC103" i="5"/>
  <c r="BG119" i="5"/>
  <c r="BS122" i="5"/>
  <c r="BS124" i="5"/>
  <c r="BZ125" i="5"/>
  <c r="DZ125" i="5"/>
  <c r="ED125" i="5"/>
  <c r="EH125" i="5"/>
  <c r="AW126" i="5"/>
  <c r="DT87" i="5"/>
  <c r="DV87" i="5"/>
  <c r="DX87" i="5"/>
  <c r="DZ87" i="5"/>
  <c r="EB89" i="5"/>
  <c r="BX120" i="5"/>
  <c r="BV125" i="5"/>
  <c r="BC126" i="5"/>
  <c r="AY123" i="5" l="1"/>
  <c r="AY121" i="5"/>
  <c r="BC125" i="5"/>
  <c r="EH110" i="5"/>
  <c r="EF110" i="5"/>
  <c r="ED110" i="5"/>
  <c r="EB110" i="5"/>
  <c r="EC105" i="5"/>
  <c r="EE105" i="5"/>
  <c r="AZ130" i="5"/>
  <c r="BY119" i="5"/>
  <c r="EA86" i="5"/>
  <c r="DY86" i="5"/>
  <c r="DW86" i="5"/>
  <c r="DU86" i="5"/>
  <c r="CA124" i="5"/>
  <c r="BT121" i="5"/>
  <c r="ED102" i="5"/>
  <c r="EH84" i="5"/>
  <c r="ED84" i="5"/>
  <c r="DZ84" i="5"/>
  <c r="BA132" i="5"/>
  <c r="EF132" i="5"/>
  <c r="EB132" i="5"/>
  <c r="AY132" i="5"/>
  <c r="BY124" i="5"/>
  <c r="EB98" i="5"/>
  <c r="BD125" i="5"/>
  <c r="BW124" i="5"/>
  <c r="EC88" i="5"/>
  <c r="AX125" i="5"/>
  <c r="EI124" i="5"/>
  <c r="EE124" i="5"/>
  <c r="EA124" i="5"/>
  <c r="BT123" i="5"/>
  <c r="EB100" i="5"/>
  <c r="CA132" i="5"/>
  <c r="BW132" i="5"/>
  <c r="EI130" i="5"/>
  <c r="EE130" i="5"/>
  <c r="BU124" i="5"/>
  <c r="EB102" i="5"/>
  <c r="BY132" i="5"/>
  <c r="BU132" i="5"/>
  <c r="BG132" i="5"/>
  <c r="BC132" i="5"/>
  <c r="EH132" i="5"/>
  <c r="ED132" i="5"/>
  <c r="AZ125" i="5"/>
  <c r="AV125" i="5"/>
  <c r="EG124" i="5"/>
  <c r="EC124" i="5"/>
  <c r="BC124" i="5"/>
  <c r="EA88" i="5"/>
  <c r="EF84" i="5"/>
  <c r="EB84" i="5"/>
  <c r="DX84" i="5"/>
  <c r="BE132" i="5"/>
  <c r="EH87" i="5"/>
  <c r="EF87" i="5"/>
  <c r="AZ122" i="5" l="1"/>
  <c r="AZ120" i="5"/>
  <c r="EF104" i="5"/>
  <c r="ED104" i="5"/>
  <c r="EC109" i="5"/>
  <c r="EE109" i="5"/>
  <c r="EG109" i="5"/>
  <c r="EI109" i="5"/>
  <c r="BA129" i="5"/>
  <c r="BD124" i="5"/>
  <c r="BF131" i="5"/>
  <c r="EB87" i="5"/>
  <c r="BA124" i="5"/>
  <c r="EE131" i="5"/>
  <c r="EI131" i="5"/>
  <c r="BD131" i="5"/>
  <c r="EC101" i="5"/>
  <c r="BV123" i="5"/>
  <c r="BX131" i="5"/>
  <c r="CB131" i="5"/>
  <c r="EC99" i="5"/>
  <c r="BU122" i="5"/>
  <c r="EB123" i="5"/>
  <c r="EF123" i="5"/>
  <c r="AY124" i="5"/>
  <c r="BX123" i="5"/>
  <c r="BZ123" i="5"/>
  <c r="AZ131" i="5"/>
  <c r="EC131" i="5"/>
  <c r="EG131" i="5"/>
  <c r="BB131" i="5"/>
  <c r="EE101" i="5"/>
  <c r="BU120" i="5"/>
  <c r="DV85" i="5"/>
  <c r="DX85" i="5"/>
  <c r="DZ85" i="5"/>
  <c r="EB85" i="5"/>
  <c r="EG86" i="5"/>
  <c r="EI86" i="5"/>
  <c r="DY83" i="5"/>
  <c r="EC83" i="5"/>
  <c r="EG83" i="5"/>
  <c r="BD123" i="5"/>
  <c r="ED123" i="5"/>
  <c r="EH123" i="5"/>
  <c r="AW124" i="5"/>
  <c r="BV131" i="5"/>
  <c r="BZ131" i="5"/>
  <c r="EF129" i="5"/>
  <c r="ED87" i="5"/>
  <c r="BE124" i="5"/>
  <c r="EC97" i="5"/>
  <c r="EA83" i="5"/>
  <c r="EE83" i="5"/>
  <c r="EI83" i="5"/>
  <c r="CB123" i="5"/>
  <c r="BZ118" i="5"/>
  <c r="BA121" i="5" l="1"/>
  <c r="BA119" i="5"/>
  <c r="BB128" i="5"/>
  <c r="EE103" i="5"/>
  <c r="BE123" i="5"/>
  <c r="EH108" i="5"/>
  <c r="EF108" i="5"/>
  <c r="ED108" i="5"/>
  <c r="EG103" i="5"/>
  <c r="ED96" i="5"/>
  <c r="BF123" i="5"/>
  <c r="EE86" i="5"/>
  <c r="EG128" i="5"/>
  <c r="EH85" i="5"/>
  <c r="BV119" i="5"/>
  <c r="BA130" i="5"/>
  <c r="CA122" i="5"/>
  <c r="AZ123" i="5"/>
  <c r="EG122" i="5"/>
  <c r="EC122" i="5"/>
  <c r="ED98" i="5"/>
  <c r="BY130" i="5"/>
  <c r="BG130" i="5"/>
  <c r="CA117" i="5"/>
  <c r="EF82" i="5"/>
  <c r="EB82" i="5"/>
  <c r="CA130" i="5"/>
  <c r="BW130" i="5"/>
  <c r="AX123" i="5"/>
  <c r="EI122" i="5"/>
  <c r="EE122" i="5"/>
  <c r="BE122" i="5"/>
  <c r="EH82" i="5"/>
  <c r="ED82" i="5"/>
  <c r="DZ82" i="5"/>
  <c r="EC84" i="5"/>
  <c r="EA84" i="5"/>
  <c r="DY84" i="5"/>
  <c r="DW84" i="5"/>
  <c r="EF100" i="5"/>
  <c r="BC130" i="5"/>
  <c r="EH130" i="5"/>
  <c r="ED130" i="5"/>
  <c r="BY122" i="5"/>
  <c r="BV121" i="5"/>
  <c r="BW122" i="5"/>
  <c r="ED100" i="5"/>
  <c r="BE130" i="5"/>
  <c r="EF130" i="5"/>
  <c r="BB123" i="5"/>
  <c r="EC86" i="5"/>
  <c r="BB120" i="5" l="1"/>
  <c r="BB118" i="5"/>
  <c r="EH102" i="5"/>
  <c r="EE107" i="5"/>
  <c r="EG107" i="5"/>
  <c r="EI107" i="5"/>
  <c r="BF122" i="5"/>
  <c r="EF102" i="5"/>
  <c r="BC127" i="5"/>
  <c r="ED85" i="5"/>
  <c r="EG129" i="5"/>
  <c r="BF129" i="5"/>
  <c r="EE99" i="5"/>
  <c r="BZ121" i="5"/>
  <c r="BC122" i="5"/>
  <c r="BX121" i="5"/>
  <c r="EE129" i="5"/>
  <c r="EI129" i="5"/>
  <c r="BD129" i="5"/>
  <c r="EG99" i="5"/>
  <c r="CB116" i="5"/>
  <c r="BZ129" i="5"/>
  <c r="EE97" i="5"/>
  <c r="BA122" i="5"/>
  <c r="CB121" i="5"/>
  <c r="BB129" i="5"/>
  <c r="EI84" i="5"/>
  <c r="EH127" i="5"/>
  <c r="BG122" i="5"/>
  <c r="BW120" i="5"/>
  <c r="DX83" i="5"/>
  <c r="DZ83" i="5"/>
  <c r="EB83" i="5"/>
  <c r="ED83" i="5"/>
  <c r="EA81" i="5"/>
  <c r="EE81" i="5"/>
  <c r="EI81" i="5"/>
  <c r="BF121" i="5"/>
  <c r="EF121" i="5"/>
  <c r="AY122" i="5"/>
  <c r="BX129" i="5"/>
  <c r="CB129" i="5"/>
  <c r="EC81" i="5"/>
  <c r="EG81" i="5"/>
  <c r="ED121" i="5"/>
  <c r="EH121" i="5"/>
  <c r="BW118" i="5"/>
  <c r="EF85" i="5"/>
  <c r="EE95" i="5"/>
  <c r="BC119" i="5" l="1"/>
  <c r="BC117" i="5"/>
  <c r="BD126" i="5"/>
  <c r="BG121" i="5"/>
  <c r="EI101" i="5"/>
  <c r="EG101" i="5"/>
  <c r="EH106" i="5"/>
  <c r="EF106" i="5"/>
  <c r="EF94" i="5"/>
  <c r="EH80" i="5"/>
  <c r="ED80" i="5"/>
  <c r="EG120" i="5"/>
  <c r="BX119" i="5"/>
  <c r="BB121" i="5"/>
  <c r="EF96" i="5"/>
  <c r="CA128" i="5"/>
  <c r="BE128" i="5"/>
  <c r="EF128" i="5"/>
  <c r="BY120" i="5"/>
  <c r="BD121" i="5"/>
  <c r="CA120" i="5"/>
  <c r="EG84" i="5"/>
  <c r="BX117" i="5"/>
  <c r="EI120" i="5"/>
  <c r="EE120" i="5"/>
  <c r="BY128" i="5"/>
  <c r="AZ121" i="5"/>
  <c r="BG120" i="5"/>
  <c r="EF80" i="5"/>
  <c r="EB80" i="5"/>
  <c r="EE82" i="5"/>
  <c r="EC82" i="5"/>
  <c r="EA82" i="5"/>
  <c r="DY82" i="5"/>
  <c r="EI126" i="5"/>
  <c r="BC128" i="5"/>
  <c r="EH98" i="5"/>
  <c r="EF98" i="5"/>
  <c r="BG128" i="5"/>
  <c r="EH128" i="5"/>
  <c r="EE84" i="5"/>
  <c r="BD118" i="5" l="1"/>
  <c r="BD116" i="5"/>
  <c r="EG105" i="5"/>
  <c r="EI105" i="5"/>
  <c r="EH100" i="5"/>
  <c r="BE125" i="5"/>
  <c r="EI97" i="5"/>
  <c r="DZ81" i="5"/>
  <c r="EB81" i="5"/>
  <c r="ED81" i="5"/>
  <c r="EF81" i="5"/>
  <c r="EC79" i="5"/>
  <c r="EG79" i="5"/>
  <c r="EH83" i="5"/>
  <c r="CB119" i="5"/>
  <c r="BF127" i="5"/>
  <c r="BY118" i="5"/>
  <c r="EH119" i="5"/>
  <c r="EG93" i="5"/>
  <c r="EF83" i="5"/>
  <c r="EI127" i="5"/>
  <c r="EG97" i="5"/>
  <c r="BD127" i="5"/>
  <c r="BA120" i="5"/>
  <c r="BZ127" i="5"/>
  <c r="EF119" i="5"/>
  <c r="BY116" i="5"/>
  <c r="BE120" i="5"/>
  <c r="BZ119" i="5"/>
  <c r="EG127" i="5"/>
  <c r="CB127" i="5"/>
  <c r="EG95" i="5"/>
  <c r="BC120" i="5"/>
  <c r="EE79" i="5"/>
  <c r="EI79" i="5"/>
  <c r="BE117" i="5" l="1"/>
  <c r="BE115" i="5"/>
  <c r="EI99" i="5"/>
  <c r="EH104" i="5"/>
  <c r="BF124" i="5"/>
  <c r="BD119" i="5"/>
  <c r="EH126" i="5"/>
  <c r="CA118" i="5"/>
  <c r="EF78" i="5"/>
  <c r="BF119" i="5"/>
  <c r="BZ115" i="5"/>
  <c r="EG118" i="5"/>
  <c r="EG82" i="5"/>
  <c r="EI118" i="5"/>
  <c r="EH78" i="5"/>
  <c r="ED78" i="5"/>
  <c r="EG80" i="5"/>
  <c r="EE80" i="5"/>
  <c r="EC80" i="5"/>
  <c r="EA80" i="5"/>
  <c r="EH94" i="5"/>
  <c r="CA126" i="5"/>
  <c r="BB119" i="5"/>
  <c r="BE126" i="5"/>
  <c r="EH96" i="5"/>
  <c r="EH92" i="5"/>
  <c r="BZ117" i="5"/>
  <c r="BG126" i="5"/>
  <c r="EI82" i="5"/>
  <c r="BF116" i="5" l="1"/>
  <c r="BF114" i="5"/>
  <c r="BG123" i="5"/>
  <c r="EI103" i="5"/>
  <c r="EI91" i="5"/>
  <c r="BC118" i="5"/>
  <c r="EI93" i="5"/>
  <c r="CA114" i="5"/>
  <c r="BG118" i="5"/>
  <c r="EI125" i="5"/>
  <c r="BE118" i="5"/>
  <c r="CA116" i="5"/>
  <c r="EI95" i="5"/>
  <c r="BF125" i="5"/>
  <c r="CB125" i="5"/>
  <c r="EB79" i="5"/>
  <c r="ED79" i="5"/>
  <c r="EF79" i="5"/>
  <c r="EH79" i="5"/>
  <c r="EE77" i="5"/>
  <c r="EI77" i="5"/>
  <c r="EH81" i="5"/>
  <c r="EH117" i="5"/>
  <c r="EG77" i="5"/>
  <c r="CB117" i="5"/>
  <c r="BG115" i="5" l="1"/>
  <c r="BG113" i="5"/>
  <c r="EH76" i="5"/>
  <c r="EI116" i="5"/>
  <c r="CB115" i="5"/>
  <c r="BD117" i="5"/>
  <c r="EI80" i="5"/>
  <c r="EF76" i="5"/>
  <c r="EI78" i="5"/>
  <c r="EG78" i="5"/>
  <c r="EE78" i="5"/>
  <c r="EC78" i="5"/>
  <c r="BG124" i="5"/>
  <c r="BF117" i="5"/>
  <c r="CB113" i="5"/>
  <c r="BG116" i="5" l="1"/>
  <c r="ED77" i="5"/>
  <c r="EF77" i="5"/>
  <c r="EH77" i="5"/>
  <c r="BE116" i="5"/>
  <c r="EG75" i="5"/>
  <c r="EI75" i="5"/>
  <c r="EI76" i="5" l="1"/>
  <c r="EE76" i="5"/>
  <c r="EH74" i="5"/>
  <c r="BF115" i="5"/>
  <c r="EG76" i="5"/>
  <c r="EH75" i="5" l="1"/>
  <c r="BG114" i="5"/>
  <c r="EI73" i="5"/>
  <c r="EF75" i="5"/>
  <c r="EG74" i="5" l="1"/>
  <c r="EI74" i="5"/>
  <c r="EH73" i="5" l="1"/>
  <c r="EI72" i="5" l="1"/>
  <c r="D29" i="5" l="1"/>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28" i="5"/>
  <c r="J28" i="5" l="1"/>
  <c r="I28" i="5" l="1"/>
  <c r="J29" i="5" l="1"/>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E29" i="5"/>
  <c r="F29" i="5" s="1"/>
  <c r="JY29" i="5" s="1"/>
  <c r="E30" i="5"/>
  <c r="F30" i="5" s="1"/>
  <c r="JY30" i="5" s="1"/>
  <c r="E31" i="5"/>
  <c r="F31" i="5" s="1"/>
  <c r="JY31" i="5" s="1"/>
  <c r="E32" i="5"/>
  <c r="F32" i="5" s="1"/>
  <c r="JY32" i="5" s="1"/>
  <c r="E33" i="5"/>
  <c r="F33" i="5" s="1"/>
  <c r="JY33" i="5" s="1"/>
  <c r="E34" i="5"/>
  <c r="F34" i="5" s="1"/>
  <c r="JY34" i="5" s="1"/>
  <c r="E35" i="5"/>
  <c r="F35" i="5" s="1"/>
  <c r="JY35" i="5" s="1"/>
  <c r="E36" i="5"/>
  <c r="F36" i="5" s="1"/>
  <c r="JY36" i="5" s="1"/>
  <c r="E37" i="5"/>
  <c r="F37" i="5" s="1"/>
  <c r="JY37" i="5" s="1"/>
  <c r="E38" i="5"/>
  <c r="F38" i="5" s="1"/>
  <c r="JY38" i="5" s="1"/>
  <c r="E39" i="5"/>
  <c r="F39" i="5" s="1"/>
  <c r="JY39" i="5" s="1"/>
  <c r="E40" i="5"/>
  <c r="F40" i="5" s="1"/>
  <c r="JY40" i="5" s="1"/>
  <c r="E41" i="5"/>
  <c r="F41" i="5" s="1"/>
  <c r="JY41" i="5" s="1"/>
  <c r="E42" i="5"/>
  <c r="F42" i="5" s="1"/>
  <c r="JY42" i="5" s="1"/>
  <c r="E43" i="5"/>
  <c r="F43" i="5" s="1"/>
  <c r="JY43" i="5" s="1"/>
  <c r="E44" i="5"/>
  <c r="F44" i="5" s="1"/>
  <c r="JY44" i="5" s="1"/>
  <c r="E45" i="5"/>
  <c r="F45" i="5" s="1"/>
  <c r="JY45" i="5" s="1"/>
  <c r="E46" i="5"/>
  <c r="F46" i="5" s="1"/>
  <c r="JY46" i="5" s="1"/>
  <c r="E47" i="5"/>
  <c r="F47" i="5" s="1"/>
  <c r="JY47" i="5" s="1"/>
  <c r="E48" i="5"/>
  <c r="F48" i="5" s="1"/>
  <c r="JY48" i="5" s="1"/>
  <c r="E49" i="5"/>
  <c r="F49" i="5" s="1"/>
  <c r="JY49" i="5" s="1"/>
  <c r="E50" i="5"/>
  <c r="F50" i="5" s="1"/>
  <c r="JY50" i="5" s="1"/>
  <c r="E51" i="5"/>
  <c r="F51" i="5" s="1"/>
  <c r="JY51" i="5" s="1"/>
  <c r="E52" i="5"/>
  <c r="F52" i="5" s="1"/>
  <c r="JY52" i="5" s="1"/>
  <c r="E53" i="5"/>
  <c r="F53" i="5" s="1"/>
  <c r="JY53" i="5" s="1"/>
  <c r="E54" i="5"/>
  <c r="F54" i="5" s="1"/>
  <c r="JY54" i="5" s="1"/>
  <c r="E55" i="5"/>
  <c r="F55" i="5" s="1"/>
  <c r="JY55" i="5" s="1"/>
  <c r="E56" i="5"/>
  <c r="F56" i="5" s="1"/>
  <c r="JY56" i="5" s="1"/>
  <c r="E57" i="5"/>
  <c r="F57" i="5" s="1"/>
  <c r="JY57" i="5" s="1"/>
  <c r="E58" i="5"/>
  <c r="F58" i="5" s="1"/>
  <c r="JY58" i="5" s="1"/>
  <c r="E59" i="5"/>
  <c r="F59" i="5" s="1"/>
  <c r="JY59" i="5" s="1"/>
  <c r="E60" i="5"/>
  <c r="F60" i="5" s="1"/>
  <c r="JY60" i="5" s="1"/>
  <c r="E61" i="5"/>
  <c r="F61" i="5" s="1"/>
  <c r="JY61" i="5" s="1"/>
  <c r="E62" i="5"/>
  <c r="F62" i="5" s="1"/>
  <c r="JY62" i="5" s="1"/>
  <c r="E63" i="5"/>
  <c r="F63" i="5" s="1"/>
  <c r="JY63" i="5" s="1"/>
  <c r="E64" i="5"/>
  <c r="F64" i="5" s="1"/>
  <c r="JY64" i="5" s="1"/>
  <c r="E65" i="5"/>
  <c r="F65" i="5" s="1"/>
  <c r="JY65" i="5" s="1"/>
  <c r="E66" i="5"/>
  <c r="F66" i="5" s="1"/>
  <c r="JY66" i="5" s="1"/>
  <c r="E67" i="5"/>
  <c r="F67" i="5" s="1"/>
  <c r="JY67" i="5" s="1"/>
  <c r="E68" i="5"/>
  <c r="F68" i="5" s="1"/>
  <c r="JY68" i="5" s="1"/>
  <c r="E69" i="5"/>
  <c r="F69" i="5" s="1"/>
  <c r="JY69" i="5" s="1"/>
  <c r="E70" i="5"/>
  <c r="F70" i="5" s="1"/>
  <c r="JY70" i="5" s="1"/>
  <c r="E71" i="5"/>
  <c r="F71" i="5" s="1"/>
  <c r="JY71" i="5" s="1"/>
  <c r="E72" i="5"/>
  <c r="F72" i="5" s="1"/>
  <c r="JY72" i="5" s="1"/>
  <c r="E73" i="5"/>
  <c r="F73" i="5" s="1"/>
  <c r="JY73" i="5" s="1"/>
  <c r="E74" i="5"/>
  <c r="F74" i="5" s="1"/>
  <c r="JY74" i="5" s="1"/>
  <c r="E75" i="5"/>
  <c r="F75" i="5" s="1"/>
  <c r="JY75" i="5" s="1"/>
  <c r="E76" i="5"/>
  <c r="F76" i="5" s="1"/>
  <c r="JY76" i="5" s="1"/>
  <c r="E77" i="5"/>
  <c r="F77" i="5" s="1"/>
  <c r="JY77" i="5" s="1"/>
  <c r="E78" i="5"/>
  <c r="F78" i="5" s="1"/>
  <c r="JY78" i="5" s="1"/>
  <c r="E79" i="5"/>
  <c r="F79" i="5" s="1"/>
  <c r="JY79" i="5" s="1"/>
  <c r="E80" i="5"/>
  <c r="F80" i="5" s="1"/>
  <c r="JY80" i="5" s="1"/>
  <c r="E81" i="5"/>
  <c r="F81" i="5" s="1"/>
  <c r="JY81" i="5" s="1"/>
  <c r="E82" i="5"/>
  <c r="F82" i="5" s="1"/>
  <c r="JY82" i="5" s="1"/>
  <c r="E83" i="5"/>
  <c r="F83" i="5" s="1"/>
  <c r="JY83" i="5" s="1"/>
  <c r="E84" i="5"/>
  <c r="F84" i="5" s="1"/>
  <c r="JY84" i="5" s="1"/>
  <c r="E85" i="5"/>
  <c r="F85" i="5" s="1"/>
  <c r="JY85" i="5" s="1"/>
  <c r="E86" i="5"/>
  <c r="F86" i="5" s="1"/>
  <c r="JY86" i="5" s="1"/>
  <c r="E87" i="5"/>
  <c r="F87" i="5" s="1"/>
  <c r="JY87" i="5" s="1"/>
  <c r="E88" i="5"/>
  <c r="F88" i="5" s="1"/>
  <c r="JY88" i="5" s="1"/>
  <c r="E89" i="5"/>
  <c r="F89" i="5" s="1"/>
  <c r="JY89" i="5" s="1"/>
  <c r="E90" i="5"/>
  <c r="F90" i="5" s="1"/>
  <c r="JY90" i="5" s="1"/>
  <c r="E91" i="5"/>
  <c r="F91" i="5" s="1"/>
  <c r="JY91" i="5" s="1"/>
  <c r="E92" i="5"/>
  <c r="F92" i="5" s="1"/>
  <c r="JY92" i="5" s="1"/>
  <c r="E93" i="5"/>
  <c r="F93" i="5" s="1"/>
  <c r="JY93" i="5" s="1"/>
  <c r="E94" i="5"/>
  <c r="F94" i="5" s="1"/>
  <c r="JY94" i="5" s="1"/>
  <c r="E95" i="5"/>
  <c r="F95" i="5" s="1"/>
  <c r="JY95" i="5" s="1"/>
  <c r="E96" i="5"/>
  <c r="F96" i="5" s="1"/>
  <c r="JY96" i="5" s="1"/>
  <c r="E97" i="5"/>
  <c r="F97" i="5" s="1"/>
  <c r="JY97" i="5" s="1"/>
  <c r="E98" i="5"/>
  <c r="F98" i="5" s="1"/>
  <c r="JY98" i="5" s="1"/>
  <c r="E99" i="5"/>
  <c r="F99" i="5" s="1"/>
  <c r="JY99" i="5" s="1"/>
  <c r="E100" i="5"/>
  <c r="F100" i="5" s="1"/>
  <c r="JY100" i="5" s="1"/>
  <c r="E101" i="5"/>
  <c r="F101" i="5" s="1"/>
  <c r="JY101" i="5" s="1"/>
  <c r="E102" i="5"/>
  <c r="F102" i="5" s="1"/>
  <c r="JY102" i="5" s="1"/>
  <c r="E103" i="5"/>
  <c r="F103" i="5" s="1"/>
  <c r="JY103" i="5" s="1"/>
  <c r="E104" i="5"/>
  <c r="F104" i="5" s="1"/>
  <c r="JY104" i="5" s="1"/>
  <c r="E105" i="5"/>
  <c r="F105" i="5" s="1"/>
  <c r="JY105" i="5" s="1"/>
  <c r="E106" i="5"/>
  <c r="F106" i="5" s="1"/>
  <c r="JY106" i="5" s="1"/>
  <c r="E107" i="5"/>
  <c r="F107" i="5" s="1"/>
  <c r="JY107" i="5" s="1"/>
  <c r="E108" i="5"/>
  <c r="F108" i="5" s="1"/>
  <c r="JY108" i="5" s="1"/>
  <c r="E109" i="5"/>
  <c r="F109" i="5" s="1"/>
  <c r="JY109" i="5" s="1"/>
  <c r="E110" i="5"/>
  <c r="F110" i="5" s="1"/>
  <c r="JY110" i="5" s="1"/>
  <c r="E111" i="5"/>
  <c r="F111" i="5" s="1"/>
  <c r="JY111" i="5" s="1"/>
  <c r="E112" i="5"/>
  <c r="F112" i="5" s="1"/>
  <c r="JY112" i="5" s="1"/>
  <c r="E113" i="5"/>
  <c r="F113" i="5" s="1"/>
  <c r="JY113" i="5" s="1"/>
  <c r="E114" i="5"/>
  <c r="F114" i="5" s="1"/>
  <c r="JY114" i="5" s="1"/>
  <c r="E115" i="5"/>
  <c r="F115" i="5" s="1"/>
  <c r="JY115" i="5" s="1"/>
  <c r="E116" i="5"/>
  <c r="F116" i="5" s="1"/>
  <c r="JY116" i="5" s="1"/>
  <c r="E117" i="5"/>
  <c r="F117" i="5" s="1"/>
  <c r="JY117" i="5" s="1"/>
  <c r="E118" i="5"/>
  <c r="F118" i="5" s="1"/>
  <c r="JY118" i="5" s="1"/>
  <c r="E119" i="5"/>
  <c r="F119" i="5" s="1"/>
  <c r="JY119" i="5" s="1"/>
  <c r="E120" i="5"/>
  <c r="F120" i="5" s="1"/>
  <c r="JY120" i="5" s="1"/>
  <c r="E121" i="5"/>
  <c r="F121" i="5" s="1"/>
  <c r="JY121" i="5" s="1"/>
  <c r="E122" i="5"/>
  <c r="F122" i="5" s="1"/>
  <c r="JY122" i="5" s="1"/>
  <c r="E123" i="5"/>
  <c r="F123" i="5" s="1"/>
  <c r="JY123" i="5" s="1"/>
  <c r="E124" i="5"/>
  <c r="F124" i="5" s="1"/>
  <c r="JY124" i="5" s="1"/>
  <c r="E125" i="5"/>
  <c r="F125" i="5" s="1"/>
  <c r="JY125" i="5" s="1"/>
  <c r="E126" i="5"/>
  <c r="F126" i="5" s="1"/>
  <c r="JY126" i="5" s="1"/>
  <c r="E127" i="5"/>
  <c r="F127" i="5" s="1"/>
  <c r="JY127" i="5" s="1"/>
  <c r="E128" i="5"/>
  <c r="F128" i="5" s="1"/>
  <c r="JY128" i="5" s="1"/>
  <c r="E129" i="5"/>
  <c r="F129" i="5" s="1"/>
  <c r="JY129" i="5" s="1"/>
  <c r="E130" i="5"/>
  <c r="F130" i="5" s="1"/>
  <c r="JY130" i="5" s="1"/>
  <c r="E131" i="5"/>
  <c r="F131" i="5" s="1"/>
  <c r="JY131" i="5" s="1"/>
  <c r="E132" i="5"/>
  <c r="F132" i="5" s="1"/>
  <c r="JY132" i="5" s="1"/>
  <c r="E133" i="5"/>
  <c r="F133" i="5" s="1"/>
  <c r="JY133" i="5" s="1"/>
  <c r="E28" i="5"/>
  <c r="F28" i="5" s="1"/>
  <c r="JY28" i="5" s="1"/>
  <c r="K132" i="5" l="1"/>
  <c r="K130" i="5"/>
  <c r="K128" i="5"/>
  <c r="K126" i="5"/>
  <c r="K124" i="5"/>
  <c r="K122" i="5"/>
  <c r="K120" i="5"/>
  <c r="K118" i="5"/>
  <c r="K116" i="5"/>
  <c r="K114" i="5"/>
  <c r="K112" i="5"/>
  <c r="K110" i="5"/>
  <c r="K108" i="5"/>
  <c r="K106" i="5"/>
  <c r="K104" i="5"/>
  <c r="K102" i="5"/>
  <c r="K100" i="5"/>
  <c r="K98" i="5"/>
  <c r="K96" i="5"/>
  <c r="K94" i="5"/>
  <c r="K92" i="5"/>
  <c r="K90" i="5"/>
  <c r="K88" i="5"/>
  <c r="K86" i="5"/>
  <c r="K84" i="5"/>
  <c r="K82" i="5"/>
  <c r="K80" i="5"/>
  <c r="K78" i="5"/>
  <c r="K76" i="5"/>
  <c r="K74" i="5"/>
  <c r="K72" i="5"/>
  <c r="K70" i="5"/>
  <c r="K68" i="5"/>
  <c r="K66" i="5"/>
  <c r="K64" i="5"/>
  <c r="K62" i="5"/>
  <c r="K60" i="5"/>
  <c r="K58" i="5"/>
  <c r="K56" i="5"/>
  <c r="K54" i="5"/>
  <c r="K52" i="5"/>
  <c r="K50" i="5"/>
  <c r="K48" i="5"/>
  <c r="K46" i="5"/>
  <c r="K44" i="5"/>
  <c r="K42" i="5"/>
  <c r="K40" i="5"/>
  <c r="K38" i="5"/>
  <c r="K36" i="5"/>
  <c r="K34" i="5"/>
  <c r="K32" i="5"/>
  <c r="K30" i="5"/>
  <c r="K133" i="5"/>
  <c r="K131" i="5"/>
  <c r="K129" i="5"/>
  <c r="K127" i="5"/>
  <c r="K125" i="5"/>
  <c r="K123" i="5"/>
  <c r="K121" i="5"/>
  <c r="K119" i="5"/>
  <c r="K117" i="5"/>
  <c r="K115" i="5"/>
  <c r="K113" i="5"/>
  <c r="K111" i="5"/>
  <c r="K109" i="5"/>
  <c r="K107" i="5"/>
  <c r="K105" i="5"/>
  <c r="K103" i="5"/>
  <c r="K101" i="5"/>
  <c r="K99" i="5"/>
  <c r="K97" i="5"/>
  <c r="K95" i="5"/>
  <c r="K93" i="5"/>
  <c r="K91" i="5"/>
  <c r="K89" i="5"/>
  <c r="K87" i="5"/>
  <c r="K85" i="5"/>
  <c r="K83" i="5"/>
  <c r="K81" i="5"/>
  <c r="K79" i="5"/>
  <c r="K77" i="5"/>
  <c r="K75" i="5"/>
  <c r="K73" i="5"/>
  <c r="K71" i="5"/>
  <c r="K69" i="5"/>
  <c r="K67" i="5"/>
  <c r="K65" i="5"/>
  <c r="K63" i="5"/>
  <c r="K61" i="5"/>
  <c r="K59" i="5"/>
  <c r="K57" i="5"/>
  <c r="K55" i="5"/>
  <c r="K53" i="5"/>
  <c r="K51" i="5"/>
  <c r="K49" i="5"/>
  <c r="K47" i="5"/>
  <c r="K45" i="5"/>
  <c r="K43" i="5"/>
  <c r="K41" i="5"/>
  <c r="K39" i="5"/>
  <c r="K37" i="5"/>
  <c r="K35" i="5"/>
  <c r="K33" i="5"/>
  <c r="K31" i="5"/>
  <c r="K29" i="5"/>
  <c r="K28" i="5"/>
  <c r="L28" i="5" s="1"/>
  <c r="C3" i="5"/>
  <c r="KC47" i="5" l="1"/>
  <c r="KD46" i="5"/>
  <c r="KC45" i="5"/>
  <c r="KD44" i="5"/>
  <c r="KC43" i="5"/>
  <c r="KD42" i="5"/>
  <c r="KC41" i="5"/>
  <c r="KD40" i="5"/>
  <c r="KD39" i="5"/>
  <c r="KD38" i="5"/>
  <c r="KD37" i="5"/>
  <c r="KC36" i="5"/>
  <c r="KC35" i="5"/>
  <c r="KD34" i="5"/>
  <c r="KC33" i="5"/>
  <c r="KD32" i="5"/>
  <c r="KC31" i="5"/>
  <c r="KC30" i="5"/>
  <c r="KD28" i="5"/>
  <c r="KD47" i="5"/>
  <c r="KC46" i="5"/>
  <c r="KD45" i="5"/>
  <c r="KC44" i="5"/>
  <c r="KD43" i="5"/>
  <c r="KC42" i="5"/>
  <c r="KD41" i="5"/>
  <c r="KC40" i="5"/>
  <c r="KC39" i="5"/>
  <c r="KC38" i="5"/>
  <c r="KC37" i="5"/>
  <c r="KD36" i="5"/>
  <c r="KD35" i="5"/>
  <c r="KC34" i="5"/>
  <c r="KD33" i="5"/>
  <c r="KC32" i="5"/>
  <c r="KD31" i="5"/>
  <c r="KD30" i="5"/>
  <c r="KD29" i="5"/>
  <c r="KC29" i="5"/>
  <c r="L31" i="5"/>
  <c r="L35" i="5"/>
  <c r="L39" i="5"/>
  <c r="L43" i="5"/>
  <c r="L47" i="5"/>
  <c r="L51" i="5"/>
  <c r="L55" i="5"/>
  <c r="L59" i="5"/>
  <c r="L63" i="5"/>
  <c r="L67" i="5"/>
  <c r="L71" i="5"/>
  <c r="L75" i="5"/>
  <c r="L79" i="5"/>
  <c r="L83" i="5"/>
  <c r="L87" i="5"/>
  <c r="L91" i="5"/>
  <c r="L95" i="5"/>
  <c r="L99" i="5"/>
  <c r="L103" i="5"/>
  <c r="L107" i="5"/>
  <c r="L111" i="5"/>
  <c r="L115" i="5"/>
  <c r="L119" i="5"/>
  <c r="L123" i="5"/>
  <c r="L127" i="5"/>
  <c r="L131" i="5"/>
  <c r="L32" i="5"/>
  <c r="L29" i="5"/>
  <c r="L33" i="5"/>
  <c r="L37" i="5"/>
  <c r="L41" i="5"/>
  <c r="L45" i="5"/>
  <c r="L49" i="5"/>
  <c r="L53" i="5"/>
  <c r="L57" i="5"/>
  <c r="L61" i="5"/>
  <c r="L65" i="5"/>
  <c r="L69" i="5"/>
  <c r="L73" i="5"/>
  <c r="L77" i="5"/>
  <c r="L81" i="5"/>
  <c r="L85" i="5"/>
  <c r="L89" i="5"/>
  <c r="L93" i="5"/>
  <c r="L97" i="5"/>
  <c r="L101" i="5"/>
  <c r="L105" i="5"/>
  <c r="L109" i="5"/>
  <c r="L113" i="5"/>
  <c r="L117" i="5"/>
  <c r="L121" i="5"/>
  <c r="L125" i="5"/>
  <c r="L129" i="5"/>
  <c r="L133" i="5"/>
  <c r="L30" i="5"/>
  <c r="L34" i="5"/>
  <c r="L36" i="5"/>
  <c r="L38" i="5"/>
  <c r="L40" i="5"/>
  <c r="L42" i="5"/>
  <c r="L44" i="5"/>
  <c r="L46" i="5"/>
  <c r="L48" i="5"/>
  <c r="L50" i="5"/>
  <c r="L52" i="5"/>
  <c r="L54" i="5"/>
  <c r="L56" i="5"/>
  <c r="L58" i="5"/>
  <c r="L60" i="5"/>
  <c r="L62" i="5"/>
  <c r="L64" i="5"/>
  <c r="L66" i="5"/>
  <c r="L68" i="5"/>
  <c r="L70" i="5"/>
  <c r="L72" i="5"/>
  <c r="L74" i="5"/>
  <c r="L76" i="5"/>
  <c r="L78" i="5"/>
  <c r="L80" i="5"/>
  <c r="L82" i="5"/>
  <c r="L84" i="5"/>
  <c r="L86" i="5"/>
  <c r="L88" i="5"/>
  <c r="L90" i="5"/>
  <c r="L92" i="5"/>
  <c r="L94" i="5"/>
  <c r="L96" i="5"/>
  <c r="L98" i="5"/>
  <c r="L100" i="5"/>
  <c r="L102" i="5"/>
  <c r="L104" i="5"/>
  <c r="L106" i="5"/>
  <c r="L108" i="5"/>
  <c r="L110" i="5"/>
  <c r="L112" i="5"/>
  <c r="L114" i="5"/>
  <c r="L116" i="5"/>
  <c r="L118" i="5"/>
  <c r="L120" i="5"/>
  <c r="L122" i="5"/>
  <c r="L124" i="5"/>
  <c r="L126" i="5"/>
  <c r="L128" i="5"/>
  <c r="L130" i="5"/>
  <c r="L132" i="5"/>
  <c r="D3" i="5"/>
  <c r="O28" i="5" s="1"/>
  <c r="I10" i="7"/>
  <c r="HY135" i="5" l="1"/>
  <c r="IS135" i="5" s="1"/>
  <c r="JL135" i="5" s="1"/>
  <c r="HY134" i="5"/>
  <c r="IS134" i="5" s="1"/>
  <c r="JL134" i="5" s="1"/>
  <c r="HY138" i="5"/>
  <c r="IS138" i="5" s="1"/>
  <c r="JL138" i="5" s="1"/>
  <c r="HY137" i="5"/>
  <c r="IS137" i="5" s="1"/>
  <c r="JL137" i="5" s="1"/>
  <c r="HY136" i="5"/>
  <c r="IS136" i="5" s="1"/>
  <c r="JL136" i="5" s="1"/>
  <c r="IA137" i="5"/>
  <c r="IU137" i="5" s="1"/>
  <c r="JN137" i="5" s="1"/>
  <c r="IA138" i="5"/>
  <c r="IU138" i="5" s="1"/>
  <c r="JN138" i="5" s="1"/>
  <c r="IA135" i="5"/>
  <c r="IU135" i="5" s="1"/>
  <c r="JN135" i="5" s="1"/>
  <c r="IA134" i="5"/>
  <c r="IU134" i="5" s="1"/>
  <c r="JN134" i="5" s="1"/>
  <c r="IA136" i="5"/>
  <c r="IU136" i="5" s="1"/>
  <c r="JN136" i="5" s="1"/>
  <c r="HX134" i="5"/>
  <c r="IR134" i="5" s="1"/>
  <c r="JK134" i="5" s="1"/>
  <c r="HX138" i="5"/>
  <c r="IR138" i="5" s="1"/>
  <c r="JK138" i="5" s="1"/>
  <c r="HX137" i="5"/>
  <c r="IR137" i="5" s="1"/>
  <c r="JK137" i="5" s="1"/>
  <c r="HX136" i="5"/>
  <c r="IR136" i="5" s="1"/>
  <c r="JK136" i="5" s="1"/>
  <c r="HX135" i="5"/>
  <c r="IR135" i="5" s="1"/>
  <c r="JK135" i="5" s="1"/>
  <c r="HZ136" i="5"/>
  <c r="IT136" i="5" s="1"/>
  <c r="JM136" i="5" s="1"/>
  <c r="HZ135" i="5"/>
  <c r="IT135" i="5" s="1"/>
  <c r="JM135" i="5" s="1"/>
  <c r="HZ134" i="5"/>
  <c r="IT134" i="5" s="1"/>
  <c r="JM134" i="5" s="1"/>
  <c r="HZ138" i="5"/>
  <c r="IT138" i="5" s="1"/>
  <c r="JM138" i="5" s="1"/>
  <c r="HZ137" i="5"/>
  <c r="IT137" i="5" s="1"/>
  <c r="JM137" i="5" s="1"/>
  <c r="IB134" i="5"/>
  <c r="IV134" i="5" s="1"/>
  <c r="JO134" i="5" s="1"/>
  <c r="IB138" i="5"/>
  <c r="IV138" i="5" s="1"/>
  <c r="JO138" i="5" s="1"/>
  <c r="IB137" i="5"/>
  <c r="IV137" i="5" s="1"/>
  <c r="JO137" i="5" s="1"/>
  <c r="IB135" i="5"/>
  <c r="IV135" i="5" s="1"/>
  <c r="JO135" i="5" s="1"/>
  <c r="IB136" i="5"/>
  <c r="IV136" i="5" s="1"/>
  <c r="JO136" i="5" s="1"/>
  <c r="ID136" i="5"/>
  <c r="IX136" i="5" s="1"/>
  <c r="JQ136" i="5" s="1"/>
  <c r="ID135" i="5"/>
  <c r="IX135" i="5" s="1"/>
  <c r="JQ135" i="5" s="1"/>
  <c r="ID134" i="5"/>
  <c r="IX134" i="5" s="1"/>
  <c r="JQ134" i="5" s="1"/>
  <c r="ID138" i="5"/>
  <c r="IX138" i="5" s="1"/>
  <c r="JQ138" i="5" s="1"/>
  <c r="ID137" i="5"/>
  <c r="IX137" i="5" s="1"/>
  <c r="JQ137" i="5" s="1"/>
  <c r="IF137" i="5"/>
  <c r="IZ137" i="5" s="1"/>
  <c r="JS137" i="5" s="1"/>
  <c r="IF134" i="5"/>
  <c r="IZ134" i="5" s="1"/>
  <c r="JS134" i="5" s="1"/>
  <c r="IF135" i="5"/>
  <c r="IZ135" i="5" s="1"/>
  <c r="JS135" i="5" s="1"/>
  <c r="IF136" i="5"/>
  <c r="IZ136" i="5" s="1"/>
  <c r="JS136" i="5" s="1"/>
  <c r="IF138" i="5"/>
  <c r="IZ138" i="5" s="1"/>
  <c r="JS138" i="5" s="1"/>
  <c r="IH134" i="5"/>
  <c r="JB134" i="5" s="1"/>
  <c r="JU134" i="5" s="1"/>
  <c r="IH138" i="5"/>
  <c r="JB138" i="5" s="1"/>
  <c r="JU138" i="5" s="1"/>
  <c r="IH136" i="5"/>
  <c r="JB136" i="5" s="1"/>
  <c r="JU136" i="5" s="1"/>
  <c r="IH135" i="5"/>
  <c r="JB135" i="5" s="1"/>
  <c r="JU135" i="5" s="1"/>
  <c r="IH137" i="5"/>
  <c r="JB137" i="5" s="1"/>
  <c r="JU137" i="5" s="1"/>
  <c r="IC135" i="5"/>
  <c r="IW135" i="5" s="1"/>
  <c r="JP135" i="5" s="1"/>
  <c r="IC134" i="5"/>
  <c r="IW134" i="5" s="1"/>
  <c r="JP134" i="5" s="1"/>
  <c r="IC137" i="5"/>
  <c r="IW137" i="5" s="1"/>
  <c r="JP137" i="5" s="1"/>
  <c r="IC136" i="5"/>
  <c r="IW136" i="5" s="1"/>
  <c r="JP136" i="5" s="1"/>
  <c r="IC138" i="5"/>
  <c r="IW138" i="5" s="1"/>
  <c r="JP138" i="5" s="1"/>
  <c r="IE137" i="5"/>
  <c r="IY137" i="5" s="1"/>
  <c r="JR137" i="5" s="1"/>
  <c r="IE134" i="5"/>
  <c r="IY134" i="5" s="1"/>
  <c r="JR134" i="5" s="1"/>
  <c r="IE136" i="5"/>
  <c r="IY136" i="5" s="1"/>
  <c r="JR136" i="5" s="1"/>
  <c r="IE135" i="5"/>
  <c r="IY135" i="5" s="1"/>
  <c r="JR135" i="5" s="1"/>
  <c r="IE138" i="5"/>
  <c r="IY138" i="5" s="1"/>
  <c r="JR138" i="5" s="1"/>
  <c r="IG137" i="5"/>
  <c r="JA137" i="5" s="1"/>
  <c r="JT137" i="5" s="1"/>
  <c r="IG136" i="5"/>
  <c r="JA136" i="5" s="1"/>
  <c r="JT136" i="5" s="1"/>
  <c r="IG134" i="5"/>
  <c r="JA134" i="5" s="1"/>
  <c r="JT134" i="5" s="1"/>
  <c r="IG135" i="5"/>
  <c r="JA135" i="5" s="1"/>
  <c r="JT135" i="5" s="1"/>
  <c r="IG138" i="5"/>
  <c r="JA138" i="5" s="1"/>
  <c r="JT138" i="5" s="1"/>
  <c r="II135" i="5"/>
  <c r="JC135" i="5" s="1"/>
  <c r="JV135" i="5" s="1"/>
  <c r="II138" i="5"/>
  <c r="JC138" i="5" s="1"/>
  <c r="JV138" i="5" s="1"/>
  <c r="II136" i="5"/>
  <c r="JC136" i="5" s="1"/>
  <c r="JV136" i="5" s="1"/>
  <c r="II137" i="5"/>
  <c r="JC137" i="5" s="1"/>
  <c r="JV137" i="5" s="1"/>
  <c r="II134" i="5"/>
  <c r="JC134" i="5" s="1"/>
  <c r="JV134" i="5" s="1"/>
  <c r="O130" i="5"/>
  <c r="O126" i="5"/>
  <c r="O122" i="5"/>
  <c r="O118" i="5"/>
  <c r="O114" i="5"/>
  <c r="O110" i="5"/>
  <c r="O106" i="5"/>
  <c r="O102" i="5"/>
  <c r="O98" i="5"/>
  <c r="O94" i="5"/>
  <c r="O90" i="5"/>
  <c r="O86" i="5"/>
  <c r="O82" i="5"/>
  <c r="O78" i="5"/>
  <c r="O74" i="5"/>
  <c r="O70" i="5"/>
  <c r="O66" i="5"/>
  <c r="O62" i="5"/>
  <c r="O58" i="5"/>
  <c r="O54" i="5"/>
  <c r="O50" i="5"/>
  <c r="O46" i="5"/>
  <c r="O42" i="5"/>
  <c r="O38" i="5"/>
  <c r="O34" i="5"/>
  <c r="O133" i="5"/>
  <c r="O125" i="5"/>
  <c r="O117" i="5"/>
  <c r="O109" i="5"/>
  <c r="O101" i="5"/>
  <c r="O93" i="5"/>
  <c r="O85" i="5"/>
  <c r="O77" i="5"/>
  <c r="O69" i="5"/>
  <c r="O61" i="5"/>
  <c r="O53" i="5"/>
  <c r="O45" i="5"/>
  <c r="O37" i="5"/>
  <c r="O29" i="5"/>
  <c r="O131" i="5"/>
  <c r="O123" i="5"/>
  <c r="O115" i="5"/>
  <c r="O107" i="5"/>
  <c r="O99" i="5"/>
  <c r="O91" i="5"/>
  <c r="O83" i="5"/>
  <c r="O75" i="5"/>
  <c r="O67" i="5"/>
  <c r="O59" i="5"/>
  <c r="O51" i="5"/>
  <c r="O43" i="5"/>
  <c r="O35" i="5"/>
  <c r="O132" i="5"/>
  <c r="O128" i="5"/>
  <c r="O124" i="5"/>
  <c r="O120" i="5"/>
  <c r="O116" i="5"/>
  <c r="O112" i="5"/>
  <c r="O108" i="5"/>
  <c r="O104" i="5"/>
  <c r="O100" i="5"/>
  <c r="O96" i="5"/>
  <c r="O92" i="5"/>
  <c r="O88" i="5"/>
  <c r="O84" i="5"/>
  <c r="O80" i="5"/>
  <c r="O76" i="5"/>
  <c r="O72" i="5"/>
  <c r="O68" i="5"/>
  <c r="O64" i="5"/>
  <c r="O60" i="5"/>
  <c r="O56" i="5"/>
  <c r="O52" i="5"/>
  <c r="O48" i="5"/>
  <c r="O44" i="5"/>
  <c r="O40" i="5"/>
  <c r="O36" i="5"/>
  <c r="O30" i="5"/>
  <c r="O129" i="5"/>
  <c r="O121" i="5"/>
  <c r="O113" i="5"/>
  <c r="O105" i="5"/>
  <c r="O97" i="5"/>
  <c r="O89" i="5"/>
  <c r="O81" i="5"/>
  <c r="O73" i="5"/>
  <c r="O65" i="5"/>
  <c r="O57" i="5"/>
  <c r="O49" i="5"/>
  <c r="O41" i="5"/>
  <c r="O33" i="5"/>
  <c r="O32" i="5"/>
  <c r="O127" i="5"/>
  <c r="O119" i="5"/>
  <c r="O111" i="5"/>
  <c r="O103" i="5"/>
  <c r="O95" i="5"/>
  <c r="O87" i="5"/>
  <c r="O79" i="5"/>
  <c r="O71" i="5"/>
  <c r="O63" i="5"/>
  <c r="O55" i="5"/>
  <c r="O47" i="5"/>
  <c r="O39" i="5"/>
  <c r="O31" i="5"/>
  <c r="Q29" i="5"/>
  <c r="Q31" i="5"/>
  <c r="Q33" i="5"/>
  <c r="Q35" i="5"/>
  <c r="Q37" i="5"/>
  <c r="Q39" i="5"/>
  <c r="Q41" i="5"/>
  <c r="Q43" i="5"/>
  <c r="Q45" i="5"/>
  <c r="Q47" i="5"/>
  <c r="Q49" i="5"/>
  <c r="Q51" i="5"/>
  <c r="Q53" i="5"/>
  <c r="Q55" i="5"/>
  <c r="Q57" i="5"/>
  <c r="Q59" i="5"/>
  <c r="Q61" i="5"/>
  <c r="Q63" i="5"/>
  <c r="Q65" i="5"/>
  <c r="Q67" i="5"/>
  <c r="Q69" i="5"/>
  <c r="Q71" i="5"/>
  <c r="Q73" i="5"/>
  <c r="Q75" i="5"/>
  <c r="Q77" i="5"/>
  <c r="Q79" i="5"/>
  <c r="Q81" i="5"/>
  <c r="Q83" i="5"/>
  <c r="Q85" i="5"/>
  <c r="Q87" i="5"/>
  <c r="Q89" i="5"/>
  <c r="Q91" i="5"/>
  <c r="Q93" i="5"/>
  <c r="Q95" i="5"/>
  <c r="Q97" i="5"/>
  <c r="Q99" i="5"/>
  <c r="Q101" i="5"/>
  <c r="Q103" i="5"/>
  <c r="Q105" i="5"/>
  <c r="Q107" i="5"/>
  <c r="Q109" i="5"/>
  <c r="Q111" i="5"/>
  <c r="Q113" i="5"/>
  <c r="Q115" i="5"/>
  <c r="Q117" i="5"/>
  <c r="Q119" i="5"/>
  <c r="Q121" i="5"/>
  <c r="Q123" i="5"/>
  <c r="Q125" i="5"/>
  <c r="Q127" i="5"/>
  <c r="Q129" i="5"/>
  <c r="Q131" i="5"/>
  <c r="Q133" i="5"/>
  <c r="Q30" i="5"/>
  <c r="Q32" i="5"/>
  <c r="Q34" i="5"/>
  <c r="Q36" i="5"/>
  <c r="Q38" i="5"/>
  <c r="Q40" i="5"/>
  <c r="Q42" i="5"/>
  <c r="Q44" i="5"/>
  <c r="Q46" i="5"/>
  <c r="Q48" i="5"/>
  <c r="Q50" i="5"/>
  <c r="Q52" i="5"/>
  <c r="Q54" i="5"/>
  <c r="Q56" i="5"/>
  <c r="Q58" i="5"/>
  <c r="Q60" i="5"/>
  <c r="Q62" i="5"/>
  <c r="Q64" i="5"/>
  <c r="Q66" i="5"/>
  <c r="Q68" i="5"/>
  <c r="Q70" i="5"/>
  <c r="Q72" i="5"/>
  <c r="Q74" i="5"/>
  <c r="Q76" i="5"/>
  <c r="Q78" i="5"/>
  <c r="Q80" i="5"/>
  <c r="Q82" i="5"/>
  <c r="Q84" i="5"/>
  <c r="Q86" i="5"/>
  <c r="Q88" i="5"/>
  <c r="Q90" i="5"/>
  <c r="Q92" i="5"/>
  <c r="Q96" i="5"/>
  <c r="Q100" i="5"/>
  <c r="Q104" i="5"/>
  <c r="Q108" i="5"/>
  <c r="Q112" i="5"/>
  <c r="Q116" i="5"/>
  <c r="Q120" i="5"/>
  <c r="Q124" i="5"/>
  <c r="Q128" i="5"/>
  <c r="Q132" i="5"/>
  <c r="Q94" i="5"/>
  <c r="Q98" i="5"/>
  <c r="Q102" i="5"/>
  <c r="Q106" i="5"/>
  <c r="Q110" i="5"/>
  <c r="Q114" i="5"/>
  <c r="Q118" i="5"/>
  <c r="Q122" i="5"/>
  <c r="Q126" i="5"/>
  <c r="Q130" i="5"/>
  <c r="Q28" i="5"/>
  <c r="M28" i="5"/>
  <c r="G28" i="5"/>
  <c r="H28" i="5" s="1"/>
  <c r="I29" i="5" s="1"/>
  <c r="G130" i="5"/>
  <c r="G126" i="5"/>
  <c r="G122" i="5"/>
  <c r="G118" i="5"/>
  <c r="G114" i="5"/>
  <c r="G110" i="5"/>
  <c r="G106" i="5"/>
  <c r="G102" i="5"/>
  <c r="G98" i="5"/>
  <c r="G94" i="5"/>
  <c r="G90" i="5"/>
  <c r="G86" i="5"/>
  <c r="G82" i="5"/>
  <c r="G78" i="5"/>
  <c r="G74" i="5"/>
  <c r="G70" i="5"/>
  <c r="G66" i="5"/>
  <c r="G62" i="5"/>
  <c r="G58" i="5"/>
  <c r="G54" i="5"/>
  <c r="G50" i="5"/>
  <c r="G46" i="5"/>
  <c r="G42" i="5"/>
  <c r="G38" i="5"/>
  <c r="G34" i="5"/>
  <c r="G30" i="5"/>
  <c r="G131" i="5"/>
  <c r="G127" i="5"/>
  <c r="G123" i="5"/>
  <c r="G119" i="5"/>
  <c r="G115" i="5"/>
  <c r="G111" i="5"/>
  <c r="G107" i="5"/>
  <c r="G103" i="5"/>
  <c r="G99" i="5"/>
  <c r="G95" i="5"/>
  <c r="G91" i="5"/>
  <c r="G87" i="5"/>
  <c r="G83" i="5"/>
  <c r="G79" i="5"/>
  <c r="G75" i="5"/>
  <c r="G71" i="5"/>
  <c r="G67" i="5"/>
  <c r="G63" i="5"/>
  <c r="G59" i="5"/>
  <c r="G55" i="5"/>
  <c r="G51" i="5"/>
  <c r="G47" i="5"/>
  <c r="G43" i="5"/>
  <c r="G39" i="5"/>
  <c r="G35" i="5"/>
  <c r="G31" i="5"/>
  <c r="M132" i="5"/>
  <c r="M130" i="5"/>
  <c r="M128" i="5"/>
  <c r="M126" i="5"/>
  <c r="M124" i="5"/>
  <c r="M122" i="5"/>
  <c r="M120" i="5"/>
  <c r="M118" i="5"/>
  <c r="M116" i="5"/>
  <c r="M114" i="5"/>
  <c r="M112" i="5"/>
  <c r="M110" i="5"/>
  <c r="M108" i="5"/>
  <c r="M106" i="5"/>
  <c r="M104" i="5"/>
  <c r="M102" i="5"/>
  <c r="M100" i="5"/>
  <c r="M98" i="5"/>
  <c r="M96" i="5"/>
  <c r="M94" i="5"/>
  <c r="M92" i="5"/>
  <c r="M90" i="5"/>
  <c r="M88" i="5"/>
  <c r="M86" i="5"/>
  <c r="M84" i="5"/>
  <c r="M82" i="5"/>
  <c r="M80" i="5"/>
  <c r="M78" i="5"/>
  <c r="M76" i="5"/>
  <c r="M74" i="5"/>
  <c r="M72" i="5"/>
  <c r="G128" i="5"/>
  <c r="G120" i="5"/>
  <c r="G112" i="5"/>
  <c r="G104" i="5"/>
  <c r="G96" i="5"/>
  <c r="G88" i="5"/>
  <c r="G80" i="5"/>
  <c r="G72" i="5"/>
  <c r="G64" i="5"/>
  <c r="G56" i="5"/>
  <c r="G48" i="5"/>
  <c r="G40" i="5"/>
  <c r="G32" i="5"/>
  <c r="G129" i="5"/>
  <c r="G121" i="5"/>
  <c r="G113" i="5"/>
  <c r="G105" i="5"/>
  <c r="G97" i="5"/>
  <c r="G89" i="5"/>
  <c r="G81" i="5"/>
  <c r="G73" i="5"/>
  <c r="G65" i="5"/>
  <c r="G57" i="5"/>
  <c r="G49" i="5"/>
  <c r="G41" i="5"/>
  <c r="G33" i="5"/>
  <c r="M70" i="5"/>
  <c r="M68" i="5"/>
  <c r="M66" i="5"/>
  <c r="M64" i="5"/>
  <c r="M62" i="5"/>
  <c r="M60" i="5"/>
  <c r="M58" i="5"/>
  <c r="M56" i="5"/>
  <c r="M54" i="5"/>
  <c r="M52" i="5"/>
  <c r="M50" i="5"/>
  <c r="M48" i="5"/>
  <c r="M46" i="5"/>
  <c r="M44" i="5"/>
  <c r="M42" i="5"/>
  <c r="M40" i="5"/>
  <c r="M38" i="5"/>
  <c r="M36" i="5"/>
  <c r="M34" i="5"/>
  <c r="M32" i="5"/>
  <c r="M30" i="5"/>
  <c r="M133" i="5"/>
  <c r="M131" i="5"/>
  <c r="M129" i="5"/>
  <c r="M127" i="5"/>
  <c r="M125" i="5"/>
  <c r="M123" i="5"/>
  <c r="M121" i="5"/>
  <c r="M119" i="5"/>
  <c r="M117" i="5"/>
  <c r="M115" i="5"/>
  <c r="M113" i="5"/>
  <c r="M111" i="5"/>
  <c r="M109" i="5"/>
  <c r="M107" i="5"/>
  <c r="M105" i="5"/>
  <c r="M103" i="5"/>
  <c r="M101" i="5"/>
  <c r="M99" i="5"/>
  <c r="M97" i="5"/>
  <c r="M95" i="5"/>
  <c r="M93" i="5"/>
  <c r="M91" i="5"/>
  <c r="M89" i="5"/>
  <c r="M87" i="5"/>
  <c r="M85" i="5"/>
  <c r="M83" i="5"/>
  <c r="M81" i="5"/>
  <c r="M79" i="5"/>
  <c r="M77" i="5"/>
  <c r="M75" i="5"/>
  <c r="M73" i="5"/>
  <c r="M71" i="5"/>
  <c r="M69" i="5"/>
  <c r="M67" i="5"/>
  <c r="M65" i="5"/>
  <c r="M63" i="5"/>
  <c r="M61" i="5"/>
  <c r="M59" i="5"/>
  <c r="M57" i="5"/>
  <c r="M55" i="5"/>
  <c r="M53" i="5"/>
  <c r="M51" i="5"/>
  <c r="M49" i="5"/>
  <c r="M47" i="5"/>
  <c r="M45" i="5"/>
  <c r="M43" i="5"/>
  <c r="M41" i="5"/>
  <c r="M39" i="5"/>
  <c r="M37" i="5"/>
  <c r="M35" i="5"/>
  <c r="M33" i="5"/>
  <c r="M31" i="5"/>
  <c r="M29" i="5"/>
  <c r="G132" i="5"/>
  <c r="G124" i="5"/>
  <c r="G116" i="5"/>
  <c r="G108" i="5"/>
  <c r="G100" i="5"/>
  <c r="G92" i="5"/>
  <c r="G84" i="5"/>
  <c r="G76" i="5"/>
  <c r="G68" i="5"/>
  <c r="G60" i="5"/>
  <c r="G52" i="5"/>
  <c r="G44" i="5"/>
  <c r="G36" i="5"/>
  <c r="G133" i="5"/>
  <c r="G125" i="5"/>
  <c r="G117" i="5"/>
  <c r="G109" i="5"/>
  <c r="G101" i="5"/>
  <c r="G93" i="5"/>
  <c r="G85" i="5"/>
  <c r="G77" i="5"/>
  <c r="G69" i="5"/>
  <c r="G61" i="5"/>
  <c r="G53" i="5"/>
  <c r="G45" i="5"/>
  <c r="G37" i="5"/>
  <c r="G29" i="5"/>
  <c r="H29" i="5" s="1"/>
  <c r="I30" i="5" s="1"/>
  <c r="N132" i="5"/>
  <c r="N130" i="5"/>
  <c r="N128" i="5"/>
  <c r="N126" i="5"/>
  <c r="N124" i="5"/>
  <c r="N122" i="5"/>
  <c r="N120" i="5"/>
  <c r="N118" i="5"/>
  <c r="N116" i="5"/>
  <c r="N114" i="5"/>
  <c r="N112" i="5"/>
  <c r="N110" i="5"/>
  <c r="N108" i="5"/>
  <c r="N106" i="5"/>
  <c r="N104" i="5"/>
  <c r="N102" i="5"/>
  <c r="N100" i="5"/>
  <c r="N98" i="5"/>
  <c r="N96" i="5"/>
  <c r="N94" i="5"/>
  <c r="N92" i="5"/>
  <c r="N90" i="5"/>
  <c r="N88" i="5"/>
  <c r="N86" i="5"/>
  <c r="N84" i="5"/>
  <c r="N82" i="5"/>
  <c r="N80" i="5"/>
  <c r="N78" i="5"/>
  <c r="N76" i="5"/>
  <c r="N74" i="5"/>
  <c r="N72" i="5"/>
  <c r="N70" i="5"/>
  <c r="N68" i="5"/>
  <c r="N66" i="5"/>
  <c r="N64" i="5"/>
  <c r="N62" i="5"/>
  <c r="N60" i="5"/>
  <c r="N58" i="5"/>
  <c r="N56" i="5"/>
  <c r="N54" i="5"/>
  <c r="N52" i="5"/>
  <c r="N50" i="5"/>
  <c r="N48" i="5"/>
  <c r="N46" i="5"/>
  <c r="N44" i="5"/>
  <c r="N42" i="5"/>
  <c r="N40" i="5"/>
  <c r="N38" i="5"/>
  <c r="N36" i="5"/>
  <c r="N34" i="5"/>
  <c r="N30" i="5"/>
  <c r="N133" i="5"/>
  <c r="N129" i="5"/>
  <c r="N125" i="5"/>
  <c r="N121" i="5"/>
  <c r="N117" i="5"/>
  <c r="N113" i="5"/>
  <c r="N109" i="5"/>
  <c r="N105" i="5"/>
  <c r="N101" i="5"/>
  <c r="N97" i="5"/>
  <c r="N93" i="5"/>
  <c r="N89" i="5"/>
  <c r="N85" i="5"/>
  <c r="N81" i="5"/>
  <c r="N77" i="5"/>
  <c r="N73" i="5"/>
  <c r="N69" i="5"/>
  <c r="N65" i="5"/>
  <c r="N61" i="5"/>
  <c r="N57" i="5"/>
  <c r="N53" i="5"/>
  <c r="N49" i="5"/>
  <c r="N45" i="5"/>
  <c r="N41" i="5"/>
  <c r="N37" i="5"/>
  <c r="N33" i="5"/>
  <c r="N29" i="5"/>
  <c r="N32" i="5"/>
  <c r="N131" i="5"/>
  <c r="N127" i="5"/>
  <c r="N123" i="5"/>
  <c r="N119" i="5"/>
  <c r="N115" i="5"/>
  <c r="N111" i="5"/>
  <c r="N107" i="5"/>
  <c r="N103" i="5"/>
  <c r="N99" i="5"/>
  <c r="N95" i="5"/>
  <c r="N91" i="5"/>
  <c r="N87" i="5"/>
  <c r="N83" i="5"/>
  <c r="N79" i="5"/>
  <c r="N75" i="5"/>
  <c r="N71" i="5"/>
  <c r="N67" i="5"/>
  <c r="N63" i="5"/>
  <c r="N59" i="5"/>
  <c r="N55" i="5"/>
  <c r="N51" i="5"/>
  <c r="N47" i="5"/>
  <c r="N43" i="5"/>
  <c r="N39" i="5"/>
  <c r="N35" i="5"/>
  <c r="N31" i="5"/>
  <c r="N28" i="5"/>
  <c r="H30" i="5" l="1"/>
  <c r="I31" i="5" s="1"/>
  <c r="H31" i="5" s="1"/>
  <c r="I32" i="5" s="1"/>
  <c r="H32" i="5" s="1"/>
  <c r="I33" i="5" s="1"/>
  <c r="H33" i="5" l="1"/>
  <c r="I34" i="5" s="1"/>
  <c r="H34" i="5" l="1"/>
  <c r="I35" i="5" s="1"/>
  <c r="AL137" i="7"/>
  <c r="AK137" i="7"/>
  <c r="AL136" i="7"/>
  <c r="AK136" i="7"/>
  <c r="AL135" i="7"/>
  <c r="AK135" i="7"/>
  <c r="AL134" i="7"/>
  <c r="AK134" i="7"/>
  <c r="AL133" i="7"/>
  <c r="AK133" i="7" s="1"/>
  <c r="AL132" i="7"/>
  <c r="AK132" i="7"/>
  <c r="AL131" i="7"/>
  <c r="AK131" i="7" s="1"/>
  <c r="AL130" i="7"/>
  <c r="AK130" i="7"/>
  <c r="AL129" i="7"/>
  <c r="AK129" i="7"/>
  <c r="AL128" i="7"/>
  <c r="AK128" i="7"/>
  <c r="AL127" i="7"/>
  <c r="AK127" i="7" s="1"/>
  <c r="AL126" i="7"/>
  <c r="AK126" i="7"/>
  <c r="AL125" i="7"/>
  <c r="AK125" i="7"/>
  <c r="AL124" i="7"/>
  <c r="AK124" i="7" s="1"/>
  <c r="AL123" i="7"/>
  <c r="AK123" i="7"/>
  <c r="AL122" i="7"/>
  <c r="AK122" i="7" s="1"/>
  <c r="AL121" i="7"/>
  <c r="AK121" i="7" s="1"/>
  <c r="AL120" i="7"/>
  <c r="AK120" i="7"/>
  <c r="AL119" i="7"/>
  <c r="AK119" i="7" s="1"/>
  <c r="AL118" i="7"/>
  <c r="AK118" i="7"/>
  <c r="AL117" i="7"/>
  <c r="AK117" i="7" s="1"/>
  <c r="AL116" i="7"/>
  <c r="AK116" i="7"/>
  <c r="AL115" i="7"/>
  <c r="AK115" i="7"/>
  <c r="AL114" i="7"/>
  <c r="AK114" i="7" s="1"/>
  <c r="AL113" i="7"/>
  <c r="AK113" i="7"/>
  <c r="AL112" i="7"/>
  <c r="AK112" i="7"/>
  <c r="AL111" i="7"/>
  <c r="AK111" i="7"/>
  <c r="AL110" i="7"/>
  <c r="AK110" i="7"/>
  <c r="AL109" i="7"/>
  <c r="AK109" i="7"/>
  <c r="AL108" i="7"/>
  <c r="AK108" i="7"/>
  <c r="AL107" i="7"/>
  <c r="AK107" i="7"/>
  <c r="AL106" i="7"/>
  <c r="AK106" i="7" s="1"/>
  <c r="AL105" i="7"/>
  <c r="AK105" i="7"/>
  <c r="AL104" i="7"/>
  <c r="AK104" i="7" s="1"/>
  <c r="AL103" i="7"/>
  <c r="AK103" i="7" s="1"/>
  <c r="AL102" i="7"/>
  <c r="AK102" i="7" s="1"/>
  <c r="AL101" i="7"/>
  <c r="AK101" i="7" s="1"/>
  <c r="AL100" i="7"/>
  <c r="AK100" i="7" s="1"/>
  <c r="AL99" i="7"/>
  <c r="AK99" i="7" s="1"/>
  <c r="AL98" i="7"/>
  <c r="AK98" i="7" s="1"/>
  <c r="AL97" i="7"/>
  <c r="AK97" i="7" s="1"/>
  <c r="AL96" i="7"/>
  <c r="AK96" i="7" s="1"/>
  <c r="AL95" i="7"/>
  <c r="AK95" i="7"/>
  <c r="AL94" i="7"/>
  <c r="AK94" i="7" s="1"/>
  <c r="AL93" i="7"/>
  <c r="AK93" i="7"/>
  <c r="AL92" i="7"/>
  <c r="AK92" i="7"/>
  <c r="AL91" i="7"/>
  <c r="AK91" i="7"/>
  <c r="AL90" i="7"/>
  <c r="AK90" i="7" s="1"/>
  <c r="AL89" i="7"/>
  <c r="AK89" i="7"/>
  <c r="AL88" i="7"/>
  <c r="AK88" i="7" s="1"/>
  <c r="AL87" i="7"/>
  <c r="AK87" i="7" s="1"/>
  <c r="AL86" i="7"/>
  <c r="AK86" i="7"/>
  <c r="AL85" i="7"/>
  <c r="AK85" i="7"/>
  <c r="AL84" i="7"/>
  <c r="AK84" i="7"/>
  <c r="AL83" i="7"/>
  <c r="AK83" i="7" s="1"/>
  <c r="AL82" i="7"/>
  <c r="AK82" i="7"/>
  <c r="AL81" i="7"/>
  <c r="AK81" i="7"/>
  <c r="AL80" i="7"/>
  <c r="AK80" i="7"/>
  <c r="AL79" i="7"/>
  <c r="AK79" i="7"/>
  <c r="AL78" i="7"/>
  <c r="AK78" i="7" s="1"/>
  <c r="AL77" i="7"/>
  <c r="AK77" i="7" s="1"/>
  <c r="AL76" i="7"/>
  <c r="AK76" i="7"/>
  <c r="AL75" i="7"/>
  <c r="AK75" i="7"/>
  <c r="AL74" i="7"/>
  <c r="AK74" i="7" s="1"/>
  <c r="AL73" i="7"/>
  <c r="AK73" i="7"/>
  <c r="AL72" i="7"/>
  <c r="AK72" i="7" s="1"/>
  <c r="AL71" i="7"/>
  <c r="AK71" i="7" s="1"/>
  <c r="AL70" i="7"/>
  <c r="AK70" i="7" s="1"/>
  <c r="AL69" i="7"/>
  <c r="AK69" i="7"/>
  <c r="AL68" i="7"/>
  <c r="AK68" i="7" s="1"/>
  <c r="AL67" i="7"/>
  <c r="AK67" i="7" s="1"/>
  <c r="AL66" i="7"/>
  <c r="AK66" i="7" s="1"/>
  <c r="AL65" i="7"/>
  <c r="AK65" i="7"/>
  <c r="AL64" i="7"/>
  <c r="AK64" i="7" s="1"/>
  <c r="AL63" i="7"/>
  <c r="AK63" i="7"/>
  <c r="AL62" i="7"/>
  <c r="AK62" i="7" s="1"/>
  <c r="AL61" i="7"/>
  <c r="AK61" i="7"/>
  <c r="AL60" i="7"/>
  <c r="AK60" i="7"/>
  <c r="AL59" i="7"/>
  <c r="AK59" i="7" s="1"/>
  <c r="AL58" i="7"/>
  <c r="AK58" i="7" s="1"/>
  <c r="AL57" i="7"/>
  <c r="AK57" i="7" s="1"/>
  <c r="AL56" i="7"/>
  <c r="AK56" i="7" s="1"/>
  <c r="AL55" i="7"/>
  <c r="AK55" i="7" s="1"/>
  <c r="AL54" i="7"/>
  <c r="AK54" i="7" s="1"/>
  <c r="AL53" i="7"/>
  <c r="AK53" i="7" s="1"/>
  <c r="AL52" i="7"/>
  <c r="AK52" i="7" s="1"/>
  <c r="AL51" i="7"/>
  <c r="AK51" i="7"/>
  <c r="AL50" i="7"/>
  <c r="AK50" i="7"/>
  <c r="AL49" i="7"/>
  <c r="AK49" i="7"/>
  <c r="AL48" i="7"/>
  <c r="AK48" i="7"/>
  <c r="AL47" i="7"/>
  <c r="AK47" i="7" s="1"/>
  <c r="AL46" i="7"/>
  <c r="AK46" i="7"/>
  <c r="AL45" i="7"/>
  <c r="AK45" i="7"/>
  <c r="AL44" i="7"/>
  <c r="AK44" i="7" s="1"/>
  <c r="AL43" i="7"/>
  <c r="AK43" i="7"/>
  <c r="AL42" i="7"/>
  <c r="AK42" i="7" s="1"/>
  <c r="AL41" i="7"/>
  <c r="AK41" i="7" s="1"/>
  <c r="AL40" i="7"/>
  <c r="AK40" i="7"/>
  <c r="AL39" i="7"/>
  <c r="AK39" i="7"/>
  <c r="AL38" i="7"/>
  <c r="AK38" i="7" s="1"/>
  <c r="AL37" i="7"/>
  <c r="AK37" i="7" s="1"/>
  <c r="AL36" i="7"/>
  <c r="AK36" i="7"/>
  <c r="AL35" i="7"/>
  <c r="AK35" i="7"/>
  <c r="AL34" i="7"/>
  <c r="AK34" i="7"/>
  <c r="AL33" i="7"/>
  <c r="AK33" i="7" s="1"/>
  <c r="AL32" i="7"/>
  <c r="AK32" i="7"/>
  <c r="AL31" i="7"/>
  <c r="AK31" i="7"/>
  <c r="AL30" i="7"/>
  <c r="AK30" i="7" s="1"/>
  <c r="AL29" i="7"/>
  <c r="AK29" i="7" s="1"/>
  <c r="AL28" i="7"/>
  <c r="AK28" i="7" s="1"/>
  <c r="AL27" i="7"/>
  <c r="AK27" i="7"/>
  <c r="C27" i="7"/>
  <c r="I27" i="7" s="1"/>
  <c r="D20" i="7"/>
  <c r="I12" i="7"/>
  <c r="I11" i="7" s="1"/>
  <c r="I8" i="7"/>
  <c r="H35" i="5" l="1"/>
  <c r="I36" i="5" s="1"/>
  <c r="I6" i="7"/>
  <c r="J27" i="7"/>
  <c r="H36" i="5" l="1"/>
  <c r="I37" i="5" s="1"/>
  <c r="D27" i="7"/>
  <c r="E27" i="7" s="1"/>
  <c r="K27" i="7"/>
  <c r="N27" i="7" s="1"/>
  <c r="H37" i="5" l="1"/>
  <c r="I38" i="5" s="1"/>
  <c r="L27" i="7"/>
  <c r="M27" i="7"/>
  <c r="G27" i="7"/>
  <c r="F27" i="7"/>
  <c r="J3" i="5"/>
  <c r="J2" i="5"/>
  <c r="D4" i="5"/>
  <c r="L3" i="6"/>
  <c r="K3" i="6"/>
  <c r="J3" i="6"/>
  <c r="I3" i="6"/>
  <c r="L4" i="6"/>
  <c r="K4" i="6"/>
  <c r="J4" i="6"/>
  <c r="C4" i="6"/>
  <c r="I4" i="6"/>
  <c r="H4" i="6"/>
  <c r="N4" i="6" s="1"/>
  <c r="L5" i="6"/>
  <c r="K5" i="6"/>
  <c r="J5" i="6"/>
  <c r="I5" i="6"/>
  <c r="C5" i="6"/>
  <c r="C6" i="6"/>
  <c r="L6" i="6"/>
  <c r="K6" i="6"/>
  <c r="J6" i="6"/>
  <c r="I6" i="6"/>
  <c r="L7" i="6"/>
  <c r="K7" i="6"/>
  <c r="J7" i="6"/>
  <c r="I7" i="6"/>
  <c r="H8" i="6"/>
  <c r="N8" i="6" s="1"/>
  <c r="H7" i="6"/>
  <c r="H6" i="6"/>
  <c r="N6" i="6" s="1"/>
  <c r="H5" i="6"/>
  <c r="N5" i="6" s="1"/>
  <c r="C3" i="6"/>
  <c r="M3" i="6" s="1"/>
  <c r="H3" i="6"/>
  <c r="N3" i="6" s="1"/>
  <c r="C7" i="6"/>
  <c r="M8" i="6"/>
  <c r="P28" i="5" l="1"/>
  <c r="R28" i="5" s="1"/>
  <c r="P29" i="5"/>
  <c r="P30" i="5"/>
  <c r="P31" i="5"/>
  <c r="P32" i="5"/>
  <c r="P33" i="5"/>
  <c r="P34" i="5"/>
  <c r="P35" i="5"/>
  <c r="BH34" i="5" s="1"/>
  <c r="BI33" i="5" s="1"/>
  <c r="BJ32" i="5" s="1"/>
  <c r="BK31" i="5" s="1"/>
  <c r="BL30" i="5" s="1"/>
  <c r="BM29" i="5" s="1"/>
  <c r="BN28" i="5" s="1"/>
  <c r="P36" i="5"/>
  <c r="BH35" i="5" s="1"/>
  <c r="BI34" i="5" s="1"/>
  <c r="BJ33" i="5" s="1"/>
  <c r="BK32" i="5" s="1"/>
  <c r="BL31" i="5" s="1"/>
  <c r="BM30" i="5" s="1"/>
  <c r="BN29" i="5" s="1"/>
  <c r="BO28" i="5" s="1"/>
  <c r="P37" i="5"/>
  <c r="BH36" i="5" s="1"/>
  <c r="BI35" i="5" s="1"/>
  <c r="BJ34" i="5" s="1"/>
  <c r="BK33" i="5" s="1"/>
  <c r="BL32" i="5" s="1"/>
  <c r="BM31" i="5" s="1"/>
  <c r="BN30" i="5" s="1"/>
  <c r="BO29" i="5" s="1"/>
  <c r="H38" i="5"/>
  <c r="I39" i="5" s="1"/>
  <c r="P38" i="5"/>
  <c r="BH37" i="5" s="1"/>
  <c r="BI36" i="5" s="1"/>
  <c r="BJ35" i="5" s="1"/>
  <c r="BK34" i="5" s="1"/>
  <c r="BL33" i="5" s="1"/>
  <c r="BM32" i="5" s="1"/>
  <c r="BN31" i="5" s="1"/>
  <c r="BO30" i="5" s="1"/>
  <c r="H27" i="7"/>
  <c r="N7" i="6"/>
  <c r="M7" i="6"/>
  <c r="M6" i="6"/>
  <c r="M5" i="6"/>
  <c r="M4" i="6"/>
  <c r="R34" i="5" l="1"/>
  <c r="CX33" i="5" s="1"/>
  <c r="BH33" i="5"/>
  <c r="BI32" i="5" s="1"/>
  <c r="BJ31" i="5" s="1"/>
  <c r="BK30" i="5" s="1"/>
  <c r="BL29" i="5" s="1"/>
  <c r="BM28" i="5" s="1"/>
  <c r="R32" i="5"/>
  <c r="CX31" i="5" s="1"/>
  <c r="CY30" i="5" s="1"/>
  <c r="BH31" i="5"/>
  <c r="BI30" i="5" s="1"/>
  <c r="BJ29" i="5" s="1"/>
  <c r="BK28" i="5" s="1"/>
  <c r="R30" i="5"/>
  <c r="CX29" i="5" s="1"/>
  <c r="CY28" i="5" s="1"/>
  <c r="BH29" i="5"/>
  <c r="BI28" i="5" s="1"/>
  <c r="BP29" i="5"/>
  <c r="BQ28" i="5" s="1"/>
  <c r="FY29" i="5"/>
  <c r="BP28" i="5"/>
  <c r="FY28" i="5"/>
  <c r="R33" i="5"/>
  <c r="CX32" i="5" s="1"/>
  <c r="BH32" i="5"/>
  <c r="BI31" i="5" s="1"/>
  <c r="BJ30" i="5" s="1"/>
  <c r="BK29" i="5" s="1"/>
  <c r="BL28" i="5" s="1"/>
  <c r="R31" i="5"/>
  <c r="CX30" i="5" s="1"/>
  <c r="CY29" i="5" s="1"/>
  <c r="BH30" i="5"/>
  <c r="BI29" i="5" s="1"/>
  <c r="BJ28" i="5" s="1"/>
  <c r="R29" i="5"/>
  <c r="CX28" i="5" s="1"/>
  <c r="BH28" i="5"/>
  <c r="CY32" i="5"/>
  <c r="CY31" i="5"/>
  <c r="R38" i="5"/>
  <c r="CX37" i="5" s="1"/>
  <c r="R37" i="5"/>
  <c r="CX36" i="5" s="1"/>
  <c r="R35" i="5"/>
  <c r="CX34" i="5" s="1"/>
  <c r="H39" i="5"/>
  <c r="I40" i="5" s="1"/>
  <c r="P39" i="5"/>
  <c r="BH38" i="5" s="1"/>
  <c r="BI37" i="5" s="1"/>
  <c r="BJ36" i="5" s="1"/>
  <c r="BK35" i="5" s="1"/>
  <c r="BL34" i="5" s="1"/>
  <c r="BM33" i="5" s="1"/>
  <c r="BN32" i="5" s="1"/>
  <c r="BO31" i="5" s="1"/>
  <c r="R36" i="5"/>
  <c r="CX35" i="5" s="1"/>
  <c r="FY30" i="5" l="1"/>
  <c r="BP30" i="5"/>
  <c r="BQ29" i="5" s="1"/>
  <c r="BR28" i="5" s="1"/>
  <c r="CY33" i="5"/>
  <c r="CY34" i="5"/>
  <c r="CY35" i="5"/>
  <c r="CY36" i="5"/>
  <c r="CZ28" i="5"/>
  <c r="CZ30" i="5"/>
  <c r="CZ29" i="5"/>
  <c r="CZ31" i="5"/>
  <c r="R39" i="5"/>
  <c r="CX38" i="5" s="1"/>
  <c r="P40" i="5"/>
  <c r="BH39" i="5" s="1"/>
  <c r="BI38" i="5" s="1"/>
  <c r="BJ37" i="5" s="1"/>
  <c r="BK36" i="5" s="1"/>
  <c r="BL35" i="5" s="1"/>
  <c r="BM34" i="5" s="1"/>
  <c r="BN33" i="5" s="1"/>
  <c r="BO32" i="5" s="1"/>
  <c r="H40" i="5"/>
  <c r="I41" i="5" s="1"/>
  <c r="FY31" i="5" l="1"/>
  <c r="BP31" i="5"/>
  <c r="BQ30" i="5" s="1"/>
  <c r="BR29" i="5" s="1"/>
  <c r="BS28" i="5" s="1"/>
  <c r="CY37" i="5"/>
  <c r="DA30" i="5"/>
  <c r="DA28" i="5"/>
  <c r="DA29" i="5"/>
  <c r="CZ32" i="5"/>
  <c r="CZ35" i="5"/>
  <c r="CZ34" i="5"/>
  <c r="CZ33" i="5"/>
  <c r="H41" i="5"/>
  <c r="I42" i="5" s="1"/>
  <c r="P41" i="5"/>
  <c r="BH40" i="5" s="1"/>
  <c r="BI39" i="5" s="1"/>
  <c r="BJ38" i="5" s="1"/>
  <c r="BK37" i="5" s="1"/>
  <c r="BL36" i="5" s="1"/>
  <c r="BM35" i="5" s="1"/>
  <c r="BN34" i="5" s="1"/>
  <c r="BO33" i="5" s="1"/>
  <c r="R40" i="5"/>
  <c r="CX39" i="5" s="1"/>
  <c r="BP32" i="5" l="1"/>
  <c r="BQ31" i="5" s="1"/>
  <c r="BR30" i="5" s="1"/>
  <c r="BS29" i="5" s="1"/>
  <c r="BT28" i="5" s="1"/>
  <c r="FY32" i="5"/>
  <c r="DA32" i="5"/>
  <c r="DA34" i="5"/>
  <c r="DA31" i="5"/>
  <c r="DB28" i="5"/>
  <c r="DB29" i="5"/>
  <c r="CZ36" i="5"/>
  <c r="CY38" i="5"/>
  <c r="DA33" i="5"/>
  <c r="R41" i="5"/>
  <c r="CX40" i="5" s="1"/>
  <c r="H42" i="5"/>
  <c r="I43" i="5" s="1"/>
  <c r="P42" i="5"/>
  <c r="W28" i="5" l="1"/>
  <c r="GF28" i="5" s="1"/>
  <c r="BH41" i="5"/>
  <c r="BI40" i="5" s="1"/>
  <c r="BJ39" i="5" s="1"/>
  <c r="BK38" i="5" s="1"/>
  <c r="BL37" i="5" s="1"/>
  <c r="BM36" i="5" s="1"/>
  <c r="BN35" i="5" s="1"/>
  <c r="BO34" i="5" s="1"/>
  <c r="CY39" i="5"/>
  <c r="DB32" i="5"/>
  <c r="CZ37" i="5"/>
  <c r="DA35" i="5"/>
  <c r="DC28" i="5"/>
  <c r="DB30" i="5"/>
  <c r="DB33" i="5"/>
  <c r="DB31" i="5"/>
  <c r="R42" i="5"/>
  <c r="CX41" i="5" s="1"/>
  <c r="P43" i="5"/>
  <c r="H43" i="5"/>
  <c r="I44" i="5" s="1"/>
  <c r="JZ134" i="5" l="1"/>
  <c r="JZ136" i="5"/>
  <c r="JZ138" i="5"/>
  <c r="JZ135" i="5"/>
  <c r="JZ137" i="5"/>
  <c r="GK28" i="5"/>
  <c r="GI28" i="5"/>
  <c r="GL28" i="5"/>
  <c r="GH28" i="5"/>
  <c r="Y28" i="5"/>
  <c r="GG28" i="5"/>
  <c r="FZ28" i="5"/>
  <c r="GJ28" i="5"/>
  <c r="W29" i="5"/>
  <c r="GA29" i="5" s="1"/>
  <c r="BH42" i="5"/>
  <c r="BI41" i="5" s="1"/>
  <c r="BJ40" i="5" s="1"/>
  <c r="BK39" i="5" s="1"/>
  <c r="BL38" i="5" s="1"/>
  <c r="BM37" i="5" s="1"/>
  <c r="BN36" i="5" s="1"/>
  <c r="BO35" i="5" s="1"/>
  <c r="FY33" i="5"/>
  <c r="BP33" i="5"/>
  <c r="BQ32" i="5" s="1"/>
  <c r="BR31" i="5" s="1"/>
  <c r="BS30" i="5" s="1"/>
  <c r="BT29" i="5" s="1"/>
  <c r="BU28" i="5" s="1"/>
  <c r="GM28" i="5" s="1"/>
  <c r="GB28" i="5"/>
  <c r="GD28" i="5"/>
  <c r="GC28" i="5"/>
  <c r="GA28" i="5"/>
  <c r="GE28" i="5"/>
  <c r="CY40" i="5"/>
  <c r="DN134" i="5"/>
  <c r="DG134" i="5"/>
  <c r="DJ134" i="5"/>
  <c r="DL134" i="5"/>
  <c r="DI134" i="5"/>
  <c r="DH134" i="5"/>
  <c r="DK134" i="5"/>
  <c r="DM134" i="5"/>
  <c r="DC32" i="5"/>
  <c r="DC29" i="5"/>
  <c r="DA36" i="5"/>
  <c r="DC31" i="5"/>
  <c r="CZ38" i="5"/>
  <c r="DC30" i="5"/>
  <c r="DB34" i="5"/>
  <c r="P44" i="5"/>
  <c r="H44" i="5"/>
  <c r="I45" i="5" s="1"/>
  <c r="R43" i="5"/>
  <c r="CX42" i="5" s="1"/>
  <c r="GB29" i="5" l="1"/>
  <c r="FZ29" i="5"/>
  <c r="GF29" i="5"/>
  <c r="GD29" i="5"/>
  <c r="GE29" i="5"/>
  <c r="GC29" i="5"/>
  <c r="GH29" i="5"/>
  <c r="GG29" i="5"/>
  <c r="GJ29" i="5"/>
  <c r="GI29" i="5"/>
  <c r="GK29" i="5"/>
  <c r="Y29" i="5"/>
  <c r="FY34" i="5"/>
  <c r="BP34" i="5"/>
  <c r="BQ33" i="5" s="1"/>
  <c r="BR32" i="5" s="1"/>
  <c r="BS31" i="5" s="1"/>
  <c r="BT30" i="5" s="1"/>
  <c r="BU29" i="5" s="1"/>
  <c r="W30" i="5"/>
  <c r="GA30" i="5" s="1"/>
  <c r="BH43" i="5"/>
  <c r="BI42" i="5" s="1"/>
  <c r="BJ41" i="5" s="1"/>
  <c r="BK40" i="5" s="1"/>
  <c r="BL39" i="5" s="1"/>
  <c r="BM38" i="5" s="1"/>
  <c r="BN37" i="5" s="1"/>
  <c r="BO36" i="5" s="1"/>
  <c r="GL29" i="5"/>
  <c r="DD29" i="5"/>
  <c r="CY41" i="5"/>
  <c r="DC33" i="5"/>
  <c r="DB35" i="5"/>
  <c r="DD28" i="5"/>
  <c r="DA37" i="5"/>
  <c r="DD30" i="5"/>
  <c r="DD31" i="5"/>
  <c r="CZ39" i="5"/>
  <c r="R44" i="5"/>
  <c r="CX43" i="5" s="1"/>
  <c r="H45" i="5"/>
  <c r="I46" i="5" s="1"/>
  <c r="P45" i="5"/>
  <c r="GG30" i="5" l="1"/>
  <c r="GE30" i="5"/>
  <c r="GB30" i="5"/>
  <c r="GJ30" i="5"/>
  <c r="GK30" i="5"/>
  <c r="GF30" i="5"/>
  <c r="GH30" i="5"/>
  <c r="GC30" i="5"/>
  <c r="GI30" i="5"/>
  <c r="FZ30" i="5"/>
  <c r="GD30" i="5"/>
  <c r="Y30" i="5"/>
  <c r="FY35" i="5"/>
  <c r="BP35" i="5"/>
  <c r="BQ34" i="5" s="1"/>
  <c r="BR33" i="5" s="1"/>
  <c r="BS32" i="5" s="1"/>
  <c r="BT31" i="5" s="1"/>
  <c r="BU30" i="5" s="1"/>
  <c r="BV28" i="5"/>
  <c r="GN28" i="5" s="1"/>
  <c r="GM29" i="5"/>
  <c r="W31" i="5"/>
  <c r="GA31" i="5" s="1"/>
  <c r="BH44" i="5"/>
  <c r="BI43" i="5" s="1"/>
  <c r="BJ42" i="5" s="1"/>
  <c r="BK41" i="5" s="1"/>
  <c r="BL40" i="5" s="1"/>
  <c r="BM39" i="5" s="1"/>
  <c r="BN38" i="5" s="1"/>
  <c r="BO37" i="5" s="1"/>
  <c r="GL30" i="5"/>
  <c r="DA38" i="5"/>
  <c r="DE30" i="5"/>
  <c r="DE29" i="5"/>
  <c r="DC34" i="5"/>
  <c r="DE28" i="5"/>
  <c r="CY42" i="5"/>
  <c r="DB36" i="5"/>
  <c r="DD32" i="5"/>
  <c r="CZ40" i="5"/>
  <c r="R45" i="5"/>
  <c r="CX44" i="5" s="1"/>
  <c r="H46" i="5"/>
  <c r="I47" i="5" s="1"/>
  <c r="P46" i="5"/>
  <c r="GC31" i="5" l="1"/>
  <c r="FZ31" i="5"/>
  <c r="GI31" i="5"/>
  <c r="GB31" i="5"/>
  <c r="GG31" i="5"/>
  <c r="GK31" i="5"/>
  <c r="GD31" i="5"/>
  <c r="GF31" i="5"/>
  <c r="GE31" i="5"/>
  <c r="GH31" i="5"/>
  <c r="GJ31" i="5"/>
  <c r="Y31" i="5"/>
  <c r="W32" i="5"/>
  <c r="GA32" i="5" s="1"/>
  <c r="BH45" i="5"/>
  <c r="BI44" i="5" s="1"/>
  <c r="BJ43" i="5" s="1"/>
  <c r="BK42" i="5" s="1"/>
  <c r="BL41" i="5" s="1"/>
  <c r="BM40" i="5" s="1"/>
  <c r="BN39" i="5" s="1"/>
  <c r="BO38" i="5" s="1"/>
  <c r="FY36" i="5"/>
  <c r="BP36" i="5"/>
  <c r="BQ35" i="5" s="1"/>
  <c r="BR34" i="5" s="1"/>
  <c r="BS33" i="5" s="1"/>
  <c r="BT32" i="5" s="1"/>
  <c r="BU31" i="5" s="1"/>
  <c r="BV29" i="5"/>
  <c r="GM30" i="5"/>
  <c r="GL31" i="5"/>
  <c r="CY43" i="5"/>
  <c r="DA39" i="5"/>
  <c r="DE31" i="5"/>
  <c r="DC35" i="5"/>
  <c r="CZ41" i="5"/>
  <c r="DB37" i="5"/>
  <c r="DD33" i="5"/>
  <c r="R46" i="5"/>
  <c r="CX45" i="5" s="1"/>
  <c r="H47" i="5"/>
  <c r="I48" i="5" s="1"/>
  <c r="P47" i="5"/>
  <c r="GE32" i="5" l="1"/>
  <c r="GC32" i="5"/>
  <c r="GB32" i="5"/>
  <c r="GI32" i="5"/>
  <c r="GJ32" i="5"/>
  <c r="GF32" i="5"/>
  <c r="GG32" i="5"/>
  <c r="GK32" i="5"/>
  <c r="GH32" i="5"/>
  <c r="FZ32" i="5"/>
  <c r="GD32" i="5"/>
  <c r="Y32" i="5"/>
  <c r="BV30" i="5"/>
  <c r="GM31" i="5"/>
  <c r="BP37" i="5"/>
  <c r="BQ36" i="5" s="1"/>
  <c r="BR35" i="5" s="1"/>
  <c r="BS34" i="5" s="1"/>
  <c r="BT33" i="5" s="1"/>
  <c r="BU32" i="5" s="1"/>
  <c r="FY37" i="5"/>
  <c r="W33" i="5"/>
  <c r="GA33" i="5" s="1"/>
  <c r="BH46" i="5"/>
  <c r="BI45" i="5" s="1"/>
  <c r="BJ44" i="5" s="1"/>
  <c r="BK43" i="5" s="1"/>
  <c r="BL42" i="5" s="1"/>
  <c r="BM41" i="5" s="1"/>
  <c r="BN40" i="5" s="1"/>
  <c r="BO39" i="5" s="1"/>
  <c r="GL32" i="5"/>
  <c r="BW28" i="5"/>
  <c r="GO28" i="5" s="1"/>
  <c r="GN29" i="5"/>
  <c r="DE32" i="5"/>
  <c r="CY44" i="5"/>
  <c r="DC36" i="5"/>
  <c r="DA40" i="5"/>
  <c r="DD34" i="5"/>
  <c r="CZ42" i="5"/>
  <c r="DB38" i="5"/>
  <c r="R47" i="5"/>
  <c r="CX46" i="5" s="1"/>
  <c r="H48" i="5"/>
  <c r="I49" i="5" s="1"/>
  <c r="P48" i="5"/>
  <c r="GE33" i="5" l="1"/>
  <c r="GF33" i="5"/>
  <c r="GJ33" i="5"/>
  <c r="GD33" i="5"/>
  <c r="GH33" i="5"/>
  <c r="GL33" i="5"/>
  <c r="GB33" i="5"/>
  <c r="FZ33" i="5"/>
  <c r="GC33" i="5"/>
  <c r="GG33" i="5"/>
  <c r="GI33" i="5"/>
  <c r="GK33" i="5"/>
  <c r="Y33" i="5"/>
  <c r="W34" i="5"/>
  <c r="GA34" i="5" s="1"/>
  <c r="BH47" i="5"/>
  <c r="BI46" i="5" s="1"/>
  <c r="BJ45" i="5" s="1"/>
  <c r="BK44" i="5" s="1"/>
  <c r="BL43" i="5" s="1"/>
  <c r="BM42" i="5" s="1"/>
  <c r="BN41" i="5" s="1"/>
  <c r="BO40" i="5" s="1"/>
  <c r="BP38" i="5"/>
  <c r="BQ37" i="5" s="1"/>
  <c r="BR36" i="5" s="1"/>
  <c r="BS35" i="5" s="1"/>
  <c r="BT34" i="5" s="1"/>
  <c r="BU33" i="5" s="1"/>
  <c r="FY38" i="5"/>
  <c r="BV31" i="5"/>
  <c r="GM32" i="5"/>
  <c r="BW29" i="5"/>
  <c r="GN30" i="5"/>
  <c r="CY45" i="5"/>
  <c r="DC37" i="5"/>
  <c r="DA41" i="5"/>
  <c r="DE33" i="5"/>
  <c r="DB39" i="5"/>
  <c r="DD35" i="5"/>
  <c r="CZ43" i="5"/>
  <c r="R48" i="5"/>
  <c r="CX47" i="5" s="1"/>
  <c r="P49" i="5"/>
  <c r="H49" i="5"/>
  <c r="I50" i="5" s="1"/>
  <c r="GE34" i="5" l="1"/>
  <c r="FZ34" i="5"/>
  <c r="GC34" i="5"/>
  <c r="Y34" i="5"/>
  <c r="GJ34" i="5"/>
  <c r="GI34" i="5"/>
  <c r="GD34" i="5"/>
  <c r="GH34" i="5"/>
  <c r="GL34" i="5"/>
  <c r="GG34" i="5"/>
  <c r="GK34" i="5"/>
  <c r="GB34" i="5"/>
  <c r="GF34" i="5"/>
  <c r="FY39" i="5"/>
  <c r="BP39" i="5"/>
  <c r="BQ38" i="5" s="1"/>
  <c r="BR37" i="5" s="1"/>
  <c r="BS36" i="5" s="1"/>
  <c r="BT35" i="5" s="1"/>
  <c r="BU34" i="5" s="1"/>
  <c r="W35" i="5"/>
  <c r="GA35" i="5" s="1"/>
  <c r="BH48" i="5"/>
  <c r="BI47" i="5" s="1"/>
  <c r="BJ46" i="5" s="1"/>
  <c r="BK45" i="5" s="1"/>
  <c r="BL44" i="5" s="1"/>
  <c r="BM43" i="5" s="1"/>
  <c r="BN42" i="5" s="1"/>
  <c r="BO41" i="5" s="1"/>
  <c r="BX28" i="5"/>
  <c r="GP28" i="5" s="1"/>
  <c r="GO29" i="5"/>
  <c r="BW30" i="5"/>
  <c r="GN31" i="5"/>
  <c r="BV32" i="5"/>
  <c r="GM33" i="5"/>
  <c r="CY46" i="5"/>
  <c r="DE34" i="5"/>
  <c r="DC38" i="5"/>
  <c r="DB40" i="5"/>
  <c r="DD36" i="5"/>
  <c r="DA42" i="5"/>
  <c r="CZ44" i="5"/>
  <c r="P50" i="5"/>
  <c r="H50" i="5"/>
  <c r="I51" i="5" s="1"/>
  <c r="R49" i="5"/>
  <c r="CX48" i="5" s="1"/>
  <c r="Y35" i="5" l="1"/>
  <c r="FZ35" i="5"/>
  <c r="GC35" i="5"/>
  <c r="GI35" i="5"/>
  <c r="GB35" i="5"/>
  <c r="GG35" i="5"/>
  <c r="GK35" i="5"/>
  <c r="GD35" i="5"/>
  <c r="GF35" i="5"/>
  <c r="GE35" i="5"/>
  <c r="GH35" i="5"/>
  <c r="GJ35" i="5"/>
  <c r="GL35" i="5"/>
  <c r="BP40" i="5"/>
  <c r="BQ39" i="5" s="1"/>
  <c r="BR38" i="5" s="1"/>
  <c r="BS37" i="5" s="1"/>
  <c r="BT36" i="5" s="1"/>
  <c r="BU35" i="5" s="1"/>
  <c r="FY40" i="5"/>
  <c r="BV33" i="5"/>
  <c r="GM34" i="5"/>
  <c r="W36" i="5"/>
  <c r="GA36" i="5" s="1"/>
  <c r="BH49" i="5"/>
  <c r="BI48" i="5" s="1"/>
  <c r="BJ47" i="5" s="1"/>
  <c r="BK46" i="5" s="1"/>
  <c r="BL45" i="5" s="1"/>
  <c r="BM44" i="5" s="1"/>
  <c r="BN43" i="5" s="1"/>
  <c r="BO42" i="5" s="1"/>
  <c r="BW31" i="5"/>
  <c r="GN32" i="5"/>
  <c r="BX29" i="5"/>
  <c r="GO30" i="5"/>
  <c r="CY47" i="5"/>
  <c r="DA43" i="5"/>
  <c r="DB41" i="5"/>
  <c r="DE35" i="5"/>
  <c r="DC39" i="5"/>
  <c r="DD37" i="5"/>
  <c r="CZ45" i="5"/>
  <c r="H51" i="5"/>
  <c r="I52" i="5" s="1"/>
  <c r="P51" i="5"/>
  <c r="R50" i="5"/>
  <c r="CX49" i="5" s="1"/>
  <c r="GC36" i="5" l="1"/>
  <c r="GI36" i="5"/>
  <c r="GE36" i="5"/>
  <c r="GJ36" i="5"/>
  <c r="FZ36" i="5"/>
  <c r="GD36" i="5"/>
  <c r="Y36" i="5"/>
  <c r="GG36" i="5"/>
  <c r="GK36" i="5"/>
  <c r="GH36" i="5"/>
  <c r="GL36" i="5"/>
  <c r="GB36" i="5"/>
  <c r="GF36" i="5"/>
  <c r="FY41" i="5"/>
  <c r="BP41" i="5"/>
  <c r="BQ40" i="5" s="1"/>
  <c r="BR39" i="5" s="1"/>
  <c r="BS38" i="5" s="1"/>
  <c r="BT37" i="5" s="1"/>
  <c r="BU36" i="5" s="1"/>
  <c r="W37" i="5"/>
  <c r="GA37" i="5" s="1"/>
  <c r="BH50" i="5"/>
  <c r="BI49" i="5" s="1"/>
  <c r="BJ48" i="5" s="1"/>
  <c r="BK47" i="5" s="1"/>
  <c r="BL46" i="5" s="1"/>
  <c r="BM45" i="5" s="1"/>
  <c r="BN44" i="5" s="1"/>
  <c r="BO43" i="5" s="1"/>
  <c r="BY28" i="5"/>
  <c r="GQ28" i="5" s="1"/>
  <c r="GP29" i="5"/>
  <c r="BX30" i="5"/>
  <c r="GO31" i="5"/>
  <c r="BW32" i="5"/>
  <c r="GN33" i="5"/>
  <c r="BV34" i="5"/>
  <c r="GM35" i="5"/>
  <c r="Y37" i="5"/>
  <c r="CY48" i="5"/>
  <c r="DE36" i="5"/>
  <c r="DD38" i="5"/>
  <c r="DA44" i="5"/>
  <c r="DC40" i="5"/>
  <c r="DB42" i="5"/>
  <c r="CZ46" i="5"/>
  <c r="H52" i="5"/>
  <c r="I53" i="5" s="1"/>
  <c r="P52" i="5"/>
  <c r="R51" i="5"/>
  <c r="CX50" i="5" s="1"/>
  <c r="GC37" i="5" l="1"/>
  <c r="GB37" i="5"/>
  <c r="GI37" i="5"/>
  <c r="FZ37" i="5"/>
  <c r="GG37" i="5"/>
  <c r="GK37" i="5"/>
  <c r="GF37" i="5"/>
  <c r="GD37" i="5"/>
  <c r="GE37" i="5"/>
  <c r="GH37" i="5"/>
  <c r="GJ37" i="5"/>
  <c r="GL37" i="5"/>
  <c r="W38" i="5"/>
  <c r="GA38" i="5" s="1"/>
  <c r="BH51" i="5"/>
  <c r="BI50" i="5" s="1"/>
  <c r="BJ49" i="5" s="1"/>
  <c r="BK48" i="5" s="1"/>
  <c r="BL47" i="5" s="1"/>
  <c r="BM46" i="5" s="1"/>
  <c r="BN45" i="5" s="1"/>
  <c r="BO44" i="5" s="1"/>
  <c r="FY42" i="5"/>
  <c r="BP42" i="5"/>
  <c r="BQ41" i="5" s="1"/>
  <c r="BR40" i="5" s="1"/>
  <c r="BS39" i="5" s="1"/>
  <c r="BT38" i="5" s="1"/>
  <c r="BU37" i="5" s="1"/>
  <c r="BV35" i="5"/>
  <c r="GM36" i="5"/>
  <c r="BW33" i="5"/>
  <c r="GN34" i="5"/>
  <c r="BX31" i="5"/>
  <c r="GO32" i="5"/>
  <c r="BY29" i="5"/>
  <c r="GP30" i="5"/>
  <c r="DA45" i="5"/>
  <c r="DD39" i="5"/>
  <c r="CY49" i="5"/>
  <c r="DB43" i="5"/>
  <c r="DE37" i="5"/>
  <c r="CZ47" i="5"/>
  <c r="DC41" i="5"/>
  <c r="R52" i="5"/>
  <c r="CX51" i="5" s="1"/>
  <c r="H53" i="5"/>
  <c r="I54" i="5" s="1"/>
  <c r="P53" i="5"/>
  <c r="GE38" i="5" l="1"/>
  <c r="FZ38" i="5"/>
  <c r="GC38" i="5"/>
  <c r="Y38" i="5"/>
  <c r="GJ38" i="5"/>
  <c r="GI38" i="5"/>
  <c r="GD38" i="5"/>
  <c r="GH38" i="5"/>
  <c r="GL38" i="5"/>
  <c r="GG38" i="5"/>
  <c r="GK38" i="5"/>
  <c r="GB38" i="5"/>
  <c r="GF38" i="5"/>
  <c r="BV36" i="5"/>
  <c r="GM37" i="5"/>
  <c r="FY43" i="5"/>
  <c r="BP43" i="5"/>
  <c r="BQ42" i="5" s="1"/>
  <c r="BR41" i="5" s="1"/>
  <c r="BS40" i="5" s="1"/>
  <c r="BT39" i="5" s="1"/>
  <c r="BU38" i="5" s="1"/>
  <c r="W39" i="5"/>
  <c r="GA39" i="5" s="1"/>
  <c r="BH52" i="5"/>
  <c r="BI51" i="5" s="1"/>
  <c r="BJ50" i="5" s="1"/>
  <c r="BK49" i="5" s="1"/>
  <c r="BL48" i="5" s="1"/>
  <c r="BM47" i="5" s="1"/>
  <c r="BN46" i="5" s="1"/>
  <c r="BO45" i="5" s="1"/>
  <c r="BZ28" i="5"/>
  <c r="GR28" i="5" s="1"/>
  <c r="GQ29" i="5"/>
  <c r="BY30" i="5"/>
  <c r="GP31" i="5"/>
  <c r="BX32" i="5"/>
  <c r="GO33" i="5"/>
  <c r="BW34" i="5"/>
  <c r="GN35" i="5"/>
  <c r="Y39" i="5"/>
  <c r="DD40" i="5"/>
  <c r="DA46" i="5"/>
  <c r="CY50" i="5"/>
  <c r="DC42" i="5"/>
  <c r="CZ48" i="5"/>
  <c r="DE38" i="5"/>
  <c r="DB44" i="5"/>
  <c r="R53" i="5"/>
  <c r="CX52" i="5" s="1"/>
  <c r="H54" i="5"/>
  <c r="I55" i="5" s="1"/>
  <c r="P54" i="5"/>
  <c r="GC39" i="5" l="1"/>
  <c r="FZ39" i="5"/>
  <c r="GI39" i="5"/>
  <c r="GB39" i="5"/>
  <c r="GG39" i="5"/>
  <c r="GK39" i="5"/>
  <c r="GD39" i="5"/>
  <c r="GF39" i="5"/>
  <c r="GE39" i="5"/>
  <c r="GH39" i="5"/>
  <c r="GJ39" i="5"/>
  <c r="GL39" i="5"/>
  <c r="BP44" i="5"/>
  <c r="BQ43" i="5" s="1"/>
  <c r="BR42" i="5" s="1"/>
  <c r="BS41" i="5" s="1"/>
  <c r="BT40" i="5" s="1"/>
  <c r="BU39" i="5" s="1"/>
  <c r="FY44" i="5"/>
  <c r="BV37" i="5"/>
  <c r="GM38" i="5"/>
  <c r="W40" i="5"/>
  <c r="GA40" i="5" s="1"/>
  <c r="BH53" i="5"/>
  <c r="BI52" i="5" s="1"/>
  <c r="BJ51" i="5" s="1"/>
  <c r="BK50" i="5" s="1"/>
  <c r="BL49" i="5" s="1"/>
  <c r="BM48" i="5" s="1"/>
  <c r="BN47" i="5" s="1"/>
  <c r="BO46" i="5" s="1"/>
  <c r="BX33" i="5"/>
  <c r="GO34" i="5"/>
  <c r="BY31" i="5"/>
  <c r="GP32" i="5"/>
  <c r="BZ29" i="5"/>
  <c r="GQ30" i="5"/>
  <c r="BW35" i="5"/>
  <c r="GN36" i="5"/>
  <c r="DE39" i="5"/>
  <c r="CY51" i="5"/>
  <c r="DC43" i="5"/>
  <c r="DA47" i="5"/>
  <c r="DD41" i="5"/>
  <c r="CZ49" i="5"/>
  <c r="DB45" i="5"/>
  <c r="R54" i="5"/>
  <c r="CX53" i="5" s="1"/>
  <c r="H55" i="5"/>
  <c r="I56" i="5" s="1"/>
  <c r="P55" i="5"/>
  <c r="Y40" i="5" l="1"/>
  <c r="GK40" i="5"/>
  <c r="GL40" i="5"/>
  <c r="GG40" i="5"/>
  <c r="GH40" i="5"/>
  <c r="GB40" i="5"/>
  <c r="GC40" i="5"/>
  <c r="GI40" i="5"/>
  <c r="GE40" i="5"/>
  <c r="GJ40" i="5"/>
  <c r="FZ40" i="5"/>
  <c r="GD40" i="5"/>
  <c r="GF40" i="5"/>
  <c r="BP45" i="5"/>
  <c r="BQ44" i="5" s="1"/>
  <c r="BR43" i="5" s="1"/>
  <c r="BS42" i="5" s="1"/>
  <c r="BT41" i="5" s="1"/>
  <c r="BU40" i="5" s="1"/>
  <c r="FY45" i="5"/>
  <c r="W41" i="5"/>
  <c r="GA41" i="5" s="1"/>
  <c r="BH54" i="5"/>
  <c r="BI53" i="5" s="1"/>
  <c r="BJ52" i="5" s="1"/>
  <c r="BK51" i="5" s="1"/>
  <c r="BL50" i="5" s="1"/>
  <c r="BM49" i="5" s="1"/>
  <c r="BN48" i="5" s="1"/>
  <c r="BO47" i="5" s="1"/>
  <c r="BX34" i="5"/>
  <c r="GO35" i="5"/>
  <c r="CA28" i="5"/>
  <c r="GS28" i="5" s="1"/>
  <c r="GR29" i="5"/>
  <c r="BZ30" i="5"/>
  <c r="GQ31" i="5"/>
  <c r="BY32" i="5"/>
  <c r="GP33" i="5"/>
  <c r="BW36" i="5"/>
  <c r="GN37" i="5"/>
  <c r="BV38" i="5"/>
  <c r="GM39" i="5"/>
  <c r="Y41" i="5"/>
  <c r="DD42" i="5"/>
  <c r="CY52" i="5"/>
  <c r="DC44" i="5"/>
  <c r="DA48" i="5"/>
  <c r="DE40" i="5"/>
  <c r="DB46" i="5"/>
  <c r="CZ50" i="5"/>
  <c r="R55" i="5"/>
  <c r="CX54" i="5" s="1"/>
  <c r="H56" i="5"/>
  <c r="I57" i="5" s="1"/>
  <c r="P56" i="5"/>
  <c r="GC41" i="5" l="1"/>
  <c r="GB41" i="5"/>
  <c r="GI41" i="5"/>
  <c r="FZ41" i="5"/>
  <c r="GG41" i="5"/>
  <c r="GK41" i="5"/>
  <c r="GF41" i="5"/>
  <c r="GD41" i="5"/>
  <c r="GE41" i="5"/>
  <c r="GH41" i="5"/>
  <c r="GJ41" i="5"/>
  <c r="GL41" i="5"/>
  <c r="FY46" i="5"/>
  <c r="BP46" i="5"/>
  <c r="BQ45" i="5" s="1"/>
  <c r="BR44" i="5" s="1"/>
  <c r="BS43" i="5" s="1"/>
  <c r="BT42" i="5" s="1"/>
  <c r="BU41" i="5" s="1"/>
  <c r="W42" i="5"/>
  <c r="GA42" i="5" s="1"/>
  <c r="BH55" i="5"/>
  <c r="BI54" i="5" s="1"/>
  <c r="BJ53" i="5" s="1"/>
  <c r="BK52" i="5" s="1"/>
  <c r="BL51" i="5" s="1"/>
  <c r="BM50" i="5" s="1"/>
  <c r="BN49" i="5" s="1"/>
  <c r="BO48" i="5" s="1"/>
  <c r="BW37" i="5"/>
  <c r="GN38" i="5"/>
  <c r="BX35" i="5"/>
  <c r="GO36" i="5"/>
  <c r="BZ31" i="5"/>
  <c r="GQ32" i="5"/>
  <c r="CA29" i="5"/>
  <c r="GR30" i="5"/>
  <c r="BY33" i="5"/>
  <c r="GP34" i="5"/>
  <c r="BV39" i="5"/>
  <c r="GM40" i="5"/>
  <c r="Y42" i="5"/>
  <c r="CY53" i="5"/>
  <c r="DA49" i="5"/>
  <c r="DC45" i="5"/>
  <c r="DB47" i="5"/>
  <c r="DD43" i="5"/>
  <c r="CZ51" i="5"/>
  <c r="DE41" i="5"/>
  <c r="R56" i="5"/>
  <c r="P57" i="5"/>
  <c r="H57" i="5"/>
  <c r="I58" i="5" s="1"/>
  <c r="GE42" i="5" l="1"/>
  <c r="GC42" i="5"/>
  <c r="FZ42" i="5"/>
  <c r="GJ42" i="5"/>
  <c r="GI42" i="5"/>
  <c r="GD42" i="5"/>
  <c r="GH42" i="5"/>
  <c r="GL42" i="5"/>
  <c r="GG42" i="5"/>
  <c r="GK42" i="5"/>
  <c r="GB42" i="5"/>
  <c r="GF42" i="5"/>
  <c r="W43" i="5"/>
  <c r="GA43" i="5" s="1"/>
  <c r="BH56" i="5"/>
  <c r="BI55" i="5" s="1"/>
  <c r="BJ54" i="5" s="1"/>
  <c r="BK53" i="5" s="1"/>
  <c r="BL52" i="5" s="1"/>
  <c r="BM51" i="5" s="1"/>
  <c r="BN50" i="5" s="1"/>
  <c r="BO49" i="5" s="1"/>
  <c r="FY47" i="5"/>
  <c r="BP47" i="5"/>
  <c r="BQ46" i="5" s="1"/>
  <c r="BR45" i="5" s="1"/>
  <c r="BS44" i="5" s="1"/>
  <c r="BT43" i="5" s="1"/>
  <c r="BU42" i="5" s="1"/>
  <c r="BV40" i="5"/>
  <c r="GM41" i="5"/>
  <c r="BW38" i="5"/>
  <c r="GN39" i="5"/>
  <c r="BZ32" i="5"/>
  <c r="GQ33" i="5"/>
  <c r="CB28" i="5"/>
  <c r="GT28" i="5" s="1"/>
  <c r="GS29" i="5"/>
  <c r="CA30" i="5"/>
  <c r="GR31" i="5"/>
  <c r="BY34" i="5"/>
  <c r="GP35" i="5"/>
  <c r="BX36" i="5"/>
  <c r="GO37" i="5"/>
  <c r="Y43" i="5"/>
  <c r="CX55" i="5"/>
  <c r="DA50" i="5"/>
  <c r="DE42" i="5"/>
  <c r="DC46" i="5"/>
  <c r="DD44" i="5"/>
  <c r="DB48" i="5"/>
  <c r="CZ52" i="5"/>
  <c r="H58" i="5"/>
  <c r="I59" i="5" s="1"/>
  <c r="P58" i="5"/>
  <c r="R57" i="5"/>
  <c r="CX56" i="5" s="1"/>
  <c r="GC43" i="5" l="1"/>
  <c r="FZ43" i="5"/>
  <c r="GI43" i="5"/>
  <c r="GB43" i="5"/>
  <c r="GG43" i="5"/>
  <c r="GK43" i="5"/>
  <c r="GD43" i="5"/>
  <c r="GF43" i="5"/>
  <c r="GE43" i="5"/>
  <c r="GH43" i="5"/>
  <c r="GJ43" i="5"/>
  <c r="GL43" i="5"/>
  <c r="W44" i="5"/>
  <c r="GA44" i="5" s="1"/>
  <c r="BH57" i="5"/>
  <c r="BI56" i="5" s="1"/>
  <c r="BJ55" i="5" s="1"/>
  <c r="BK54" i="5" s="1"/>
  <c r="BL53" i="5" s="1"/>
  <c r="BM52" i="5" s="1"/>
  <c r="BN51" i="5" s="1"/>
  <c r="BO50" i="5" s="1"/>
  <c r="BV41" i="5"/>
  <c r="GM42" i="5"/>
  <c r="BP48" i="5"/>
  <c r="BQ47" i="5" s="1"/>
  <c r="BR46" i="5" s="1"/>
  <c r="BS45" i="5" s="1"/>
  <c r="BT44" i="5" s="1"/>
  <c r="BU43" i="5" s="1"/>
  <c r="FY48" i="5"/>
  <c r="BY35" i="5"/>
  <c r="GP36" i="5"/>
  <c r="BZ33" i="5"/>
  <c r="GQ34" i="5"/>
  <c r="CB29" i="5"/>
  <c r="GT29" i="5" s="1"/>
  <c r="GS30" i="5"/>
  <c r="CA31" i="5"/>
  <c r="GR32" i="5"/>
  <c r="BX37" i="5"/>
  <c r="GO38" i="5"/>
  <c r="BW39" i="5"/>
  <c r="GN40" i="5"/>
  <c r="Y44" i="5"/>
  <c r="CY54" i="5"/>
  <c r="CY55" i="5"/>
  <c r="DA51" i="5"/>
  <c r="DC47" i="5"/>
  <c r="DE43" i="5"/>
  <c r="DD45" i="5"/>
  <c r="DB49" i="5"/>
  <c r="H59" i="5"/>
  <c r="I60" i="5" s="1"/>
  <c r="P59" i="5"/>
  <c r="R58" i="5"/>
  <c r="CX57" i="5" s="1"/>
  <c r="GE44" i="5" l="1"/>
  <c r="GC44" i="5"/>
  <c r="FZ44" i="5"/>
  <c r="GI44" i="5"/>
  <c r="GJ44" i="5"/>
  <c r="GD44" i="5"/>
  <c r="GG44" i="5"/>
  <c r="GK44" i="5"/>
  <c r="GH44" i="5"/>
  <c r="GL44" i="5"/>
  <c r="GB44" i="5"/>
  <c r="GF44" i="5"/>
  <c r="W45" i="5"/>
  <c r="GA45" i="5" s="1"/>
  <c r="BH58" i="5"/>
  <c r="BI57" i="5" s="1"/>
  <c r="BJ56" i="5" s="1"/>
  <c r="BK55" i="5" s="1"/>
  <c r="BL54" i="5" s="1"/>
  <c r="BM53" i="5" s="1"/>
  <c r="BN52" i="5" s="1"/>
  <c r="BO51" i="5" s="1"/>
  <c r="FY49" i="5"/>
  <c r="BP49" i="5"/>
  <c r="BQ48" i="5" s="1"/>
  <c r="BR47" i="5" s="1"/>
  <c r="BS46" i="5" s="1"/>
  <c r="BT45" i="5" s="1"/>
  <c r="BU44" i="5" s="1"/>
  <c r="BX38" i="5"/>
  <c r="GO39" i="5"/>
  <c r="BY36" i="5"/>
  <c r="GP37" i="5"/>
  <c r="CB30" i="5"/>
  <c r="GT30" i="5" s="1"/>
  <c r="GS31" i="5"/>
  <c r="CA32" i="5"/>
  <c r="GR33" i="5"/>
  <c r="BZ34" i="5"/>
  <c r="GQ35" i="5"/>
  <c r="BV42" i="5"/>
  <c r="GM43" i="5"/>
  <c r="BW40" i="5"/>
  <c r="GN41" i="5"/>
  <c r="Y45" i="5"/>
  <c r="CY56" i="5"/>
  <c r="DC48" i="5"/>
  <c r="DE44" i="5"/>
  <c r="DD46" i="5"/>
  <c r="DB50" i="5"/>
  <c r="CZ54" i="5"/>
  <c r="CZ53" i="5"/>
  <c r="R59" i="5"/>
  <c r="CX58" i="5" s="1"/>
  <c r="H60" i="5"/>
  <c r="I61" i="5" s="1"/>
  <c r="P60" i="5"/>
  <c r="GC45" i="5" l="1"/>
  <c r="GB45" i="5"/>
  <c r="GI45" i="5"/>
  <c r="FZ45" i="5"/>
  <c r="GG45" i="5"/>
  <c r="GK45" i="5"/>
  <c r="GF45" i="5"/>
  <c r="GD45" i="5"/>
  <c r="GE45" i="5"/>
  <c r="GH45" i="5"/>
  <c r="GJ45" i="5"/>
  <c r="GL45" i="5"/>
  <c r="BV43" i="5"/>
  <c r="GM44" i="5"/>
  <c r="BP50" i="5"/>
  <c r="BQ49" i="5" s="1"/>
  <c r="BR48" i="5" s="1"/>
  <c r="BS47" i="5" s="1"/>
  <c r="BT46" i="5" s="1"/>
  <c r="BU45" i="5" s="1"/>
  <c r="FY50" i="5"/>
  <c r="W46" i="5"/>
  <c r="GA46" i="5" s="1"/>
  <c r="BH59" i="5"/>
  <c r="BI58" i="5" s="1"/>
  <c r="BJ57" i="5" s="1"/>
  <c r="BK56" i="5" s="1"/>
  <c r="BL55" i="5" s="1"/>
  <c r="BM54" i="5" s="1"/>
  <c r="BN53" i="5" s="1"/>
  <c r="BO52" i="5" s="1"/>
  <c r="BX39" i="5"/>
  <c r="GO40" i="5"/>
  <c r="BW41" i="5"/>
  <c r="GN42" i="5"/>
  <c r="CA33" i="5"/>
  <c r="GR34" i="5"/>
  <c r="CB31" i="5"/>
  <c r="GT31" i="5" s="1"/>
  <c r="GS32" i="5"/>
  <c r="BZ35" i="5"/>
  <c r="GQ36" i="5"/>
  <c r="BY37" i="5"/>
  <c r="GP38" i="5"/>
  <c r="Y46" i="5"/>
  <c r="CY57" i="5"/>
  <c r="DA52" i="5"/>
  <c r="DA53" i="5"/>
  <c r="DC49" i="5"/>
  <c r="DE45" i="5"/>
  <c r="DD47" i="5"/>
  <c r="CZ55" i="5"/>
  <c r="R60" i="5"/>
  <c r="CX59" i="5" s="1"/>
  <c r="H61" i="5"/>
  <c r="I62" i="5" s="1"/>
  <c r="P61" i="5"/>
  <c r="GC46" i="5" l="1"/>
  <c r="GE46" i="5"/>
  <c r="FZ46" i="5"/>
  <c r="GJ46" i="5"/>
  <c r="GI46" i="5"/>
  <c r="GD46" i="5"/>
  <c r="GH46" i="5"/>
  <c r="GL46" i="5"/>
  <c r="GG46" i="5"/>
  <c r="GK46" i="5"/>
  <c r="GB46" i="5"/>
  <c r="GF46" i="5"/>
  <c r="FY51" i="5"/>
  <c r="BP51" i="5"/>
  <c r="BQ50" i="5" s="1"/>
  <c r="BR49" i="5" s="1"/>
  <c r="BS48" i="5" s="1"/>
  <c r="BT47" i="5" s="1"/>
  <c r="BU46" i="5" s="1"/>
  <c r="W47" i="5"/>
  <c r="GA47" i="5" s="1"/>
  <c r="BH60" i="5"/>
  <c r="BI59" i="5" s="1"/>
  <c r="BJ58" i="5" s="1"/>
  <c r="BK57" i="5" s="1"/>
  <c r="BL56" i="5" s="1"/>
  <c r="BM55" i="5" s="1"/>
  <c r="BN54" i="5" s="1"/>
  <c r="BO53" i="5" s="1"/>
  <c r="BZ36" i="5"/>
  <c r="GQ37" i="5"/>
  <c r="CA34" i="5"/>
  <c r="GR35" i="5"/>
  <c r="CB32" i="5"/>
  <c r="GT32" i="5" s="1"/>
  <c r="GS33" i="5"/>
  <c r="BX40" i="5"/>
  <c r="GO41" i="5"/>
  <c r="BY38" i="5"/>
  <c r="GP39" i="5"/>
  <c r="BV44" i="5"/>
  <c r="GM45" i="5"/>
  <c r="BW42" i="5"/>
  <c r="GN43" i="5"/>
  <c r="Y47" i="5"/>
  <c r="DA54" i="5"/>
  <c r="CY58" i="5"/>
  <c r="DE46" i="5"/>
  <c r="DD48" i="5"/>
  <c r="DB52" i="5"/>
  <c r="DB51" i="5"/>
  <c r="CZ56" i="5"/>
  <c r="H62" i="5"/>
  <c r="I63" i="5" s="1"/>
  <c r="P62" i="5"/>
  <c r="R61" i="5"/>
  <c r="CX60" i="5" s="1"/>
  <c r="GC47" i="5" l="1"/>
  <c r="FZ47" i="5"/>
  <c r="GI47" i="5"/>
  <c r="GB47" i="5"/>
  <c r="GG47" i="5"/>
  <c r="GK47" i="5"/>
  <c r="GD47" i="5"/>
  <c r="GF47" i="5"/>
  <c r="GE47" i="5"/>
  <c r="GH47" i="5"/>
  <c r="GJ47" i="5"/>
  <c r="GL47" i="5"/>
  <c r="W48" i="5"/>
  <c r="GA48" i="5" s="1"/>
  <c r="BH61" i="5"/>
  <c r="BI60" i="5" s="1"/>
  <c r="BJ59" i="5" s="1"/>
  <c r="BK58" i="5" s="1"/>
  <c r="BL57" i="5" s="1"/>
  <c r="BM56" i="5" s="1"/>
  <c r="BN55" i="5" s="1"/>
  <c r="BO54" i="5" s="1"/>
  <c r="FY52" i="5"/>
  <c r="BP52" i="5"/>
  <c r="BQ51" i="5" s="1"/>
  <c r="BR50" i="5" s="1"/>
  <c r="BS49" i="5" s="1"/>
  <c r="BT48" i="5" s="1"/>
  <c r="BU47" i="5" s="1"/>
  <c r="BV45" i="5"/>
  <c r="GM46" i="5"/>
  <c r="BX41" i="5"/>
  <c r="GO42" i="5"/>
  <c r="BW43" i="5"/>
  <c r="GN44" i="5"/>
  <c r="BZ37" i="5"/>
  <c r="GQ38" i="5"/>
  <c r="BY39" i="5"/>
  <c r="GP40" i="5"/>
  <c r="CB33" i="5"/>
  <c r="GT33" i="5" s="1"/>
  <c r="GS34" i="5"/>
  <c r="CA35" i="5"/>
  <c r="GR36" i="5"/>
  <c r="Y48" i="5"/>
  <c r="DB53" i="5"/>
  <c r="CY59" i="5"/>
  <c r="DA55" i="5"/>
  <c r="DC50" i="5"/>
  <c r="DC51" i="5"/>
  <c r="DE47" i="5"/>
  <c r="CZ57" i="5"/>
  <c r="R62" i="5"/>
  <c r="CX61" i="5" s="1"/>
  <c r="H63" i="5"/>
  <c r="I64" i="5" s="1"/>
  <c r="P63" i="5"/>
  <c r="GE48" i="5" l="1"/>
  <c r="GC48" i="5"/>
  <c r="FZ48" i="5"/>
  <c r="GI48" i="5"/>
  <c r="GJ48" i="5"/>
  <c r="GD48" i="5"/>
  <c r="GG48" i="5"/>
  <c r="GK48" i="5"/>
  <c r="GH48" i="5"/>
  <c r="GL48" i="5"/>
  <c r="GB48" i="5"/>
  <c r="GF48" i="5"/>
  <c r="BV46" i="5"/>
  <c r="GM47" i="5"/>
  <c r="BP53" i="5"/>
  <c r="BQ52" i="5" s="1"/>
  <c r="BR51" i="5" s="1"/>
  <c r="BS50" i="5" s="1"/>
  <c r="BT49" i="5" s="1"/>
  <c r="BU48" i="5" s="1"/>
  <c r="FY53" i="5"/>
  <c r="W49" i="5"/>
  <c r="GA49" i="5" s="1"/>
  <c r="BH62" i="5"/>
  <c r="BI61" i="5" s="1"/>
  <c r="BJ60" i="5" s="1"/>
  <c r="BK59" i="5" s="1"/>
  <c r="BL58" i="5" s="1"/>
  <c r="BM57" i="5" s="1"/>
  <c r="BN56" i="5" s="1"/>
  <c r="BO55" i="5" s="1"/>
  <c r="CB34" i="5"/>
  <c r="GT34" i="5" s="1"/>
  <c r="GS35" i="5"/>
  <c r="BZ38" i="5"/>
  <c r="GQ39" i="5"/>
  <c r="CA36" i="5"/>
  <c r="GR37" i="5"/>
  <c r="BX42" i="5"/>
  <c r="GO43" i="5"/>
  <c r="BY40" i="5"/>
  <c r="GP41" i="5"/>
  <c r="BW44" i="5"/>
  <c r="GN45" i="5"/>
  <c r="Y49" i="5"/>
  <c r="CY60" i="5"/>
  <c r="DD50" i="5"/>
  <c r="DD49" i="5"/>
  <c r="DB54" i="5"/>
  <c r="CZ58" i="5"/>
  <c r="DA56" i="5"/>
  <c r="DC52" i="5"/>
  <c r="R63" i="5"/>
  <c r="CX62" i="5" s="1"/>
  <c r="H64" i="5"/>
  <c r="I65" i="5" s="1"/>
  <c r="P64" i="5"/>
  <c r="GC49" i="5" l="1"/>
  <c r="GB49" i="5"/>
  <c r="GI49" i="5"/>
  <c r="FZ49" i="5"/>
  <c r="GG49" i="5"/>
  <c r="GK49" i="5"/>
  <c r="GF49" i="5"/>
  <c r="GD49" i="5"/>
  <c r="GE49" i="5"/>
  <c r="GH49" i="5"/>
  <c r="GJ49" i="5"/>
  <c r="GL49" i="5"/>
  <c r="BP54" i="5"/>
  <c r="BQ53" i="5" s="1"/>
  <c r="BR52" i="5" s="1"/>
  <c r="BS51" i="5" s="1"/>
  <c r="BT50" i="5" s="1"/>
  <c r="BU49" i="5" s="1"/>
  <c r="FY54" i="5"/>
  <c r="W50" i="5"/>
  <c r="GA50" i="5" s="1"/>
  <c r="BH63" i="5"/>
  <c r="BI62" i="5" s="1"/>
  <c r="BJ61" i="5" s="1"/>
  <c r="BK60" i="5" s="1"/>
  <c r="BL59" i="5" s="1"/>
  <c r="BM58" i="5" s="1"/>
  <c r="BN57" i="5" s="1"/>
  <c r="BO56" i="5" s="1"/>
  <c r="BX43" i="5"/>
  <c r="GO44" i="5"/>
  <c r="BZ39" i="5"/>
  <c r="GQ40" i="5"/>
  <c r="BY41" i="5"/>
  <c r="GP42" i="5"/>
  <c r="CB35" i="5"/>
  <c r="GT35" i="5" s="1"/>
  <c r="GS36" i="5"/>
  <c r="CA37" i="5"/>
  <c r="GR38" i="5"/>
  <c r="BV47" i="5"/>
  <c r="GM48" i="5"/>
  <c r="BW45" i="5"/>
  <c r="GN46" i="5"/>
  <c r="DC53" i="5"/>
  <c r="CY61" i="5"/>
  <c r="DD51" i="5"/>
  <c r="DB55" i="5"/>
  <c r="DA57" i="5"/>
  <c r="DE48" i="5"/>
  <c r="DE49" i="5"/>
  <c r="CZ59" i="5"/>
  <c r="H65" i="5"/>
  <c r="I66" i="5" s="1"/>
  <c r="P65" i="5"/>
  <c r="R64" i="5"/>
  <c r="CX63" i="5" s="1"/>
  <c r="Y50" i="5" l="1"/>
  <c r="GL50" i="5"/>
  <c r="GK50" i="5"/>
  <c r="GH50" i="5"/>
  <c r="GG50" i="5"/>
  <c r="GB50" i="5"/>
  <c r="GE50" i="5"/>
  <c r="GJ50" i="5"/>
  <c r="GC50" i="5"/>
  <c r="GI50" i="5"/>
  <c r="FZ50" i="5"/>
  <c r="GD50" i="5"/>
  <c r="GF50" i="5"/>
  <c r="BP55" i="5"/>
  <c r="BQ54" i="5" s="1"/>
  <c r="BR53" i="5" s="1"/>
  <c r="BS52" i="5" s="1"/>
  <c r="BT51" i="5" s="1"/>
  <c r="BU50" i="5" s="1"/>
  <c r="FY55" i="5"/>
  <c r="W51" i="5"/>
  <c r="GA51" i="5" s="1"/>
  <c r="BH64" i="5"/>
  <c r="BI63" i="5" s="1"/>
  <c r="BJ62" i="5" s="1"/>
  <c r="BK61" i="5" s="1"/>
  <c r="BL60" i="5" s="1"/>
  <c r="BM59" i="5" s="1"/>
  <c r="BN58" i="5" s="1"/>
  <c r="BO57" i="5" s="1"/>
  <c r="BX44" i="5"/>
  <c r="GO45" i="5"/>
  <c r="BW46" i="5"/>
  <c r="GN47" i="5"/>
  <c r="CB36" i="5"/>
  <c r="GT36" i="5" s="1"/>
  <c r="GS37" i="5"/>
  <c r="BZ40" i="5"/>
  <c r="GQ41" i="5"/>
  <c r="CA38" i="5"/>
  <c r="GR39" i="5"/>
  <c r="BY42" i="5"/>
  <c r="GP43" i="5"/>
  <c r="BV48" i="5"/>
  <c r="GM49" i="5"/>
  <c r="Y51" i="5"/>
  <c r="DD52" i="5"/>
  <c r="CY62" i="5"/>
  <c r="DA58" i="5"/>
  <c r="DB56" i="5"/>
  <c r="DC54" i="5"/>
  <c r="DE50" i="5"/>
  <c r="CZ60" i="5"/>
  <c r="R65" i="5"/>
  <c r="CX64" i="5" s="1"/>
  <c r="P66" i="5"/>
  <c r="H66" i="5"/>
  <c r="I67" i="5" s="1"/>
  <c r="E20" i="7"/>
  <c r="F20" i="7"/>
  <c r="G20" i="7"/>
  <c r="H20" i="7"/>
  <c r="J28" i="7"/>
  <c r="GF51" i="5" l="1"/>
  <c r="GH51" i="5"/>
  <c r="GD51" i="5"/>
  <c r="GE51" i="5"/>
  <c r="GJ51" i="5"/>
  <c r="FZ51" i="5"/>
  <c r="GB51" i="5"/>
  <c r="GC51" i="5"/>
  <c r="GG51" i="5"/>
  <c r="GI51" i="5"/>
  <c r="GK51" i="5"/>
  <c r="GL51" i="5"/>
  <c r="W52" i="5"/>
  <c r="GA52" i="5" s="1"/>
  <c r="BH65" i="5"/>
  <c r="BI64" i="5" s="1"/>
  <c r="BJ63" i="5" s="1"/>
  <c r="BK62" i="5" s="1"/>
  <c r="BL61" i="5" s="1"/>
  <c r="BM60" i="5" s="1"/>
  <c r="BN59" i="5" s="1"/>
  <c r="BO58" i="5" s="1"/>
  <c r="BP56" i="5"/>
  <c r="BQ55" i="5" s="1"/>
  <c r="BR54" i="5" s="1"/>
  <c r="BS53" i="5" s="1"/>
  <c r="BT52" i="5" s="1"/>
  <c r="BU51" i="5" s="1"/>
  <c r="FY56" i="5"/>
  <c r="BW47" i="5"/>
  <c r="GN48" i="5"/>
  <c r="BZ41" i="5"/>
  <c r="GQ42" i="5"/>
  <c r="CB37" i="5"/>
  <c r="GT37" i="5" s="1"/>
  <c r="GS38" i="5"/>
  <c r="CA39" i="5"/>
  <c r="GR40" i="5"/>
  <c r="BX45" i="5"/>
  <c r="GO46" i="5"/>
  <c r="BY43" i="5"/>
  <c r="GP44" i="5"/>
  <c r="BV49" i="5"/>
  <c r="GM50" i="5"/>
  <c r="Y52" i="5"/>
  <c r="DD53" i="5"/>
  <c r="DC55" i="5"/>
  <c r="DB57" i="5"/>
  <c r="DE51" i="5"/>
  <c r="CY63" i="5"/>
  <c r="DA59" i="5"/>
  <c r="CZ61" i="5"/>
  <c r="P67" i="5"/>
  <c r="H67" i="5"/>
  <c r="I68" i="5" s="1"/>
  <c r="R66" i="5"/>
  <c r="CX65" i="5" s="1"/>
  <c r="D28" i="7"/>
  <c r="K28" i="7"/>
  <c r="L28" i="7" s="1"/>
  <c r="J29" i="7"/>
  <c r="GE52" i="5" l="1"/>
  <c r="GC52" i="5"/>
  <c r="FZ52" i="5"/>
  <c r="GI52" i="5"/>
  <c r="GJ52" i="5"/>
  <c r="GD52" i="5"/>
  <c r="GG52" i="5"/>
  <c r="GK52" i="5"/>
  <c r="GH52" i="5"/>
  <c r="GL52" i="5"/>
  <c r="GB52" i="5"/>
  <c r="GF52" i="5"/>
  <c r="FY57" i="5"/>
  <c r="BP57" i="5"/>
  <c r="BQ56" i="5" s="1"/>
  <c r="BR55" i="5" s="1"/>
  <c r="BS54" i="5" s="1"/>
  <c r="BT53" i="5" s="1"/>
  <c r="BU52" i="5" s="1"/>
  <c r="W53" i="5"/>
  <c r="GA53" i="5" s="1"/>
  <c r="BH66" i="5"/>
  <c r="BI65" i="5" s="1"/>
  <c r="BJ64" i="5" s="1"/>
  <c r="BK63" i="5" s="1"/>
  <c r="BL62" i="5" s="1"/>
  <c r="BM61" i="5" s="1"/>
  <c r="BN60" i="5" s="1"/>
  <c r="BO59" i="5" s="1"/>
  <c r="BW48" i="5"/>
  <c r="GN49" i="5"/>
  <c r="BZ42" i="5"/>
  <c r="GQ43" i="5"/>
  <c r="BY44" i="5"/>
  <c r="GP45" i="5"/>
  <c r="CB38" i="5"/>
  <c r="GT38" i="5" s="1"/>
  <c r="GS39" i="5"/>
  <c r="CA40" i="5"/>
  <c r="GR41" i="5"/>
  <c r="BX46" i="5"/>
  <c r="GO47" i="5"/>
  <c r="BV50" i="5"/>
  <c r="GM51" i="5"/>
  <c r="DC56" i="5"/>
  <c r="DE52" i="5"/>
  <c r="CY64" i="5"/>
  <c r="DA60" i="5"/>
  <c r="DB58" i="5"/>
  <c r="CZ62" i="5"/>
  <c r="DD54" i="5"/>
  <c r="P68" i="5"/>
  <c r="H68" i="5"/>
  <c r="I69" i="5" s="1"/>
  <c r="R67" i="5"/>
  <c r="CX66" i="5" s="1"/>
  <c r="M28" i="7"/>
  <c r="N28" i="7"/>
  <c r="D29" i="7"/>
  <c r="B28" i="7"/>
  <c r="C28" i="7"/>
  <c r="E28" i="7"/>
  <c r="H28" i="7" s="1"/>
  <c r="G28" i="7"/>
  <c r="K29" i="7"/>
  <c r="L29" i="7" s="1"/>
  <c r="J30" i="7"/>
  <c r="GB53" i="5" l="1"/>
  <c r="FZ53" i="5"/>
  <c r="GC53" i="5"/>
  <c r="GG53" i="5"/>
  <c r="GI53" i="5"/>
  <c r="GK53" i="5"/>
  <c r="Y53" i="5"/>
  <c r="GF53" i="5"/>
  <c r="GD53" i="5"/>
  <c r="GE53" i="5"/>
  <c r="GH53" i="5"/>
  <c r="GJ53" i="5"/>
  <c r="GL53" i="5"/>
  <c r="BP58" i="5"/>
  <c r="BQ57" i="5" s="1"/>
  <c r="BR56" i="5" s="1"/>
  <c r="BS55" i="5" s="1"/>
  <c r="BT54" i="5" s="1"/>
  <c r="BU53" i="5" s="1"/>
  <c r="FY58" i="5"/>
  <c r="BV51" i="5"/>
  <c r="GM52" i="5"/>
  <c r="W54" i="5"/>
  <c r="GA54" i="5" s="1"/>
  <c r="BH67" i="5"/>
  <c r="BI66" i="5" s="1"/>
  <c r="BJ65" i="5" s="1"/>
  <c r="BK64" i="5" s="1"/>
  <c r="BL63" i="5" s="1"/>
  <c r="BM62" i="5" s="1"/>
  <c r="BN61" i="5" s="1"/>
  <c r="BO60" i="5" s="1"/>
  <c r="BW49" i="5"/>
  <c r="GN50" i="5"/>
  <c r="BY45" i="5"/>
  <c r="GP46" i="5"/>
  <c r="CB39" i="5"/>
  <c r="GT39" i="5" s="1"/>
  <c r="GS40" i="5"/>
  <c r="BZ43" i="5"/>
  <c r="GQ44" i="5"/>
  <c r="CA41" i="5"/>
  <c r="GR42" i="5"/>
  <c r="BX47" i="5"/>
  <c r="GO48" i="5"/>
  <c r="Y54" i="5"/>
  <c r="DB59" i="5"/>
  <c r="CY65" i="5"/>
  <c r="DE53" i="5"/>
  <c r="DA61" i="5"/>
  <c r="DC57" i="5"/>
  <c r="CZ63" i="5"/>
  <c r="DD55" i="5"/>
  <c r="P69" i="5"/>
  <c r="H69" i="5"/>
  <c r="I70" i="5" s="1"/>
  <c r="R68" i="5"/>
  <c r="F12" i="5"/>
  <c r="M29" i="7"/>
  <c r="D30" i="7"/>
  <c r="B20" i="7"/>
  <c r="F28" i="7"/>
  <c r="N29" i="7"/>
  <c r="C20" i="7"/>
  <c r="I28" i="7"/>
  <c r="C29" i="7"/>
  <c r="I29" i="7" s="1"/>
  <c r="B29" i="7"/>
  <c r="F29" i="7" s="1"/>
  <c r="E29" i="7"/>
  <c r="H29" i="7" s="1"/>
  <c r="G29" i="7"/>
  <c r="K30" i="7"/>
  <c r="M30" i="7" s="1"/>
  <c r="J31" i="7"/>
  <c r="GE54" i="5" l="1"/>
  <c r="GC54" i="5"/>
  <c r="GJ54" i="5"/>
  <c r="GI54" i="5"/>
  <c r="GH54" i="5"/>
  <c r="GL54" i="5"/>
  <c r="GG54" i="5"/>
  <c r="FZ54" i="5"/>
  <c r="GK54" i="5"/>
  <c r="GD54" i="5"/>
  <c r="GB54" i="5"/>
  <c r="GF54" i="5"/>
  <c r="BP59" i="5"/>
  <c r="BQ58" i="5" s="1"/>
  <c r="BR57" i="5" s="1"/>
  <c r="BS56" i="5" s="1"/>
  <c r="BT55" i="5" s="1"/>
  <c r="BU54" i="5" s="1"/>
  <c r="FY59" i="5"/>
  <c r="W55" i="5"/>
  <c r="GA55" i="5" s="1"/>
  <c r="BH68" i="5"/>
  <c r="BI67" i="5" s="1"/>
  <c r="BJ66" i="5" s="1"/>
  <c r="BK65" i="5" s="1"/>
  <c r="BL64" i="5" s="1"/>
  <c r="BM63" i="5" s="1"/>
  <c r="BN62" i="5" s="1"/>
  <c r="BO61" i="5" s="1"/>
  <c r="BY46" i="5"/>
  <c r="GP47" i="5"/>
  <c r="CB40" i="5"/>
  <c r="GT40" i="5" s="1"/>
  <c r="GS41" i="5"/>
  <c r="CA42" i="5"/>
  <c r="GR43" i="5"/>
  <c r="BZ44" i="5"/>
  <c r="GQ45" i="5"/>
  <c r="BX48" i="5"/>
  <c r="GO49" i="5"/>
  <c r="BW50" i="5"/>
  <c r="GN51" i="5"/>
  <c r="BV52" i="5"/>
  <c r="GM53" i="5"/>
  <c r="CX67" i="5"/>
  <c r="DE54" i="5"/>
  <c r="DA62" i="5"/>
  <c r="CZ64" i="5"/>
  <c r="DC58" i="5"/>
  <c r="DD56" i="5"/>
  <c r="DB60" i="5"/>
  <c r="P70" i="5"/>
  <c r="H70" i="5"/>
  <c r="I71" i="5" s="1"/>
  <c r="R69" i="5"/>
  <c r="CX68" i="5" s="1"/>
  <c r="D31" i="7"/>
  <c r="N30" i="7"/>
  <c r="L30" i="7"/>
  <c r="C30" i="7"/>
  <c r="I30" i="7" s="1"/>
  <c r="E30" i="7"/>
  <c r="H30" i="7" s="1"/>
  <c r="G30" i="7"/>
  <c r="B30" i="7"/>
  <c r="F30" i="7" s="1"/>
  <c r="K31" i="7"/>
  <c r="L31" i="7" s="1"/>
  <c r="J32" i="7"/>
  <c r="FZ55" i="5" l="1"/>
  <c r="GC55" i="5"/>
  <c r="GI55" i="5"/>
  <c r="Y55" i="5"/>
  <c r="GB55" i="5"/>
  <c r="GG55" i="5"/>
  <c r="GK55" i="5"/>
  <c r="GD55" i="5"/>
  <c r="GF55" i="5"/>
  <c r="GE55" i="5"/>
  <c r="GH55" i="5"/>
  <c r="GJ55" i="5"/>
  <c r="GL55" i="5"/>
  <c r="BP60" i="5"/>
  <c r="BQ59" i="5" s="1"/>
  <c r="BR58" i="5" s="1"/>
  <c r="BS57" i="5" s="1"/>
  <c r="BT56" i="5" s="1"/>
  <c r="BU55" i="5" s="1"/>
  <c r="FY60" i="5"/>
  <c r="W56" i="5"/>
  <c r="GA56" i="5" s="1"/>
  <c r="BH69" i="5"/>
  <c r="BI68" i="5" s="1"/>
  <c r="BJ67" i="5" s="1"/>
  <c r="BK66" i="5" s="1"/>
  <c r="BL65" i="5" s="1"/>
  <c r="BM64" i="5" s="1"/>
  <c r="BN63" i="5" s="1"/>
  <c r="BO62" i="5" s="1"/>
  <c r="BW51" i="5"/>
  <c r="GN52" i="5"/>
  <c r="BX49" i="5"/>
  <c r="GO50" i="5"/>
  <c r="BY47" i="5"/>
  <c r="GP48" i="5"/>
  <c r="CA43" i="5"/>
  <c r="GR44" i="5"/>
  <c r="CB41" i="5"/>
  <c r="GT41" i="5" s="1"/>
  <c r="GS42" i="5"/>
  <c r="BZ45" i="5"/>
  <c r="GQ46" i="5"/>
  <c r="BV53" i="5"/>
  <c r="GM54" i="5"/>
  <c r="Y56" i="5"/>
  <c r="CY66" i="5"/>
  <c r="DC59" i="5"/>
  <c r="CY67" i="5"/>
  <c r="DE55" i="5"/>
  <c r="DD57" i="5"/>
  <c r="DA63" i="5"/>
  <c r="DB61" i="5"/>
  <c r="H71" i="5"/>
  <c r="I72" i="5" s="1"/>
  <c r="P71" i="5"/>
  <c r="R70" i="5"/>
  <c r="CX69" i="5" s="1"/>
  <c r="M31" i="7"/>
  <c r="N31" i="7"/>
  <c r="D32" i="7"/>
  <c r="B31" i="7"/>
  <c r="F31" i="7" s="1"/>
  <c r="C31" i="7"/>
  <c r="I31" i="7" s="1"/>
  <c r="E31" i="7"/>
  <c r="H31" i="7" s="1"/>
  <c r="G31" i="7"/>
  <c r="K32" i="7"/>
  <c r="L32" i="7" s="1"/>
  <c r="J33" i="7"/>
  <c r="GE56" i="5" l="1"/>
  <c r="GC56" i="5"/>
  <c r="FZ56" i="5"/>
  <c r="GI56" i="5"/>
  <c r="GJ56" i="5"/>
  <c r="GD56" i="5"/>
  <c r="GG56" i="5"/>
  <c r="GK56" i="5"/>
  <c r="GH56" i="5"/>
  <c r="GL56" i="5"/>
  <c r="GB56" i="5"/>
  <c r="GF56" i="5"/>
  <c r="W57" i="5"/>
  <c r="GA57" i="5" s="1"/>
  <c r="BH70" i="5"/>
  <c r="BI69" i="5" s="1"/>
  <c r="BJ68" i="5" s="1"/>
  <c r="BK67" i="5" s="1"/>
  <c r="BL66" i="5" s="1"/>
  <c r="BM65" i="5" s="1"/>
  <c r="BN64" i="5" s="1"/>
  <c r="BO63" i="5" s="1"/>
  <c r="BP61" i="5"/>
  <c r="BQ60" i="5" s="1"/>
  <c r="BR59" i="5" s="1"/>
  <c r="BS58" i="5" s="1"/>
  <c r="BT57" i="5" s="1"/>
  <c r="BU56" i="5" s="1"/>
  <c r="FY61" i="5"/>
  <c r="BW52" i="5"/>
  <c r="GN53" i="5"/>
  <c r="CA44" i="5"/>
  <c r="GR45" i="5"/>
  <c r="CB42" i="5"/>
  <c r="GT42" i="5" s="1"/>
  <c r="GS43" i="5"/>
  <c r="BZ46" i="5"/>
  <c r="GQ47" i="5"/>
  <c r="BY48" i="5"/>
  <c r="GP49" i="5"/>
  <c r="BX50" i="5"/>
  <c r="GO51" i="5"/>
  <c r="BV54" i="5"/>
  <c r="GM55" i="5"/>
  <c r="Y57" i="5"/>
  <c r="DC60" i="5"/>
  <c r="CY68" i="5"/>
  <c r="DB62" i="5"/>
  <c r="DE56" i="5"/>
  <c r="CZ66" i="5"/>
  <c r="DD58" i="5"/>
  <c r="CZ65" i="5"/>
  <c r="R71" i="5"/>
  <c r="CX70" i="5" s="1"/>
  <c r="P72" i="5"/>
  <c r="H72" i="5"/>
  <c r="I73" i="5" s="1"/>
  <c r="M32" i="7"/>
  <c r="N32" i="7"/>
  <c r="D33" i="7"/>
  <c r="G32" i="7"/>
  <c r="B32" i="7"/>
  <c r="F32" i="7" s="1"/>
  <c r="C32" i="7"/>
  <c r="I32" i="7" s="1"/>
  <c r="E32" i="7"/>
  <c r="H32" i="7" s="1"/>
  <c r="K33" i="7"/>
  <c r="L33" i="7" s="1"/>
  <c r="J34" i="7"/>
  <c r="FZ57" i="5" l="1"/>
  <c r="GG57" i="5"/>
  <c r="GB57" i="5"/>
  <c r="GC57" i="5"/>
  <c r="GI57" i="5"/>
  <c r="GF57" i="5"/>
  <c r="GD57" i="5"/>
  <c r="GE57" i="5"/>
  <c r="GH57" i="5"/>
  <c r="GJ57" i="5"/>
  <c r="GK57" i="5"/>
  <c r="GL57" i="5"/>
  <c r="W58" i="5"/>
  <c r="GA58" i="5" s="1"/>
  <c r="BH71" i="5"/>
  <c r="BI70" i="5" s="1"/>
  <c r="BJ69" i="5" s="1"/>
  <c r="BK68" i="5" s="1"/>
  <c r="BL67" i="5" s="1"/>
  <c r="BM66" i="5" s="1"/>
  <c r="BN65" i="5" s="1"/>
  <c r="BO64" i="5" s="1"/>
  <c r="FY62" i="5"/>
  <c r="BP62" i="5"/>
  <c r="BQ61" i="5" s="1"/>
  <c r="BR60" i="5" s="1"/>
  <c r="BS59" i="5" s="1"/>
  <c r="BT58" i="5" s="1"/>
  <c r="BU57" i="5" s="1"/>
  <c r="BW53" i="5"/>
  <c r="GN54" i="5"/>
  <c r="BY49" i="5"/>
  <c r="GP50" i="5"/>
  <c r="BZ47" i="5"/>
  <c r="GQ48" i="5"/>
  <c r="CA45" i="5"/>
  <c r="GR46" i="5"/>
  <c r="CB43" i="5"/>
  <c r="GT43" i="5" s="1"/>
  <c r="GS44" i="5"/>
  <c r="BX51" i="5"/>
  <c r="GO52" i="5"/>
  <c r="BV55" i="5"/>
  <c r="GM56" i="5"/>
  <c r="Y58" i="5"/>
  <c r="DC61" i="5"/>
  <c r="DD59" i="5"/>
  <c r="CY69" i="5"/>
  <c r="DA64" i="5"/>
  <c r="DE57" i="5"/>
  <c r="DA65" i="5"/>
  <c r="CZ67" i="5"/>
  <c r="H73" i="5"/>
  <c r="I74" i="5" s="1"/>
  <c r="P73" i="5"/>
  <c r="R72" i="5"/>
  <c r="CX71" i="5" s="1"/>
  <c r="M33" i="7"/>
  <c r="N33" i="7"/>
  <c r="D34" i="7"/>
  <c r="C33" i="7"/>
  <c r="I33" i="7" s="1"/>
  <c r="E33" i="7"/>
  <c r="H33" i="7" s="1"/>
  <c r="G33" i="7"/>
  <c r="B33" i="7"/>
  <c r="F33" i="7" s="1"/>
  <c r="K34" i="7"/>
  <c r="L34" i="7" s="1"/>
  <c r="J35" i="7"/>
  <c r="GC58" i="5" l="1"/>
  <c r="GE58" i="5"/>
  <c r="FZ58" i="5"/>
  <c r="GJ58" i="5"/>
  <c r="GI58" i="5"/>
  <c r="GD58" i="5"/>
  <c r="GH58" i="5"/>
  <c r="GL58" i="5"/>
  <c r="GG58" i="5"/>
  <c r="GK58" i="5"/>
  <c r="GB58" i="5"/>
  <c r="GF58" i="5"/>
  <c r="W59" i="5"/>
  <c r="GA59" i="5" s="1"/>
  <c r="BH72" i="5"/>
  <c r="BI71" i="5" s="1"/>
  <c r="BJ70" i="5" s="1"/>
  <c r="BK69" i="5" s="1"/>
  <c r="BL68" i="5" s="1"/>
  <c r="BM67" i="5" s="1"/>
  <c r="BN66" i="5" s="1"/>
  <c r="BO65" i="5" s="1"/>
  <c r="BV56" i="5"/>
  <c r="GM57" i="5"/>
  <c r="FY63" i="5"/>
  <c r="BP63" i="5"/>
  <c r="BQ62" i="5" s="1"/>
  <c r="BR61" i="5" s="1"/>
  <c r="BS60" i="5" s="1"/>
  <c r="BT59" i="5" s="1"/>
  <c r="BU58" i="5" s="1"/>
  <c r="BW54" i="5"/>
  <c r="GN55" i="5"/>
  <c r="BY50" i="5"/>
  <c r="GP51" i="5"/>
  <c r="CB44" i="5"/>
  <c r="GT44" i="5" s="1"/>
  <c r="GS45" i="5"/>
  <c r="CA46" i="5"/>
  <c r="GR47" i="5"/>
  <c r="BZ48" i="5"/>
  <c r="GQ49" i="5"/>
  <c r="BX52" i="5"/>
  <c r="GO53" i="5"/>
  <c r="Y59" i="5"/>
  <c r="DB64" i="5"/>
  <c r="CY70" i="5"/>
  <c r="DA66" i="5"/>
  <c r="DB63" i="5"/>
  <c r="CZ68" i="5"/>
  <c r="DE58" i="5"/>
  <c r="DD60" i="5"/>
  <c r="R73" i="5"/>
  <c r="CX72" i="5" s="1"/>
  <c r="P74" i="5"/>
  <c r="H74" i="5"/>
  <c r="I75" i="5" s="1"/>
  <c r="M34" i="7"/>
  <c r="N34" i="7"/>
  <c r="D35" i="7"/>
  <c r="C34" i="7"/>
  <c r="I34" i="7" s="1"/>
  <c r="B34" i="7"/>
  <c r="F34" i="7" s="1"/>
  <c r="E34" i="7"/>
  <c r="H34" i="7" s="1"/>
  <c r="G34" i="7"/>
  <c r="K35" i="7"/>
  <c r="L35" i="7" s="1"/>
  <c r="J36" i="7"/>
  <c r="GB59" i="5" l="1"/>
  <c r="GG59" i="5"/>
  <c r="FZ59" i="5"/>
  <c r="GC59" i="5"/>
  <c r="GI59" i="5"/>
  <c r="GD59" i="5"/>
  <c r="GF59" i="5"/>
  <c r="GE59" i="5"/>
  <c r="GH59" i="5"/>
  <c r="GJ59" i="5"/>
  <c r="GK59" i="5"/>
  <c r="GL59" i="5"/>
  <c r="W60" i="5"/>
  <c r="GA60" i="5" s="1"/>
  <c r="BH73" i="5"/>
  <c r="BI72" i="5" s="1"/>
  <c r="BJ71" i="5" s="1"/>
  <c r="BK70" i="5" s="1"/>
  <c r="BL69" i="5" s="1"/>
  <c r="BM68" i="5" s="1"/>
  <c r="BN67" i="5" s="1"/>
  <c r="BO66" i="5" s="1"/>
  <c r="BV57" i="5"/>
  <c r="GM58" i="5"/>
  <c r="FY64" i="5"/>
  <c r="BP64" i="5"/>
  <c r="BQ63" i="5" s="1"/>
  <c r="BR62" i="5" s="1"/>
  <c r="BS61" i="5" s="1"/>
  <c r="BT60" i="5" s="1"/>
  <c r="BU59" i="5" s="1"/>
  <c r="BY51" i="5"/>
  <c r="GP52" i="5"/>
  <c r="CA47" i="5"/>
  <c r="GR48" i="5"/>
  <c r="CB45" i="5"/>
  <c r="GT45" i="5" s="1"/>
  <c r="GS46" i="5"/>
  <c r="BZ49" i="5"/>
  <c r="GQ50" i="5"/>
  <c r="BX53" i="5"/>
  <c r="GO54" i="5"/>
  <c r="BW55" i="5"/>
  <c r="GN56" i="5"/>
  <c r="Y60" i="5"/>
  <c r="DC62" i="5"/>
  <c r="DC63" i="5"/>
  <c r="CY71" i="5"/>
  <c r="DE59" i="5"/>
  <c r="DA67" i="5"/>
  <c r="DB65" i="5"/>
  <c r="CZ69" i="5"/>
  <c r="P75" i="5"/>
  <c r="H75" i="5"/>
  <c r="I76" i="5" s="1"/>
  <c r="R74" i="5"/>
  <c r="CX73" i="5" s="1"/>
  <c r="M35" i="7"/>
  <c r="N35" i="7"/>
  <c r="D36" i="7"/>
  <c r="G35" i="7"/>
  <c r="B35" i="7"/>
  <c r="F35" i="7" s="1"/>
  <c r="C35" i="7"/>
  <c r="I35" i="7" s="1"/>
  <c r="E35" i="7"/>
  <c r="H35" i="7" s="1"/>
  <c r="K36" i="7"/>
  <c r="L36" i="7" s="1"/>
  <c r="J37" i="7"/>
  <c r="GE60" i="5" l="1"/>
  <c r="GC60" i="5"/>
  <c r="FZ60" i="5"/>
  <c r="GI60" i="5"/>
  <c r="GJ60" i="5"/>
  <c r="GD60" i="5"/>
  <c r="GG60" i="5"/>
  <c r="GK60" i="5"/>
  <c r="GH60" i="5"/>
  <c r="GL60" i="5"/>
  <c r="GB60" i="5"/>
  <c r="GF60" i="5"/>
  <c r="BV58" i="5"/>
  <c r="GM59" i="5"/>
  <c r="FY65" i="5"/>
  <c r="BP65" i="5"/>
  <c r="BQ64" i="5" s="1"/>
  <c r="BR63" i="5" s="1"/>
  <c r="BS62" i="5" s="1"/>
  <c r="BT61" i="5" s="1"/>
  <c r="BU60" i="5" s="1"/>
  <c r="W61" i="5"/>
  <c r="GA61" i="5" s="1"/>
  <c r="BH74" i="5"/>
  <c r="BI73" i="5" s="1"/>
  <c r="BJ72" i="5" s="1"/>
  <c r="BK71" i="5" s="1"/>
  <c r="BL70" i="5" s="1"/>
  <c r="BM69" i="5" s="1"/>
  <c r="BN68" i="5" s="1"/>
  <c r="BO67" i="5" s="1"/>
  <c r="BX54" i="5"/>
  <c r="GO55" i="5"/>
  <c r="BY52" i="5"/>
  <c r="GP53" i="5"/>
  <c r="CA48" i="5"/>
  <c r="GR49" i="5"/>
  <c r="CB46" i="5"/>
  <c r="GT46" i="5" s="1"/>
  <c r="GS47" i="5"/>
  <c r="BZ50" i="5"/>
  <c r="GQ51" i="5"/>
  <c r="BW56" i="5"/>
  <c r="GN57" i="5"/>
  <c r="Y61" i="5"/>
  <c r="CY72" i="5"/>
  <c r="DC64" i="5"/>
  <c r="DA68" i="5"/>
  <c r="DB66" i="5"/>
  <c r="CZ70" i="5"/>
  <c r="DD62" i="5"/>
  <c r="DD61" i="5"/>
  <c r="H76" i="5"/>
  <c r="I77" i="5" s="1"/>
  <c r="P76" i="5"/>
  <c r="R75" i="5"/>
  <c r="CX74" i="5" s="1"/>
  <c r="M36" i="7"/>
  <c r="N36" i="7"/>
  <c r="D37" i="7"/>
  <c r="E36" i="7"/>
  <c r="H36" i="7" s="1"/>
  <c r="B36" i="7"/>
  <c r="F36" i="7" s="1"/>
  <c r="C36" i="7"/>
  <c r="I36" i="7" s="1"/>
  <c r="G36" i="7"/>
  <c r="K37" i="7"/>
  <c r="L37" i="7" s="1"/>
  <c r="J38" i="7"/>
  <c r="GC61" i="5" l="1"/>
  <c r="GF61" i="5"/>
  <c r="GI61" i="5"/>
  <c r="GB61" i="5"/>
  <c r="FZ61" i="5"/>
  <c r="GG61" i="5"/>
  <c r="GK61" i="5"/>
  <c r="GD61" i="5"/>
  <c r="GE61" i="5"/>
  <c r="GH61" i="5"/>
  <c r="GJ61" i="5"/>
  <c r="GL61" i="5"/>
  <c r="W62" i="5"/>
  <c r="GA62" i="5" s="1"/>
  <c r="BH75" i="5"/>
  <c r="BI74" i="5" s="1"/>
  <c r="BJ73" i="5" s="1"/>
  <c r="BK72" i="5" s="1"/>
  <c r="BL71" i="5" s="1"/>
  <c r="BM70" i="5" s="1"/>
  <c r="BN69" i="5" s="1"/>
  <c r="BO68" i="5" s="1"/>
  <c r="FY66" i="5"/>
  <c r="BP66" i="5"/>
  <c r="BQ65" i="5" s="1"/>
  <c r="BR64" i="5" s="1"/>
  <c r="BS63" i="5" s="1"/>
  <c r="BT62" i="5" s="1"/>
  <c r="BU61" i="5" s="1"/>
  <c r="BV59" i="5"/>
  <c r="GM60" i="5"/>
  <c r="BX55" i="5"/>
  <c r="GO56" i="5"/>
  <c r="CA49" i="5"/>
  <c r="GR50" i="5"/>
  <c r="CB47" i="5"/>
  <c r="GT47" i="5" s="1"/>
  <c r="GS48" i="5"/>
  <c r="BZ51" i="5"/>
  <c r="GQ52" i="5"/>
  <c r="BY53" i="5"/>
  <c r="GP54" i="5"/>
  <c r="BW57" i="5"/>
  <c r="GN58" i="5"/>
  <c r="Y62" i="5"/>
  <c r="DC65" i="5"/>
  <c r="CY73" i="5"/>
  <c r="DE60" i="5"/>
  <c r="DE61" i="5"/>
  <c r="DA69" i="5"/>
  <c r="DB67" i="5"/>
  <c r="DD63" i="5"/>
  <c r="CZ71" i="5"/>
  <c r="R76" i="5"/>
  <c r="CX75" i="5" s="1"/>
  <c r="H77" i="5"/>
  <c r="I78" i="5" s="1"/>
  <c r="P77" i="5"/>
  <c r="M37" i="7"/>
  <c r="N37" i="7"/>
  <c r="D38" i="7"/>
  <c r="C37" i="7"/>
  <c r="I37" i="7" s="1"/>
  <c r="G37" i="7"/>
  <c r="B37" i="7"/>
  <c r="F37" i="7" s="1"/>
  <c r="E37" i="7"/>
  <c r="H37" i="7" s="1"/>
  <c r="K38" i="7"/>
  <c r="L38" i="7" s="1"/>
  <c r="J39" i="7"/>
  <c r="GC62" i="5" l="1"/>
  <c r="GE62" i="5"/>
  <c r="FZ62" i="5"/>
  <c r="GJ62" i="5"/>
  <c r="GI62" i="5"/>
  <c r="GD62" i="5"/>
  <c r="GH62" i="5"/>
  <c r="GL62" i="5"/>
  <c r="GG62" i="5"/>
  <c r="GK62" i="5"/>
  <c r="GB62" i="5"/>
  <c r="GF62" i="5"/>
  <c r="W63" i="5"/>
  <c r="GA63" i="5" s="1"/>
  <c r="BH76" i="5"/>
  <c r="BI75" i="5" s="1"/>
  <c r="BJ74" i="5" s="1"/>
  <c r="BK73" i="5" s="1"/>
  <c r="BL72" i="5" s="1"/>
  <c r="BM71" i="5" s="1"/>
  <c r="BN70" i="5" s="1"/>
  <c r="BO69" i="5" s="1"/>
  <c r="BV60" i="5"/>
  <c r="GM61" i="5"/>
  <c r="FY67" i="5"/>
  <c r="BP67" i="5"/>
  <c r="BQ66" i="5" s="1"/>
  <c r="BR65" i="5" s="1"/>
  <c r="BS64" i="5" s="1"/>
  <c r="BT63" i="5" s="1"/>
  <c r="BU62" i="5" s="1"/>
  <c r="BX56" i="5"/>
  <c r="GO57" i="5"/>
  <c r="BZ52" i="5"/>
  <c r="GQ53" i="5"/>
  <c r="CA50" i="5"/>
  <c r="GR51" i="5"/>
  <c r="CB48" i="5"/>
  <c r="GT48" i="5" s="1"/>
  <c r="GS49" i="5"/>
  <c r="BY54" i="5"/>
  <c r="GP55" i="5"/>
  <c r="BW58" i="5"/>
  <c r="GN59" i="5"/>
  <c r="Y63" i="5"/>
  <c r="DC66" i="5"/>
  <c r="DB68" i="5"/>
  <c r="DD64" i="5"/>
  <c r="CY74" i="5"/>
  <c r="DA70" i="5"/>
  <c r="DE62" i="5"/>
  <c r="CZ72" i="5"/>
  <c r="R77" i="5"/>
  <c r="CX76" i="5" s="1"/>
  <c r="H78" i="5"/>
  <c r="I79" i="5" s="1"/>
  <c r="P78" i="5"/>
  <c r="M38" i="7"/>
  <c r="N38" i="7"/>
  <c r="D39" i="7"/>
  <c r="C38" i="7"/>
  <c r="I38" i="7" s="1"/>
  <c r="E38" i="7"/>
  <c r="H38" i="7" s="1"/>
  <c r="G38" i="7"/>
  <c r="B38" i="7"/>
  <c r="F38" i="7" s="1"/>
  <c r="K39" i="7"/>
  <c r="L39" i="7" s="1"/>
  <c r="J40" i="7"/>
  <c r="GC63" i="5" l="1"/>
  <c r="FZ63" i="5"/>
  <c r="GI63" i="5"/>
  <c r="GB63" i="5"/>
  <c r="GG63" i="5"/>
  <c r="GK63" i="5"/>
  <c r="GD63" i="5"/>
  <c r="GF63" i="5"/>
  <c r="GE63" i="5"/>
  <c r="GH63" i="5"/>
  <c r="GJ63" i="5"/>
  <c r="GL63" i="5"/>
  <c r="BV61" i="5"/>
  <c r="GM62" i="5"/>
  <c r="BP68" i="5"/>
  <c r="BQ67" i="5" s="1"/>
  <c r="BR66" i="5" s="1"/>
  <c r="BS65" i="5" s="1"/>
  <c r="BT64" i="5" s="1"/>
  <c r="BU63" i="5" s="1"/>
  <c r="FY68" i="5"/>
  <c r="W64" i="5"/>
  <c r="GA64" i="5" s="1"/>
  <c r="BH77" i="5"/>
  <c r="BI76" i="5" s="1"/>
  <c r="BJ75" i="5" s="1"/>
  <c r="BK74" i="5" s="1"/>
  <c r="BL73" i="5" s="1"/>
  <c r="BM72" i="5" s="1"/>
  <c r="BN71" i="5" s="1"/>
  <c r="BO70" i="5" s="1"/>
  <c r="BX57" i="5"/>
  <c r="GO58" i="5"/>
  <c r="BZ53" i="5"/>
  <c r="GQ54" i="5"/>
  <c r="CB49" i="5"/>
  <c r="GT49" i="5" s="1"/>
  <c r="GS50" i="5"/>
  <c r="CA51" i="5"/>
  <c r="GR52" i="5"/>
  <c r="BY55" i="5"/>
  <c r="GP56" i="5"/>
  <c r="BW59" i="5"/>
  <c r="GN60" i="5"/>
  <c r="Y64" i="5"/>
  <c r="DC67" i="5"/>
  <c r="DD65" i="5"/>
  <c r="CY75" i="5"/>
  <c r="DA71" i="5"/>
  <c r="DB69" i="5"/>
  <c r="CZ73" i="5"/>
  <c r="DE63" i="5"/>
  <c r="R78" i="5"/>
  <c r="CX77" i="5" s="1"/>
  <c r="P79" i="5"/>
  <c r="H79" i="5"/>
  <c r="I80" i="5" s="1"/>
  <c r="M39" i="7"/>
  <c r="N39" i="7"/>
  <c r="D40" i="7"/>
  <c r="C39" i="7"/>
  <c r="I39" i="7" s="1"/>
  <c r="B39" i="7"/>
  <c r="F39" i="7" s="1"/>
  <c r="E39" i="7"/>
  <c r="H39" i="7" s="1"/>
  <c r="G39" i="7"/>
  <c r="K40" i="7"/>
  <c r="L40" i="7" s="1"/>
  <c r="J41" i="7"/>
  <c r="GI64" i="5" l="1"/>
  <c r="GJ64" i="5"/>
  <c r="GC64" i="5"/>
  <c r="GE64" i="5"/>
  <c r="FZ64" i="5"/>
  <c r="GD64" i="5"/>
  <c r="GG64" i="5"/>
  <c r="GK64" i="5"/>
  <c r="GH64" i="5"/>
  <c r="GL64" i="5"/>
  <c r="GB64" i="5"/>
  <c r="GF64" i="5"/>
  <c r="W65" i="5"/>
  <c r="GA65" i="5" s="1"/>
  <c r="BH78" i="5"/>
  <c r="BI77" i="5" s="1"/>
  <c r="BJ76" i="5" s="1"/>
  <c r="BK75" i="5" s="1"/>
  <c r="BL74" i="5" s="1"/>
  <c r="BM73" i="5" s="1"/>
  <c r="BN72" i="5" s="1"/>
  <c r="BO71" i="5" s="1"/>
  <c r="FY69" i="5"/>
  <c r="BP69" i="5"/>
  <c r="BQ68" i="5" s="1"/>
  <c r="BR67" i="5" s="1"/>
  <c r="BS66" i="5" s="1"/>
  <c r="BT65" i="5" s="1"/>
  <c r="BU64" i="5" s="1"/>
  <c r="BX58" i="5"/>
  <c r="GO59" i="5"/>
  <c r="BZ54" i="5"/>
  <c r="GQ55" i="5"/>
  <c r="CB50" i="5"/>
  <c r="GT50" i="5" s="1"/>
  <c r="GS51" i="5"/>
  <c r="CA52" i="5"/>
  <c r="GR53" i="5"/>
  <c r="BY56" i="5"/>
  <c r="GP57" i="5"/>
  <c r="BV62" i="5"/>
  <c r="GM63" i="5"/>
  <c r="BW60" i="5"/>
  <c r="GN61" i="5"/>
  <c r="DC68" i="5"/>
  <c r="CY76" i="5"/>
  <c r="DA72" i="5"/>
  <c r="DB70" i="5"/>
  <c r="CZ74" i="5"/>
  <c r="DE64" i="5"/>
  <c r="DD66" i="5"/>
  <c r="P80" i="5"/>
  <c r="H80" i="5"/>
  <c r="I81" i="5" s="1"/>
  <c r="R79" i="5"/>
  <c r="CX78" i="5" s="1"/>
  <c r="M40" i="7"/>
  <c r="N40" i="7"/>
  <c r="D41" i="7"/>
  <c r="C40" i="7"/>
  <c r="I40" i="7" s="1"/>
  <c r="G40" i="7"/>
  <c r="B40" i="7"/>
  <c r="F40" i="7" s="1"/>
  <c r="E40" i="7"/>
  <c r="H40" i="7" s="1"/>
  <c r="K41" i="7"/>
  <c r="L41" i="7" s="1"/>
  <c r="J42" i="7"/>
  <c r="GB65" i="5" l="1"/>
  <c r="FZ65" i="5"/>
  <c r="GC65" i="5"/>
  <c r="GG65" i="5"/>
  <c r="GI65" i="5"/>
  <c r="GK65" i="5"/>
  <c r="Y65" i="5"/>
  <c r="GF65" i="5"/>
  <c r="GD65" i="5"/>
  <c r="GE65" i="5"/>
  <c r="GH65" i="5"/>
  <c r="GJ65" i="5"/>
  <c r="GL65" i="5"/>
  <c r="BV63" i="5"/>
  <c r="GM64" i="5"/>
  <c r="FY70" i="5"/>
  <c r="BP70" i="5"/>
  <c r="BQ69" i="5" s="1"/>
  <c r="BR68" i="5" s="1"/>
  <c r="BS67" i="5" s="1"/>
  <c r="BT66" i="5" s="1"/>
  <c r="BU65" i="5" s="1"/>
  <c r="W66" i="5"/>
  <c r="GA66" i="5" s="1"/>
  <c r="BH79" i="5"/>
  <c r="BI78" i="5" s="1"/>
  <c r="BJ77" i="5" s="1"/>
  <c r="BK76" i="5" s="1"/>
  <c r="BL75" i="5" s="1"/>
  <c r="BM74" i="5" s="1"/>
  <c r="BN73" i="5" s="1"/>
  <c r="BO72" i="5" s="1"/>
  <c r="BX59" i="5"/>
  <c r="GO60" i="5"/>
  <c r="BW61" i="5"/>
  <c r="GN62" i="5"/>
  <c r="BZ55" i="5"/>
  <c r="GQ56" i="5"/>
  <c r="CB51" i="5"/>
  <c r="GT51" i="5" s="1"/>
  <c r="GS52" i="5"/>
  <c r="CA53" i="5"/>
  <c r="GR54" i="5"/>
  <c r="BY57" i="5"/>
  <c r="GP58" i="5"/>
  <c r="Y66" i="5"/>
  <c r="DC69" i="5"/>
  <c r="CZ75" i="5"/>
  <c r="CY77" i="5"/>
  <c r="DE65" i="5"/>
  <c r="DA73" i="5"/>
  <c r="DB71" i="5"/>
  <c r="DD67" i="5"/>
  <c r="H81" i="5"/>
  <c r="I82" i="5" s="1"/>
  <c r="P81" i="5"/>
  <c r="R80" i="5"/>
  <c r="CX79" i="5" s="1"/>
  <c r="M41" i="7"/>
  <c r="N41" i="7"/>
  <c r="D42" i="7"/>
  <c r="C41" i="7"/>
  <c r="I41" i="7" s="1"/>
  <c r="E41" i="7"/>
  <c r="H41" i="7" s="1"/>
  <c r="B41" i="7"/>
  <c r="F41" i="7" s="1"/>
  <c r="G41" i="7"/>
  <c r="K42" i="7"/>
  <c r="L42" i="7" s="1"/>
  <c r="J43" i="7"/>
  <c r="GC66" i="5" l="1"/>
  <c r="GE66" i="5"/>
  <c r="FZ66" i="5"/>
  <c r="GJ66" i="5"/>
  <c r="GI66" i="5"/>
  <c r="GD66" i="5"/>
  <c r="GH66" i="5"/>
  <c r="GL66" i="5"/>
  <c r="GG66" i="5"/>
  <c r="GK66" i="5"/>
  <c r="GB66" i="5"/>
  <c r="GF66" i="5"/>
  <c r="W67" i="5"/>
  <c r="GA67" i="5" s="1"/>
  <c r="BH80" i="5"/>
  <c r="BI79" i="5" s="1"/>
  <c r="BJ78" i="5" s="1"/>
  <c r="BK77" i="5" s="1"/>
  <c r="BL76" i="5" s="1"/>
  <c r="BM75" i="5" s="1"/>
  <c r="BN74" i="5" s="1"/>
  <c r="BO73" i="5" s="1"/>
  <c r="FY71" i="5"/>
  <c r="BP71" i="5"/>
  <c r="BQ70" i="5" s="1"/>
  <c r="BR69" i="5" s="1"/>
  <c r="BS68" i="5" s="1"/>
  <c r="BT67" i="5" s="1"/>
  <c r="BU66" i="5" s="1"/>
  <c r="BV64" i="5"/>
  <c r="GM65" i="5"/>
  <c r="BZ56" i="5"/>
  <c r="GQ57" i="5"/>
  <c r="CB52" i="5"/>
  <c r="GT52" i="5" s="1"/>
  <c r="GS53" i="5"/>
  <c r="CA54" i="5"/>
  <c r="GR55" i="5"/>
  <c r="BX60" i="5"/>
  <c r="GO61" i="5"/>
  <c r="BY58" i="5"/>
  <c r="GP59" i="5"/>
  <c r="BW62" i="5"/>
  <c r="GN63" i="5"/>
  <c r="GK67" i="5"/>
  <c r="DC70" i="5"/>
  <c r="DB72" i="5"/>
  <c r="DA74" i="5"/>
  <c r="CY78" i="5"/>
  <c r="DE66" i="5"/>
  <c r="CZ76" i="5"/>
  <c r="DD68" i="5"/>
  <c r="R81" i="5"/>
  <c r="CX80" i="5" s="1"/>
  <c r="H82" i="5"/>
  <c r="I83" i="5" s="1"/>
  <c r="P82" i="5"/>
  <c r="M42" i="7"/>
  <c r="N42" i="7"/>
  <c r="D43" i="7"/>
  <c r="C42" i="7"/>
  <c r="I42" i="7" s="1"/>
  <c r="E42" i="7"/>
  <c r="H42" i="7" s="1"/>
  <c r="G42" i="7"/>
  <c r="B42" i="7"/>
  <c r="F42" i="7" s="1"/>
  <c r="K43" i="7"/>
  <c r="L43" i="7" s="1"/>
  <c r="J44" i="7"/>
  <c r="GB67" i="5" l="1"/>
  <c r="GG67" i="5"/>
  <c r="Y67" i="5"/>
  <c r="FZ67" i="5"/>
  <c r="GC67" i="5"/>
  <c r="GI67" i="5"/>
  <c r="GD67" i="5"/>
  <c r="GF67" i="5"/>
  <c r="GE67" i="5"/>
  <c r="GH67" i="5"/>
  <c r="GJ67" i="5"/>
  <c r="BV65" i="5"/>
  <c r="GM66" i="5"/>
  <c r="BP72" i="5"/>
  <c r="BQ71" i="5" s="1"/>
  <c r="BR70" i="5" s="1"/>
  <c r="BS69" i="5" s="1"/>
  <c r="BT68" i="5" s="1"/>
  <c r="BU67" i="5" s="1"/>
  <c r="FY72" i="5"/>
  <c r="W68" i="5"/>
  <c r="GA68" i="5" s="1"/>
  <c r="BH81" i="5"/>
  <c r="BI80" i="5" s="1"/>
  <c r="BJ79" i="5" s="1"/>
  <c r="BK78" i="5" s="1"/>
  <c r="BL77" i="5" s="1"/>
  <c r="BM76" i="5" s="1"/>
  <c r="BN75" i="5" s="1"/>
  <c r="BO74" i="5" s="1"/>
  <c r="GL67" i="5"/>
  <c r="BX61" i="5"/>
  <c r="GO62" i="5"/>
  <c r="BZ57" i="5"/>
  <c r="GQ58" i="5"/>
  <c r="BY59" i="5"/>
  <c r="GP60" i="5"/>
  <c r="CB53" i="5"/>
  <c r="GT53" i="5" s="1"/>
  <c r="GS54" i="5"/>
  <c r="CA55" i="5"/>
  <c r="GR56" i="5"/>
  <c r="BW63" i="5"/>
  <c r="GN64" i="5"/>
  <c r="CY79" i="5"/>
  <c r="DC71" i="5"/>
  <c r="DE67" i="5"/>
  <c r="DA75" i="5"/>
  <c r="CZ77" i="5"/>
  <c r="DB73" i="5"/>
  <c r="DD69" i="5"/>
  <c r="R82" i="5"/>
  <c r="CX81" i="5" s="1"/>
  <c r="P83" i="5"/>
  <c r="H83" i="5"/>
  <c r="I84" i="5" s="1"/>
  <c r="M43" i="7"/>
  <c r="N43" i="7"/>
  <c r="D44" i="7"/>
  <c r="C43" i="7"/>
  <c r="I43" i="7" s="1"/>
  <c r="E43" i="7"/>
  <c r="H43" i="7" s="1"/>
  <c r="B43" i="7"/>
  <c r="F43" i="7" s="1"/>
  <c r="G43" i="7"/>
  <c r="K44" i="7"/>
  <c r="L44" i="7" s="1"/>
  <c r="J45" i="7"/>
  <c r="GG68" i="5" l="1"/>
  <c r="GK68" i="5"/>
  <c r="GH68" i="5"/>
  <c r="GL68" i="5"/>
  <c r="GB68" i="5"/>
  <c r="GF68" i="5"/>
  <c r="GC68" i="5"/>
  <c r="GI68" i="5"/>
  <c r="GE68" i="5"/>
  <c r="GJ68" i="5"/>
  <c r="FZ68" i="5"/>
  <c r="GD68" i="5"/>
  <c r="Y68" i="5"/>
  <c r="BX62" i="5"/>
  <c r="GO63" i="5"/>
  <c r="CB54" i="5"/>
  <c r="GT54" i="5" s="1"/>
  <c r="GS55" i="5"/>
  <c r="BZ58" i="5"/>
  <c r="GQ59" i="5"/>
  <c r="CA56" i="5"/>
  <c r="GR57" i="5"/>
  <c r="BY60" i="5"/>
  <c r="GP61" i="5"/>
  <c r="FY73" i="5"/>
  <c r="BP73" i="5"/>
  <c r="BQ72" i="5" s="1"/>
  <c r="BR71" i="5" s="1"/>
  <c r="BS70" i="5" s="1"/>
  <c r="BT69" i="5" s="1"/>
  <c r="BU68" i="5" s="1"/>
  <c r="W69" i="5"/>
  <c r="GA69" i="5" s="1"/>
  <c r="BH82" i="5"/>
  <c r="BI81" i="5" s="1"/>
  <c r="BJ80" i="5" s="1"/>
  <c r="BK79" i="5" s="1"/>
  <c r="BL78" i="5" s="1"/>
  <c r="BM77" i="5" s="1"/>
  <c r="BN76" i="5" s="1"/>
  <c r="BO75" i="5" s="1"/>
  <c r="BV66" i="5"/>
  <c r="GM67" i="5"/>
  <c r="BW64" i="5"/>
  <c r="GN65" i="5"/>
  <c r="Y69" i="5"/>
  <c r="DC72" i="5"/>
  <c r="CY80" i="5"/>
  <c r="DE68" i="5"/>
  <c r="DA76" i="5"/>
  <c r="DB74" i="5"/>
  <c r="DD70" i="5"/>
  <c r="CZ78" i="5"/>
  <c r="P84" i="5"/>
  <c r="H84" i="5"/>
  <c r="I85" i="5" s="1"/>
  <c r="R83" i="5"/>
  <c r="CX82" i="5" s="1"/>
  <c r="M44" i="7"/>
  <c r="D45" i="7"/>
  <c r="N44" i="7"/>
  <c r="B44" i="7"/>
  <c r="F44" i="7" s="1"/>
  <c r="C44" i="7"/>
  <c r="I44" i="7" s="1"/>
  <c r="E44" i="7"/>
  <c r="H44" i="7" s="1"/>
  <c r="G44" i="7"/>
  <c r="K45" i="7"/>
  <c r="L45" i="7" s="1"/>
  <c r="J46" i="7"/>
  <c r="FZ69" i="5" l="1"/>
  <c r="GG69" i="5"/>
  <c r="GB69" i="5"/>
  <c r="GC69" i="5"/>
  <c r="GI69" i="5"/>
  <c r="GF69" i="5"/>
  <c r="GD69" i="5"/>
  <c r="GE69" i="5"/>
  <c r="GH69" i="5"/>
  <c r="GK69" i="5"/>
  <c r="GJ69" i="5"/>
  <c r="GL69" i="5"/>
  <c r="BP74" i="5"/>
  <c r="BQ73" i="5" s="1"/>
  <c r="BR72" i="5" s="1"/>
  <c r="BS71" i="5" s="1"/>
  <c r="BT70" i="5" s="1"/>
  <c r="BU69" i="5" s="1"/>
  <c r="FY74" i="5"/>
  <c r="BV67" i="5"/>
  <c r="GM68" i="5"/>
  <c r="W70" i="5"/>
  <c r="GA70" i="5" s="1"/>
  <c r="BH83" i="5"/>
  <c r="BI82" i="5" s="1"/>
  <c r="BJ81" i="5" s="1"/>
  <c r="BK80" i="5" s="1"/>
  <c r="BL79" i="5" s="1"/>
  <c r="BM78" i="5" s="1"/>
  <c r="BN77" i="5" s="1"/>
  <c r="BO76" i="5" s="1"/>
  <c r="BX63" i="5"/>
  <c r="GO64" i="5"/>
  <c r="BW65" i="5"/>
  <c r="GN66" i="5"/>
  <c r="BZ59" i="5"/>
  <c r="GQ60" i="5"/>
  <c r="CB55" i="5"/>
  <c r="GT55" i="5" s="1"/>
  <c r="GS56" i="5"/>
  <c r="CA57" i="5"/>
  <c r="GR58" i="5"/>
  <c r="BY61" i="5"/>
  <c r="GP62" i="5"/>
  <c r="CY81" i="5"/>
  <c r="DA77" i="5"/>
  <c r="DE69" i="5"/>
  <c r="DB75" i="5"/>
  <c r="DD71" i="5"/>
  <c r="DC73" i="5"/>
  <c r="CZ79" i="5"/>
  <c r="P85" i="5"/>
  <c r="H85" i="5"/>
  <c r="I86" i="5" s="1"/>
  <c r="R84" i="5"/>
  <c r="CX83" i="5" s="1"/>
  <c r="M45" i="7"/>
  <c r="N45" i="7"/>
  <c r="D46" i="7"/>
  <c r="C45" i="7"/>
  <c r="I45" i="7" s="1"/>
  <c r="E45" i="7"/>
  <c r="H45" i="7" s="1"/>
  <c r="G45" i="7"/>
  <c r="B45" i="7"/>
  <c r="F45" i="7" s="1"/>
  <c r="K46" i="7"/>
  <c r="L46" i="7" s="1"/>
  <c r="J47" i="7"/>
  <c r="F13" i="5" l="1"/>
  <c r="Y70" i="5"/>
  <c r="F3" i="5" s="1"/>
  <c r="GC70" i="5"/>
  <c r="GE70" i="5"/>
  <c r="FZ70" i="5"/>
  <c r="GJ70" i="5"/>
  <c r="GI70" i="5"/>
  <c r="GD70" i="5"/>
  <c r="GH70" i="5"/>
  <c r="GL70" i="5"/>
  <c r="GG70" i="5"/>
  <c r="GK70" i="5"/>
  <c r="GB70" i="5"/>
  <c r="GF70" i="5"/>
  <c r="BP75" i="5"/>
  <c r="BQ74" i="5" s="1"/>
  <c r="BR73" i="5" s="1"/>
  <c r="BS72" i="5" s="1"/>
  <c r="BT71" i="5" s="1"/>
  <c r="BU70" i="5" s="1"/>
  <c r="FY75" i="5"/>
  <c r="W71" i="5"/>
  <c r="GA71" i="5" s="1"/>
  <c r="BH84" i="5"/>
  <c r="BI83" i="5" s="1"/>
  <c r="BJ82" i="5" s="1"/>
  <c r="BK81" i="5" s="1"/>
  <c r="BL80" i="5" s="1"/>
  <c r="BM79" i="5" s="1"/>
  <c r="BN78" i="5" s="1"/>
  <c r="BO77" i="5" s="1"/>
  <c r="BZ60" i="5"/>
  <c r="GQ61" i="5"/>
  <c r="CB56" i="5"/>
  <c r="GT56" i="5" s="1"/>
  <c r="GS57" i="5"/>
  <c r="CA58" i="5"/>
  <c r="GR59" i="5"/>
  <c r="BX64" i="5"/>
  <c r="GO65" i="5"/>
  <c r="BY62" i="5"/>
  <c r="GP63" i="5"/>
  <c r="BW66" i="5"/>
  <c r="GN67" i="5"/>
  <c r="BV68" i="5"/>
  <c r="GM69" i="5"/>
  <c r="CY82" i="5"/>
  <c r="DA78" i="5"/>
  <c r="DD72" i="5"/>
  <c r="DE70" i="5"/>
  <c r="DC74" i="5"/>
  <c r="DB76" i="5"/>
  <c r="CZ80" i="5"/>
  <c r="P86" i="5"/>
  <c r="H86" i="5"/>
  <c r="I87" i="5" s="1"/>
  <c r="R85" i="5"/>
  <c r="CX84" i="5" s="1"/>
  <c r="M46" i="7"/>
  <c r="D47" i="7"/>
  <c r="N46" i="7"/>
  <c r="B46" i="7"/>
  <c r="F46" i="7" s="1"/>
  <c r="C46" i="7"/>
  <c r="I46" i="7" s="1"/>
  <c r="E46" i="7"/>
  <c r="H46" i="7" s="1"/>
  <c r="G46" i="7"/>
  <c r="K47" i="7"/>
  <c r="L47" i="7" s="1"/>
  <c r="J48" i="7"/>
  <c r="Y71" i="5" l="1"/>
  <c r="GC71" i="5"/>
  <c r="FZ71" i="5"/>
  <c r="GI71" i="5"/>
  <c r="GB71" i="5"/>
  <c r="GG71" i="5"/>
  <c r="GK71" i="5"/>
  <c r="GD71" i="5"/>
  <c r="GF71" i="5"/>
  <c r="GE71" i="5"/>
  <c r="GH71" i="5"/>
  <c r="GJ71" i="5"/>
  <c r="GL71" i="5"/>
  <c r="BP76" i="5"/>
  <c r="BQ75" i="5" s="1"/>
  <c r="BR74" i="5" s="1"/>
  <c r="BS73" i="5" s="1"/>
  <c r="BT72" i="5" s="1"/>
  <c r="BU71" i="5" s="1"/>
  <c r="FY76" i="5"/>
  <c r="W72" i="5"/>
  <c r="GA72" i="5" s="1"/>
  <c r="BH85" i="5"/>
  <c r="BI84" i="5" s="1"/>
  <c r="BJ83" i="5" s="1"/>
  <c r="BK82" i="5" s="1"/>
  <c r="BL81" i="5" s="1"/>
  <c r="BM80" i="5" s="1"/>
  <c r="BN79" i="5" s="1"/>
  <c r="BO78" i="5" s="1"/>
  <c r="BW67" i="5"/>
  <c r="GN68" i="5"/>
  <c r="BX65" i="5"/>
  <c r="GO66" i="5"/>
  <c r="BZ61" i="5"/>
  <c r="GQ62" i="5"/>
  <c r="BY63" i="5"/>
  <c r="GP64" i="5"/>
  <c r="CB57" i="5"/>
  <c r="GT57" i="5" s="1"/>
  <c r="GS58" i="5"/>
  <c r="CA59" i="5"/>
  <c r="GR60" i="5"/>
  <c r="BV69" i="5"/>
  <c r="GM70" i="5"/>
  <c r="DD73" i="5"/>
  <c r="CY83" i="5"/>
  <c r="DA79" i="5"/>
  <c r="DC75" i="5"/>
  <c r="DE71" i="5"/>
  <c r="DB77" i="5"/>
  <c r="CZ81" i="5"/>
  <c r="P87" i="5"/>
  <c r="H87" i="5"/>
  <c r="I88" i="5" s="1"/>
  <c r="R86" i="5"/>
  <c r="CX85" i="5" s="1"/>
  <c r="M47" i="7"/>
  <c r="D48" i="7"/>
  <c r="N47" i="7"/>
  <c r="C47" i="7"/>
  <c r="I47" i="7" s="1"/>
  <c r="E47" i="7"/>
  <c r="H47" i="7" s="1"/>
  <c r="G47" i="7"/>
  <c r="B47" i="7"/>
  <c r="F47" i="7" s="1"/>
  <c r="K48" i="7"/>
  <c r="L48" i="7" s="1"/>
  <c r="J49" i="7"/>
  <c r="Y72" i="5" l="1"/>
  <c r="GK72" i="5"/>
  <c r="GG72" i="5"/>
  <c r="GH72" i="5"/>
  <c r="GL72" i="5"/>
  <c r="GC72" i="5"/>
  <c r="GI72" i="5"/>
  <c r="GE72" i="5"/>
  <c r="GJ72" i="5"/>
  <c r="GB72" i="5"/>
  <c r="FZ72" i="5"/>
  <c r="GD72" i="5"/>
  <c r="GF72" i="5"/>
  <c r="FY77" i="5"/>
  <c r="BP77" i="5"/>
  <c r="BQ76" i="5" s="1"/>
  <c r="BR75" i="5" s="1"/>
  <c r="BS74" i="5" s="1"/>
  <c r="BT73" i="5" s="1"/>
  <c r="BU72" i="5" s="1"/>
  <c r="W73" i="5"/>
  <c r="GA73" i="5" s="1"/>
  <c r="BH86" i="5"/>
  <c r="BI85" i="5" s="1"/>
  <c r="BJ84" i="5" s="1"/>
  <c r="BK83" i="5" s="1"/>
  <c r="BL82" i="5" s="1"/>
  <c r="BM81" i="5" s="1"/>
  <c r="BN80" i="5" s="1"/>
  <c r="BO79" i="5" s="1"/>
  <c r="BW68" i="5"/>
  <c r="GN69" i="5"/>
  <c r="CB58" i="5"/>
  <c r="GT58" i="5" s="1"/>
  <c r="GS59" i="5"/>
  <c r="BZ62" i="5"/>
  <c r="GQ63" i="5"/>
  <c r="CA60" i="5"/>
  <c r="GR61" i="5"/>
  <c r="BY64" i="5"/>
  <c r="GP65" i="5"/>
  <c r="BX66" i="5"/>
  <c r="GO67" i="5"/>
  <c r="BV70" i="5"/>
  <c r="GM71" i="5"/>
  <c r="Y73" i="5"/>
  <c r="DC76" i="5"/>
  <c r="CY84" i="5"/>
  <c r="DA80" i="5"/>
  <c r="DD74" i="5"/>
  <c r="DB78" i="5"/>
  <c r="CZ82" i="5"/>
  <c r="DE72" i="5"/>
  <c r="P88" i="5"/>
  <c r="H88" i="5"/>
  <c r="I89" i="5" s="1"/>
  <c r="R87" i="5"/>
  <c r="CX86" i="5" s="1"/>
  <c r="M48" i="7"/>
  <c r="D49" i="7"/>
  <c r="N48" i="7"/>
  <c r="C48" i="7"/>
  <c r="I48" i="7" s="1"/>
  <c r="E48" i="7"/>
  <c r="H48" i="7" s="1"/>
  <c r="G48" i="7"/>
  <c r="B48" i="7"/>
  <c r="F48" i="7" s="1"/>
  <c r="K49" i="7"/>
  <c r="L49" i="7" s="1"/>
  <c r="J50" i="7"/>
  <c r="GC73" i="5" l="1"/>
  <c r="GB73" i="5"/>
  <c r="GI73" i="5"/>
  <c r="FZ73" i="5"/>
  <c r="GG73" i="5"/>
  <c r="GK73" i="5"/>
  <c r="GF73" i="5"/>
  <c r="GD73" i="5"/>
  <c r="GE73" i="5"/>
  <c r="GH73" i="5"/>
  <c r="GJ73" i="5"/>
  <c r="GL73" i="5"/>
  <c r="BP78" i="5"/>
  <c r="BQ77" i="5" s="1"/>
  <c r="BR76" i="5" s="1"/>
  <c r="BS75" i="5" s="1"/>
  <c r="BT74" i="5" s="1"/>
  <c r="BU73" i="5" s="1"/>
  <c r="FY78" i="5"/>
  <c r="BV71" i="5"/>
  <c r="GM72" i="5"/>
  <c r="W74" i="5"/>
  <c r="GA74" i="5" s="1"/>
  <c r="BH87" i="5"/>
  <c r="BI86" i="5" s="1"/>
  <c r="BJ85" i="5" s="1"/>
  <c r="BK84" i="5" s="1"/>
  <c r="BL83" i="5" s="1"/>
  <c r="BM82" i="5" s="1"/>
  <c r="BN81" i="5" s="1"/>
  <c r="BO80" i="5" s="1"/>
  <c r="BW69" i="5"/>
  <c r="GN70" i="5"/>
  <c r="BY65" i="5"/>
  <c r="GP66" i="5"/>
  <c r="BZ63" i="5"/>
  <c r="GQ64" i="5"/>
  <c r="CB59" i="5"/>
  <c r="GT59" i="5" s="1"/>
  <c r="GS60" i="5"/>
  <c r="CA61" i="5"/>
  <c r="GR62" i="5"/>
  <c r="BX67" i="5"/>
  <c r="GO68" i="5"/>
  <c r="Y74" i="5"/>
  <c r="CY85" i="5"/>
  <c r="DA81" i="5"/>
  <c r="DC77" i="5"/>
  <c r="DE73" i="5"/>
  <c r="DB79" i="5"/>
  <c r="CZ83" i="5"/>
  <c r="DD75" i="5"/>
  <c r="P89" i="5"/>
  <c r="H89" i="5"/>
  <c r="I90" i="5" s="1"/>
  <c r="R88" i="5"/>
  <c r="CX87" i="5" s="1"/>
  <c r="D50" i="7"/>
  <c r="M49" i="7"/>
  <c r="N49" i="7"/>
  <c r="C49" i="7"/>
  <c r="I49" i="7" s="1"/>
  <c r="E49" i="7"/>
  <c r="H49" i="7" s="1"/>
  <c r="G49" i="7"/>
  <c r="B49" i="7"/>
  <c r="F49" i="7" s="1"/>
  <c r="K50" i="7"/>
  <c r="L50" i="7" s="1"/>
  <c r="J51" i="7"/>
  <c r="GC74" i="5" l="1"/>
  <c r="GE74" i="5"/>
  <c r="FZ74" i="5"/>
  <c r="GJ74" i="5"/>
  <c r="GI74" i="5"/>
  <c r="GD74" i="5"/>
  <c r="GH74" i="5"/>
  <c r="GL74" i="5"/>
  <c r="GG74" i="5"/>
  <c r="GK74" i="5"/>
  <c r="GB74" i="5"/>
  <c r="GF74" i="5"/>
  <c r="BP79" i="5"/>
  <c r="BQ78" i="5" s="1"/>
  <c r="BR77" i="5" s="1"/>
  <c r="BS76" i="5" s="1"/>
  <c r="BT75" i="5" s="1"/>
  <c r="BU74" i="5" s="1"/>
  <c r="FY79" i="5"/>
  <c r="W75" i="5"/>
  <c r="GA75" i="5" s="1"/>
  <c r="BH88" i="5"/>
  <c r="BI87" i="5" s="1"/>
  <c r="BJ86" i="5" s="1"/>
  <c r="BK85" i="5" s="1"/>
  <c r="BL84" i="5" s="1"/>
  <c r="BM83" i="5" s="1"/>
  <c r="BN82" i="5" s="1"/>
  <c r="BO81" i="5" s="1"/>
  <c r="BY66" i="5"/>
  <c r="GP67" i="5"/>
  <c r="CB60" i="5"/>
  <c r="GT60" i="5" s="1"/>
  <c r="GS61" i="5"/>
  <c r="CA62" i="5"/>
  <c r="GR63" i="5"/>
  <c r="BZ64" i="5"/>
  <c r="GQ65" i="5"/>
  <c r="BX68" i="5"/>
  <c r="GO69" i="5"/>
  <c r="BW70" i="5"/>
  <c r="GN71" i="5"/>
  <c r="BV72" i="5"/>
  <c r="GM73" i="5"/>
  <c r="Y75" i="5"/>
  <c r="CY86" i="5"/>
  <c r="DE74" i="5"/>
  <c r="DA82" i="5"/>
  <c r="DC78" i="5"/>
  <c r="DD76" i="5"/>
  <c r="DB80" i="5"/>
  <c r="CZ84" i="5"/>
  <c r="P90" i="5"/>
  <c r="H90" i="5"/>
  <c r="I91" i="5" s="1"/>
  <c r="R89" i="5"/>
  <c r="CX88" i="5" s="1"/>
  <c r="M50" i="7"/>
  <c r="N50" i="7"/>
  <c r="D51" i="7"/>
  <c r="C50" i="7"/>
  <c r="I50" i="7" s="1"/>
  <c r="E50" i="7"/>
  <c r="H50" i="7" s="1"/>
  <c r="G50" i="7"/>
  <c r="B50" i="7"/>
  <c r="F50" i="7" s="1"/>
  <c r="K51" i="7"/>
  <c r="L51" i="7" s="1"/>
  <c r="J52" i="7"/>
  <c r="GC75" i="5" l="1"/>
  <c r="FZ75" i="5"/>
  <c r="GI75" i="5"/>
  <c r="GB75" i="5"/>
  <c r="GG75" i="5"/>
  <c r="GK75" i="5"/>
  <c r="GD75" i="5"/>
  <c r="GF75" i="5"/>
  <c r="GE75" i="5"/>
  <c r="GH75" i="5"/>
  <c r="GJ75" i="5"/>
  <c r="GL75" i="5"/>
  <c r="FY80" i="5"/>
  <c r="BP80" i="5"/>
  <c r="BQ79" i="5" s="1"/>
  <c r="BR78" i="5" s="1"/>
  <c r="BS77" i="5" s="1"/>
  <c r="BT76" i="5" s="1"/>
  <c r="BU75" i="5" s="1"/>
  <c r="W76" i="5"/>
  <c r="GA76" i="5" s="1"/>
  <c r="BH89" i="5"/>
  <c r="BI88" i="5" s="1"/>
  <c r="BJ87" i="5" s="1"/>
  <c r="BK86" i="5" s="1"/>
  <c r="BL85" i="5" s="1"/>
  <c r="BM84" i="5" s="1"/>
  <c r="BN83" i="5" s="1"/>
  <c r="BO82" i="5" s="1"/>
  <c r="BW71" i="5"/>
  <c r="GN72" i="5"/>
  <c r="BX69" i="5"/>
  <c r="GO70" i="5"/>
  <c r="BY67" i="5"/>
  <c r="GP68" i="5"/>
  <c r="CA63" i="5"/>
  <c r="GR64" i="5"/>
  <c r="CB61" i="5"/>
  <c r="GT61" i="5" s="1"/>
  <c r="GS62" i="5"/>
  <c r="BZ65" i="5"/>
  <c r="GQ66" i="5"/>
  <c r="BV73" i="5"/>
  <c r="GM74" i="5"/>
  <c r="CY87" i="5"/>
  <c r="DA83" i="5"/>
  <c r="DC79" i="5"/>
  <c r="DE75" i="5"/>
  <c r="DD77" i="5"/>
  <c r="DB81" i="5"/>
  <c r="CZ85" i="5"/>
  <c r="H91" i="5"/>
  <c r="I92" i="5" s="1"/>
  <c r="P91" i="5"/>
  <c r="R90" i="5"/>
  <c r="CX89" i="5" s="1"/>
  <c r="M51" i="7"/>
  <c r="N51" i="7"/>
  <c r="D52" i="7"/>
  <c r="G51" i="7"/>
  <c r="B51" i="7"/>
  <c r="F51" i="7" s="1"/>
  <c r="C51" i="7"/>
  <c r="I51" i="7" s="1"/>
  <c r="E51" i="7"/>
  <c r="H51" i="7" s="1"/>
  <c r="K52" i="7"/>
  <c r="L52" i="7" s="1"/>
  <c r="J53" i="7"/>
  <c r="GE76" i="5" l="1"/>
  <c r="Y76" i="5"/>
  <c r="GC76" i="5"/>
  <c r="FZ76" i="5"/>
  <c r="GI76" i="5"/>
  <c r="GJ76" i="5"/>
  <c r="GD76" i="5"/>
  <c r="GG76" i="5"/>
  <c r="GK76" i="5"/>
  <c r="GH76" i="5"/>
  <c r="GL76" i="5"/>
  <c r="GB76" i="5"/>
  <c r="GF76" i="5"/>
  <c r="W77" i="5"/>
  <c r="GA77" i="5" s="1"/>
  <c r="BH90" i="5"/>
  <c r="BI89" i="5" s="1"/>
  <c r="BJ88" i="5" s="1"/>
  <c r="BK87" i="5" s="1"/>
  <c r="BL86" i="5" s="1"/>
  <c r="BM85" i="5" s="1"/>
  <c r="BN84" i="5" s="1"/>
  <c r="BO83" i="5" s="1"/>
  <c r="FY81" i="5"/>
  <c r="BP81" i="5"/>
  <c r="BQ80" i="5" s="1"/>
  <c r="BR79" i="5" s="1"/>
  <c r="BS78" i="5" s="1"/>
  <c r="BT77" i="5" s="1"/>
  <c r="BU76" i="5" s="1"/>
  <c r="BV74" i="5"/>
  <c r="GM75" i="5"/>
  <c r="BW72" i="5"/>
  <c r="GN73" i="5"/>
  <c r="CA64" i="5"/>
  <c r="GR65" i="5"/>
  <c r="CB62" i="5"/>
  <c r="GT62" i="5" s="1"/>
  <c r="GS63" i="5"/>
  <c r="BZ66" i="5"/>
  <c r="GQ67" i="5"/>
  <c r="BY68" i="5"/>
  <c r="GP69" i="5"/>
  <c r="BX70" i="5"/>
  <c r="GO71" i="5"/>
  <c r="Y77" i="5"/>
  <c r="DA84" i="5"/>
  <c r="CY88" i="5"/>
  <c r="DC80" i="5"/>
  <c r="DE76" i="5"/>
  <c r="DD78" i="5"/>
  <c r="DB82" i="5"/>
  <c r="CZ86" i="5"/>
  <c r="R91" i="5"/>
  <c r="CX90" i="5" s="1"/>
  <c r="P92" i="5"/>
  <c r="H92" i="5"/>
  <c r="I93" i="5" s="1"/>
  <c r="M52" i="7"/>
  <c r="N52" i="7"/>
  <c r="D53" i="7"/>
  <c r="B52" i="7"/>
  <c r="F52" i="7" s="1"/>
  <c r="C52" i="7"/>
  <c r="I52" i="7" s="1"/>
  <c r="E52" i="7"/>
  <c r="H52" i="7" s="1"/>
  <c r="G52" i="7"/>
  <c r="K53" i="7"/>
  <c r="L53" i="7" s="1"/>
  <c r="J54" i="7"/>
  <c r="GC77" i="5" l="1"/>
  <c r="GB77" i="5"/>
  <c r="GI77" i="5"/>
  <c r="FZ77" i="5"/>
  <c r="GG77" i="5"/>
  <c r="GK77" i="5"/>
  <c r="GF77" i="5"/>
  <c r="GD77" i="5"/>
  <c r="GE77" i="5"/>
  <c r="GH77" i="5"/>
  <c r="GJ77" i="5"/>
  <c r="GL77" i="5"/>
  <c r="W78" i="5"/>
  <c r="GA78" i="5" s="1"/>
  <c r="BH91" i="5"/>
  <c r="BI90" i="5" s="1"/>
  <c r="BJ89" i="5" s="1"/>
  <c r="BK88" i="5" s="1"/>
  <c r="BL87" i="5" s="1"/>
  <c r="BM86" i="5" s="1"/>
  <c r="BN85" i="5" s="1"/>
  <c r="BO84" i="5" s="1"/>
  <c r="BV75" i="5"/>
  <c r="GM76" i="5"/>
  <c r="FY82" i="5"/>
  <c r="BP82" i="5"/>
  <c r="BQ81" i="5" s="1"/>
  <c r="BR80" i="5" s="1"/>
  <c r="BS79" i="5" s="1"/>
  <c r="BT78" i="5" s="1"/>
  <c r="BU77" i="5" s="1"/>
  <c r="BY69" i="5"/>
  <c r="GP70" i="5"/>
  <c r="BZ67" i="5"/>
  <c r="GQ68" i="5"/>
  <c r="CA65" i="5"/>
  <c r="GR66" i="5"/>
  <c r="CB63" i="5"/>
  <c r="GT63" i="5" s="1"/>
  <c r="GS64" i="5"/>
  <c r="BX71" i="5"/>
  <c r="GO72" i="5"/>
  <c r="BW73" i="5"/>
  <c r="GN74" i="5"/>
  <c r="Y78" i="5"/>
  <c r="DA85" i="5"/>
  <c r="CY89" i="5"/>
  <c r="DC81" i="5"/>
  <c r="DE77" i="5"/>
  <c r="DD79" i="5"/>
  <c r="CZ87" i="5"/>
  <c r="DB83" i="5"/>
  <c r="P93" i="5"/>
  <c r="H93" i="5"/>
  <c r="I94" i="5" s="1"/>
  <c r="R92" i="5"/>
  <c r="CX91" i="5" s="1"/>
  <c r="M53" i="7"/>
  <c r="N53" i="7"/>
  <c r="D54" i="7"/>
  <c r="E53" i="7"/>
  <c r="H53" i="7" s="1"/>
  <c r="B53" i="7"/>
  <c r="F53" i="7" s="1"/>
  <c r="C53" i="7"/>
  <c r="I53" i="7" s="1"/>
  <c r="G53" i="7"/>
  <c r="K54" i="7"/>
  <c r="L54" i="7" s="1"/>
  <c r="J55" i="7"/>
  <c r="GE78" i="5" l="1"/>
  <c r="GC78" i="5"/>
  <c r="FZ78" i="5"/>
  <c r="GJ78" i="5"/>
  <c r="GI78" i="5"/>
  <c r="GD78" i="5"/>
  <c r="GH78" i="5"/>
  <c r="GL78" i="5"/>
  <c r="GG78" i="5"/>
  <c r="GK78" i="5"/>
  <c r="GB78" i="5"/>
  <c r="GF78" i="5"/>
  <c r="BV76" i="5"/>
  <c r="GM77" i="5"/>
  <c r="BP83" i="5"/>
  <c r="BQ82" i="5" s="1"/>
  <c r="BR81" i="5" s="1"/>
  <c r="BS80" i="5" s="1"/>
  <c r="BT79" i="5" s="1"/>
  <c r="BU78" i="5" s="1"/>
  <c r="FY83" i="5"/>
  <c r="W79" i="5"/>
  <c r="GA79" i="5" s="1"/>
  <c r="BH92" i="5"/>
  <c r="BI91" i="5" s="1"/>
  <c r="BJ90" i="5" s="1"/>
  <c r="BK89" i="5" s="1"/>
  <c r="BL88" i="5" s="1"/>
  <c r="BM87" i="5" s="1"/>
  <c r="BN86" i="5" s="1"/>
  <c r="BO85" i="5" s="1"/>
  <c r="BX72" i="5"/>
  <c r="GO73" i="5"/>
  <c r="BY70" i="5"/>
  <c r="GP71" i="5"/>
  <c r="CB64" i="5"/>
  <c r="GT64" i="5" s="1"/>
  <c r="GS65" i="5"/>
  <c r="CA66" i="5"/>
  <c r="GR67" i="5"/>
  <c r="BZ68" i="5"/>
  <c r="GQ69" i="5"/>
  <c r="BW74" i="5"/>
  <c r="GN75" i="5"/>
  <c r="Y79" i="5"/>
  <c r="CY90" i="5"/>
  <c r="DC82" i="5"/>
  <c r="DA86" i="5"/>
  <c r="DE78" i="5"/>
  <c r="DD80" i="5"/>
  <c r="CZ88" i="5"/>
  <c r="DB84" i="5"/>
  <c r="R93" i="5"/>
  <c r="CX92" i="5" s="1"/>
  <c r="H94" i="5"/>
  <c r="I95" i="5" s="1"/>
  <c r="P94" i="5"/>
  <c r="M54" i="7"/>
  <c r="D55" i="7"/>
  <c r="N54" i="7"/>
  <c r="C54" i="7"/>
  <c r="I54" i="7" s="1"/>
  <c r="E54" i="7"/>
  <c r="H54" i="7" s="1"/>
  <c r="G54" i="7"/>
  <c r="B54" i="7"/>
  <c r="F54" i="7" s="1"/>
  <c r="K55" i="7"/>
  <c r="L55" i="7" s="1"/>
  <c r="J56" i="7"/>
  <c r="GC79" i="5" l="1"/>
  <c r="FZ79" i="5"/>
  <c r="GI79" i="5"/>
  <c r="GB79" i="5"/>
  <c r="GG79" i="5"/>
  <c r="GK79" i="5"/>
  <c r="GD79" i="5"/>
  <c r="GF79" i="5"/>
  <c r="GE79" i="5"/>
  <c r="GH79" i="5"/>
  <c r="GJ79" i="5"/>
  <c r="GL79" i="5"/>
  <c r="FY84" i="5"/>
  <c r="BP84" i="5"/>
  <c r="BQ83" i="5" s="1"/>
  <c r="BR82" i="5" s="1"/>
  <c r="BS81" i="5" s="1"/>
  <c r="BT80" i="5" s="1"/>
  <c r="BU79" i="5" s="1"/>
  <c r="W80" i="5"/>
  <c r="GA80" i="5" s="1"/>
  <c r="BH93" i="5"/>
  <c r="BI92" i="5" s="1"/>
  <c r="BJ91" i="5" s="1"/>
  <c r="BK90" i="5" s="1"/>
  <c r="BL89" i="5" s="1"/>
  <c r="BM88" i="5" s="1"/>
  <c r="BN87" i="5" s="1"/>
  <c r="BO86" i="5" s="1"/>
  <c r="BX73" i="5"/>
  <c r="GO74" i="5"/>
  <c r="CA67" i="5"/>
  <c r="GR68" i="5"/>
  <c r="CB65" i="5"/>
  <c r="GT65" i="5" s="1"/>
  <c r="GS66" i="5"/>
  <c r="BZ69" i="5"/>
  <c r="GQ70" i="5"/>
  <c r="BY71" i="5"/>
  <c r="GP72" i="5"/>
  <c r="BV77" i="5"/>
  <c r="GM78" i="5"/>
  <c r="BW75" i="5"/>
  <c r="GN76" i="5"/>
  <c r="DD81" i="5"/>
  <c r="CY91" i="5"/>
  <c r="DC83" i="5"/>
  <c r="DA87" i="5"/>
  <c r="DE79" i="5"/>
  <c r="DB85" i="5"/>
  <c r="CZ89" i="5"/>
  <c r="R94" i="5"/>
  <c r="CX93" i="5" s="1"/>
  <c r="H95" i="5"/>
  <c r="I96" i="5" s="1"/>
  <c r="P95" i="5"/>
  <c r="M55" i="7"/>
  <c r="D56" i="7"/>
  <c r="N55" i="7"/>
  <c r="C55" i="7"/>
  <c r="I55" i="7" s="1"/>
  <c r="E55" i="7"/>
  <c r="H55" i="7" s="1"/>
  <c r="G55" i="7"/>
  <c r="B55" i="7"/>
  <c r="F55" i="7" s="1"/>
  <c r="K56" i="7"/>
  <c r="L56" i="7" s="1"/>
  <c r="J57" i="7"/>
  <c r="Y80" i="5" l="1"/>
  <c r="GE80" i="5"/>
  <c r="GC80" i="5"/>
  <c r="FZ80" i="5"/>
  <c r="GI80" i="5"/>
  <c r="GJ80" i="5"/>
  <c r="GD80" i="5"/>
  <c r="GG80" i="5"/>
  <c r="GK80" i="5"/>
  <c r="GH80" i="5"/>
  <c r="GL80" i="5"/>
  <c r="GB80" i="5"/>
  <c r="GF80" i="5"/>
  <c r="FY85" i="5"/>
  <c r="BP85" i="5"/>
  <c r="BQ84" i="5" s="1"/>
  <c r="BR83" i="5" s="1"/>
  <c r="BS82" i="5" s="1"/>
  <c r="BT81" i="5" s="1"/>
  <c r="BU80" i="5" s="1"/>
  <c r="BV78" i="5"/>
  <c r="GM79" i="5"/>
  <c r="W81" i="5"/>
  <c r="GA81" i="5" s="1"/>
  <c r="BH94" i="5"/>
  <c r="BI93" i="5" s="1"/>
  <c r="BJ92" i="5" s="1"/>
  <c r="BK91" i="5" s="1"/>
  <c r="BL90" i="5" s="1"/>
  <c r="BM89" i="5" s="1"/>
  <c r="BN88" i="5" s="1"/>
  <c r="BO87" i="5" s="1"/>
  <c r="BX74" i="5"/>
  <c r="GO75" i="5"/>
  <c r="BW76" i="5"/>
  <c r="GN77" i="5"/>
  <c r="BZ70" i="5"/>
  <c r="GQ71" i="5"/>
  <c r="CA68" i="5"/>
  <c r="GR69" i="5"/>
  <c r="CB66" i="5"/>
  <c r="GT66" i="5" s="1"/>
  <c r="GS67" i="5"/>
  <c r="BY72" i="5"/>
  <c r="GP73" i="5"/>
  <c r="Y81" i="5"/>
  <c r="DA88" i="5"/>
  <c r="DD82" i="5"/>
  <c r="CY92" i="5"/>
  <c r="DC84" i="5"/>
  <c r="DB86" i="5"/>
  <c r="CZ90" i="5"/>
  <c r="DE80" i="5"/>
  <c r="R95" i="5"/>
  <c r="CX94" i="5" s="1"/>
  <c r="H96" i="5"/>
  <c r="I97" i="5" s="1"/>
  <c r="P96" i="5"/>
  <c r="D57" i="7"/>
  <c r="M56" i="7"/>
  <c r="N56" i="7"/>
  <c r="B56" i="7"/>
  <c r="F56" i="7" s="1"/>
  <c r="C56" i="7"/>
  <c r="I56" i="7" s="1"/>
  <c r="E56" i="7"/>
  <c r="H56" i="7" s="1"/>
  <c r="G56" i="7"/>
  <c r="K57" i="7"/>
  <c r="L57" i="7" s="1"/>
  <c r="J58" i="7"/>
  <c r="FZ81" i="5" l="1"/>
  <c r="GG81" i="5"/>
  <c r="GB81" i="5"/>
  <c r="GC81" i="5"/>
  <c r="GI81" i="5"/>
  <c r="GF81" i="5"/>
  <c r="GD81" i="5"/>
  <c r="GE81" i="5"/>
  <c r="GH81" i="5"/>
  <c r="GK81" i="5"/>
  <c r="GJ81" i="5"/>
  <c r="GL81" i="5"/>
  <c r="BP86" i="5"/>
  <c r="BQ85" i="5" s="1"/>
  <c r="BR84" i="5" s="1"/>
  <c r="BS83" i="5" s="1"/>
  <c r="BT82" i="5" s="1"/>
  <c r="BU81" i="5" s="1"/>
  <c r="FY86" i="5"/>
  <c r="BV79" i="5"/>
  <c r="GM80" i="5"/>
  <c r="W82" i="5"/>
  <c r="GA82" i="5" s="1"/>
  <c r="BH95" i="5"/>
  <c r="BI94" i="5" s="1"/>
  <c r="BJ93" i="5" s="1"/>
  <c r="BK92" i="5" s="1"/>
  <c r="BL91" i="5" s="1"/>
  <c r="BM90" i="5" s="1"/>
  <c r="BN89" i="5" s="1"/>
  <c r="BO88" i="5" s="1"/>
  <c r="BZ71" i="5"/>
  <c r="GQ72" i="5"/>
  <c r="CB67" i="5"/>
  <c r="GT67" i="5" s="1"/>
  <c r="GS68" i="5"/>
  <c r="CA69" i="5"/>
  <c r="GR70" i="5"/>
  <c r="BX75" i="5"/>
  <c r="GO76" i="5"/>
  <c r="BY73" i="5"/>
  <c r="GP74" i="5"/>
  <c r="BW77" i="5"/>
  <c r="GN78" i="5"/>
  <c r="Y82" i="5"/>
  <c r="DB87" i="5"/>
  <c r="CY93" i="5"/>
  <c r="DA89" i="5"/>
  <c r="DC85" i="5"/>
  <c r="DD83" i="5"/>
  <c r="CZ91" i="5"/>
  <c r="DE81" i="5"/>
  <c r="R96" i="5"/>
  <c r="CX95" i="5" s="1"/>
  <c r="H97" i="5"/>
  <c r="I98" i="5" s="1"/>
  <c r="P97" i="5"/>
  <c r="M57" i="7"/>
  <c r="N57" i="7"/>
  <c r="D58" i="7"/>
  <c r="C57" i="7"/>
  <c r="I57" i="7" s="1"/>
  <c r="E57" i="7"/>
  <c r="H57" i="7" s="1"/>
  <c r="G57" i="7"/>
  <c r="B57" i="7"/>
  <c r="F57" i="7" s="1"/>
  <c r="K58" i="7"/>
  <c r="L58" i="7" s="1"/>
  <c r="J59" i="7"/>
  <c r="GL82" i="5" l="1"/>
  <c r="GH82" i="5"/>
  <c r="GI82" i="5"/>
  <c r="GE82" i="5"/>
  <c r="GJ82" i="5"/>
  <c r="GC82" i="5"/>
  <c r="FZ82" i="5"/>
  <c r="GG82" i="5"/>
  <c r="GK82" i="5"/>
  <c r="GD82" i="5"/>
  <c r="GB82" i="5"/>
  <c r="GF82" i="5"/>
  <c r="FY87" i="5"/>
  <c r="BP87" i="5"/>
  <c r="BQ86" i="5" s="1"/>
  <c r="BR85" i="5" s="1"/>
  <c r="BS84" i="5" s="1"/>
  <c r="BT83" i="5" s="1"/>
  <c r="BU82" i="5" s="1"/>
  <c r="W83" i="5"/>
  <c r="GA83" i="5" s="1"/>
  <c r="BH96" i="5"/>
  <c r="BI95" i="5" s="1"/>
  <c r="BJ94" i="5" s="1"/>
  <c r="BK93" i="5" s="1"/>
  <c r="BL92" i="5" s="1"/>
  <c r="BM91" i="5" s="1"/>
  <c r="BN90" i="5" s="1"/>
  <c r="BO89" i="5" s="1"/>
  <c r="BX76" i="5"/>
  <c r="GO77" i="5"/>
  <c r="BZ72" i="5"/>
  <c r="GQ73" i="5"/>
  <c r="BY74" i="5"/>
  <c r="GP75" i="5"/>
  <c r="CB68" i="5"/>
  <c r="GT68" i="5" s="1"/>
  <c r="GS69" i="5"/>
  <c r="CA70" i="5"/>
  <c r="GR71" i="5"/>
  <c r="BW78" i="5"/>
  <c r="GN79" i="5"/>
  <c r="BV80" i="5"/>
  <c r="GM81" i="5"/>
  <c r="Y83" i="5"/>
  <c r="CY94" i="5"/>
  <c r="DA90" i="5"/>
  <c r="DE82" i="5"/>
  <c r="DD84" i="5"/>
  <c r="DB88" i="5"/>
  <c r="CZ92" i="5"/>
  <c r="DC86" i="5"/>
  <c r="R97" i="5"/>
  <c r="CX96" i="5" s="1"/>
  <c r="H98" i="5"/>
  <c r="I99" i="5" s="1"/>
  <c r="P98" i="5"/>
  <c r="M58" i="7"/>
  <c r="N58" i="7"/>
  <c r="D59" i="7"/>
  <c r="E58" i="7"/>
  <c r="H58" i="7" s="1"/>
  <c r="B58" i="7"/>
  <c r="F58" i="7" s="1"/>
  <c r="C58" i="7"/>
  <c r="I58" i="7" s="1"/>
  <c r="G58" i="7"/>
  <c r="K59" i="7"/>
  <c r="L59" i="7" s="1"/>
  <c r="J60" i="7"/>
  <c r="GD83" i="5" l="1"/>
  <c r="GE83" i="5"/>
  <c r="GF83" i="5"/>
  <c r="GI83" i="5"/>
  <c r="FZ83" i="5"/>
  <c r="GB83" i="5"/>
  <c r="GC83" i="5"/>
  <c r="GG83" i="5"/>
  <c r="GK83" i="5"/>
  <c r="GH83" i="5"/>
  <c r="GJ83" i="5"/>
  <c r="GL83" i="5"/>
  <c r="FY88" i="5"/>
  <c r="BP88" i="5"/>
  <c r="BQ87" i="5" s="1"/>
  <c r="BR86" i="5" s="1"/>
  <c r="BS85" i="5" s="1"/>
  <c r="BT84" i="5" s="1"/>
  <c r="BU83" i="5" s="1"/>
  <c r="BV81" i="5"/>
  <c r="GM82" i="5"/>
  <c r="W84" i="5"/>
  <c r="GA84" i="5" s="1"/>
  <c r="BH97" i="5"/>
  <c r="BI96" i="5" s="1"/>
  <c r="BJ95" i="5" s="1"/>
  <c r="BK94" i="5" s="1"/>
  <c r="BL93" i="5" s="1"/>
  <c r="BM92" i="5" s="1"/>
  <c r="BN91" i="5" s="1"/>
  <c r="BO90" i="5" s="1"/>
  <c r="BW79" i="5"/>
  <c r="GN80" i="5"/>
  <c r="BX77" i="5"/>
  <c r="GO78" i="5"/>
  <c r="CB69" i="5"/>
  <c r="GT69" i="5" s="1"/>
  <c r="GS70" i="5"/>
  <c r="BZ73" i="5"/>
  <c r="GQ74" i="5"/>
  <c r="CA71" i="5"/>
  <c r="GR72" i="5"/>
  <c r="BY75" i="5"/>
  <c r="GP76" i="5"/>
  <c r="Y84" i="5"/>
  <c r="DD85" i="5"/>
  <c r="CZ93" i="5"/>
  <c r="CY95" i="5"/>
  <c r="DA91" i="5"/>
  <c r="DC87" i="5"/>
  <c r="DE83" i="5"/>
  <c r="DB89" i="5"/>
  <c r="R98" i="5"/>
  <c r="CX97" i="5" s="1"/>
  <c r="P99" i="5"/>
  <c r="H99" i="5"/>
  <c r="I100" i="5" s="1"/>
  <c r="M59" i="7"/>
  <c r="N59" i="7"/>
  <c r="D60" i="7"/>
  <c r="G59" i="7"/>
  <c r="B59" i="7"/>
  <c r="F59" i="7" s="1"/>
  <c r="C59" i="7"/>
  <c r="I59" i="7" s="1"/>
  <c r="E59" i="7"/>
  <c r="H59" i="7" s="1"/>
  <c r="K60" i="7"/>
  <c r="L60" i="7" s="1"/>
  <c r="J61" i="7"/>
  <c r="GE84" i="5" l="1"/>
  <c r="GC84" i="5"/>
  <c r="FZ84" i="5"/>
  <c r="GI84" i="5"/>
  <c r="GJ84" i="5"/>
  <c r="GD84" i="5"/>
  <c r="GG84" i="5"/>
  <c r="GK84" i="5"/>
  <c r="GH84" i="5"/>
  <c r="GL84" i="5"/>
  <c r="GB84" i="5"/>
  <c r="GF84" i="5"/>
  <c r="W85" i="5"/>
  <c r="GA85" i="5" s="1"/>
  <c r="BH98" i="5"/>
  <c r="BI97" i="5" s="1"/>
  <c r="BJ96" i="5" s="1"/>
  <c r="BK95" i="5" s="1"/>
  <c r="BL94" i="5" s="1"/>
  <c r="BM93" i="5" s="1"/>
  <c r="BN92" i="5" s="1"/>
  <c r="BO91" i="5" s="1"/>
  <c r="BP89" i="5"/>
  <c r="BQ88" i="5" s="1"/>
  <c r="BR87" i="5" s="1"/>
  <c r="BS86" i="5" s="1"/>
  <c r="BT85" i="5" s="1"/>
  <c r="BU84" i="5" s="1"/>
  <c r="FY89" i="5"/>
  <c r="BV82" i="5"/>
  <c r="GM83" i="5"/>
  <c r="BZ74" i="5"/>
  <c r="GQ75" i="5"/>
  <c r="CB70" i="5"/>
  <c r="GT70" i="5" s="1"/>
  <c r="GS71" i="5"/>
  <c r="CA72" i="5"/>
  <c r="GR73" i="5"/>
  <c r="BY76" i="5"/>
  <c r="GP77" i="5"/>
  <c r="BX78" i="5"/>
  <c r="GO79" i="5"/>
  <c r="BW80" i="5"/>
  <c r="GN81" i="5"/>
  <c r="Y85" i="5"/>
  <c r="DE84" i="5"/>
  <c r="CY96" i="5"/>
  <c r="DC88" i="5"/>
  <c r="DD86" i="5"/>
  <c r="DB90" i="5"/>
  <c r="CZ94" i="5"/>
  <c r="DA92" i="5"/>
  <c r="H100" i="5"/>
  <c r="I101" i="5" s="1"/>
  <c r="P100" i="5"/>
  <c r="R99" i="5"/>
  <c r="CX98" i="5" s="1"/>
  <c r="M60" i="7"/>
  <c r="N60" i="7"/>
  <c r="D61" i="7"/>
  <c r="C60" i="7"/>
  <c r="I60" i="7" s="1"/>
  <c r="E60" i="7"/>
  <c r="H60" i="7" s="1"/>
  <c r="G60" i="7"/>
  <c r="B60" i="7"/>
  <c r="F60" i="7" s="1"/>
  <c r="K61" i="7"/>
  <c r="L61" i="7" s="1"/>
  <c r="J62" i="7"/>
  <c r="FZ85" i="5" l="1"/>
  <c r="GB85" i="5"/>
  <c r="GE85" i="5"/>
  <c r="GF85" i="5"/>
  <c r="GD85" i="5"/>
  <c r="GI85" i="5"/>
  <c r="GC85" i="5"/>
  <c r="GG85" i="5"/>
  <c r="GK85" i="5"/>
  <c r="GH85" i="5"/>
  <c r="GJ85" i="5"/>
  <c r="GL85" i="5"/>
  <c r="W86" i="5"/>
  <c r="GA86" i="5" s="1"/>
  <c r="BH99" i="5"/>
  <c r="BI98" i="5" s="1"/>
  <c r="BJ97" i="5" s="1"/>
  <c r="BK96" i="5" s="1"/>
  <c r="BL95" i="5" s="1"/>
  <c r="BM94" i="5" s="1"/>
  <c r="BN93" i="5" s="1"/>
  <c r="BO92" i="5" s="1"/>
  <c r="BP90" i="5"/>
  <c r="BQ89" i="5" s="1"/>
  <c r="BR88" i="5" s="1"/>
  <c r="BS87" i="5" s="1"/>
  <c r="BT86" i="5" s="1"/>
  <c r="BU85" i="5" s="1"/>
  <c r="FY90" i="5"/>
  <c r="BX79" i="5"/>
  <c r="GO80" i="5"/>
  <c r="BY77" i="5"/>
  <c r="GP78" i="5"/>
  <c r="BZ75" i="5"/>
  <c r="GQ76" i="5"/>
  <c r="CB71" i="5"/>
  <c r="GT71" i="5" s="1"/>
  <c r="GS72" i="5"/>
  <c r="CA73" i="5"/>
  <c r="GR74" i="5"/>
  <c r="BW81" i="5"/>
  <c r="GN82" i="5"/>
  <c r="BV83" i="5"/>
  <c r="GM84" i="5"/>
  <c r="Y86" i="5"/>
  <c r="DD87" i="5"/>
  <c r="CY97" i="5"/>
  <c r="DB91" i="5"/>
  <c r="DA93" i="5"/>
  <c r="DC89" i="5"/>
  <c r="DE85" i="5"/>
  <c r="CZ95" i="5"/>
  <c r="R100" i="5"/>
  <c r="CX99" i="5" s="1"/>
  <c r="H101" i="5"/>
  <c r="I102" i="5" s="1"/>
  <c r="P101" i="5"/>
  <c r="M61" i="7"/>
  <c r="N61" i="7"/>
  <c r="D62" i="7"/>
  <c r="E61" i="7"/>
  <c r="H61" i="7" s="1"/>
  <c r="B61" i="7"/>
  <c r="F61" i="7" s="1"/>
  <c r="C61" i="7"/>
  <c r="I61" i="7" s="1"/>
  <c r="G61" i="7"/>
  <c r="K62" i="7"/>
  <c r="L62" i="7" s="1"/>
  <c r="J63" i="7"/>
  <c r="GC86" i="5" l="1"/>
  <c r="GE86" i="5"/>
  <c r="FZ86" i="5"/>
  <c r="GJ86" i="5"/>
  <c r="GI86" i="5"/>
  <c r="GD86" i="5"/>
  <c r="GH86" i="5"/>
  <c r="GL86" i="5"/>
  <c r="GG86" i="5"/>
  <c r="GK86" i="5"/>
  <c r="GB86" i="5"/>
  <c r="GF86" i="5"/>
  <c r="FY91" i="5"/>
  <c r="BP91" i="5"/>
  <c r="BQ90" i="5" s="1"/>
  <c r="BR89" i="5" s="1"/>
  <c r="BS88" i="5" s="1"/>
  <c r="BT87" i="5" s="1"/>
  <c r="BU86" i="5" s="1"/>
  <c r="W87" i="5"/>
  <c r="GA87" i="5" s="1"/>
  <c r="BH100" i="5"/>
  <c r="BI99" i="5" s="1"/>
  <c r="BJ98" i="5" s="1"/>
  <c r="BK97" i="5" s="1"/>
  <c r="BL96" i="5" s="1"/>
  <c r="BM95" i="5" s="1"/>
  <c r="BN94" i="5" s="1"/>
  <c r="BO93" i="5" s="1"/>
  <c r="BP92" i="5" s="1"/>
  <c r="BQ91" i="5" s="1"/>
  <c r="BR90" i="5" s="1"/>
  <c r="BS89" i="5" s="1"/>
  <c r="BT88" i="5" s="1"/>
  <c r="BU87" i="5" s="1"/>
  <c r="BV86" i="5" s="1"/>
  <c r="BW82" i="5"/>
  <c r="GN83" i="5"/>
  <c r="BX80" i="5"/>
  <c r="GO81" i="5"/>
  <c r="CB72" i="5"/>
  <c r="GT72" i="5" s="1"/>
  <c r="GS73" i="5"/>
  <c r="CA74" i="5"/>
  <c r="GR75" i="5"/>
  <c r="BZ76" i="5"/>
  <c r="GQ77" i="5"/>
  <c r="BY78" i="5"/>
  <c r="GP79" i="5"/>
  <c r="BV84" i="5"/>
  <c r="GM85" i="5"/>
  <c r="Y87" i="5"/>
  <c r="CY98" i="5"/>
  <c r="DA94" i="5"/>
  <c r="DD88" i="5"/>
  <c r="DB92" i="5"/>
  <c r="DC90" i="5"/>
  <c r="CZ96" i="5"/>
  <c r="DE86" i="5"/>
  <c r="R101" i="5"/>
  <c r="CX100" i="5" s="1"/>
  <c r="H102" i="5"/>
  <c r="I103" i="5" s="1"/>
  <c r="P102" i="5"/>
  <c r="M62" i="7"/>
  <c r="N62" i="7"/>
  <c r="D63" i="7"/>
  <c r="C62" i="7"/>
  <c r="I62" i="7" s="1"/>
  <c r="E62" i="7"/>
  <c r="H62" i="7" s="1"/>
  <c r="B62" i="7"/>
  <c r="F62" i="7" s="1"/>
  <c r="G62" i="7"/>
  <c r="K63" i="7"/>
  <c r="L63" i="7" s="1"/>
  <c r="J64" i="7"/>
  <c r="GB87" i="5" l="1"/>
  <c r="GG87" i="5"/>
  <c r="FZ87" i="5"/>
  <c r="GC87" i="5"/>
  <c r="GI87" i="5"/>
  <c r="GD87" i="5"/>
  <c r="GF87" i="5"/>
  <c r="GE87" i="5"/>
  <c r="GH87" i="5"/>
  <c r="GJ87" i="5"/>
  <c r="GK87" i="5"/>
  <c r="GL87" i="5"/>
  <c r="BW85" i="5"/>
  <c r="GN86" i="5"/>
  <c r="BV85" i="5"/>
  <c r="GM86" i="5"/>
  <c r="W88" i="5"/>
  <c r="GA88" i="5" s="1"/>
  <c r="BH101" i="5"/>
  <c r="BI100" i="5" s="1"/>
  <c r="BJ99" i="5" s="1"/>
  <c r="BK98" i="5" s="1"/>
  <c r="BL97" i="5" s="1"/>
  <c r="BM96" i="5" s="1"/>
  <c r="BN95" i="5" s="1"/>
  <c r="BO94" i="5" s="1"/>
  <c r="BP93" i="5" s="1"/>
  <c r="BQ92" i="5" s="1"/>
  <c r="BR91" i="5" s="1"/>
  <c r="BS90" i="5" s="1"/>
  <c r="BT89" i="5" s="1"/>
  <c r="BU88" i="5" s="1"/>
  <c r="BV87" i="5" s="1"/>
  <c r="GM87" i="5"/>
  <c r="BW83" i="5"/>
  <c r="GN84" i="5"/>
  <c r="BZ77" i="5"/>
  <c r="GQ78" i="5"/>
  <c r="CA75" i="5"/>
  <c r="GR76" i="5"/>
  <c r="CB73" i="5"/>
  <c r="GT73" i="5" s="1"/>
  <c r="GS74" i="5"/>
  <c r="BY79" i="5"/>
  <c r="GP80" i="5"/>
  <c r="BX81" i="5"/>
  <c r="GO82" i="5"/>
  <c r="DB93" i="5"/>
  <c r="CZ97" i="5"/>
  <c r="CY99" i="5"/>
  <c r="DA95" i="5"/>
  <c r="DD89" i="5"/>
  <c r="DC91" i="5"/>
  <c r="DE87" i="5"/>
  <c r="R102" i="5"/>
  <c r="CX101" i="5" s="1"/>
  <c r="H103" i="5"/>
  <c r="I104" i="5" s="1"/>
  <c r="P103" i="5"/>
  <c r="M63" i="7"/>
  <c r="N63" i="7"/>
  <c r="D64" i="7"/>
  <c r="C63" i="7"/>
  <c r="I63" i="7" s="1"/>
  <c r="E63" i="7"/>
  <c r="H63" i="7" s="1"/>
  <c r="G63" i="7"/>
  <c r="B63" i="7"/>
  <c r="F63" i="7" s="1"/>
  <c r="K64" i="7"/>
  <c r="L64" i="7" s="1"/>
  <c r="J65" i="7"/>
  <c r="GC88" i="5" l="1"/>
  <c r="GH88" i="5"/>
  <c r="GI88" i="5"/>
  <c r="GB88" i="5"/>
  <c r="GG88" i="5"/>
  <c r="GK88" i="5"/>
  <c r="GL88" i="5"/>
  <c r="GF88" i="5"/>
  <c r="GE88" i="5"/>
  <c r="GJ88" i="5"/>
  <c r="FZ88" i="5"/>
  <c r="GD88" i="5"/>
  <c r="Y88" i="5"/>
  <c r="GM88" i="5"/>
  <c r="W89" i="5"/>
  <c r="GA89" i="5" s="1"/>
  <c r="BH102" i="5"/>
  <c r="BI101" i="5" s="1"/>
  <c r="BJ100" i="5" s="1"/>
  <c r="BK99" i="5" s="1"/>
  <c r="BL98" i="5" s="1"/>
  <c r="BM97" i="5" s="1"/>
  <c r="BN96" i="5" s="1"/>
  <c r="BO95" i="5" s="1"/>
  <c r="BP94" i="5" s="1"/>
  <c r="BQ93" i="5" s="1"/>
  <c r="BR92" i="5" s="1"/>
  <c r="BS91" i="5" s="1"/>
  <c r="BT90" i="5" s="1"/>
  <c r="BU89" i="5" s="1"/>
  <c r="BV88" i="5" s="1"/>
  <c r="BY80" i="5"/>
  <c r="GP81" i="5"/>
  <c r="BZ78" i="5"/>
  <c r="GQ79" i="5"/>
  <c r="CB74" i="5"/>
  <c r="GT74" i="5" s="1"/>
  <c r="GS75" i="5"/>
  <c r="CA76" i="5"/>
  <c r="GR77" i="5"/>
  <c r="BX82" i="5"/>
  <c r="GO83" i="5"/>
  <c r="BW86" i="5"/>
  <c r="GN87" i="5"/>
  <c r="BW84" i="5"/>
  <c r="GN85" i="5"/>
  <c r="BX84" i="5"/>
  <c r="GO85" i="5"/>
  <c r="Y89" i="5"/>
  <c r="CY100" i="5"/>
  <c r="DD90" i="5"/>
  <c r="DE88" i="5"/>
  <c r="DB94" i="5"/>
  <c r="CZ98" i="5"/>
  <c r="DA96" i="5"/>
  <c r="DC92" i="5"/>
  <c r="R103" i="5"/>
  <c r="CX102" i="5" s="1"/>
  <c r="P104" i="5"/>
  <c r="H104" i="5"/>
  <c r="I105" i="5" s="1"/>
  <c r="M64" i="7"/>
  <c r="N64" i="7"/>
  <c r="D65" i="7"/>
  <c r="C64" i="7"/>
  <c r="I64" i="7" s="1"/>
  <c r="E64" i="7"/>
  <c r="H64" i="7" s="1"/>
  <c r="G64" i="7"/>
  <c r="B64" i="7"/>
  <c r="F64" i="7" s="1"/>
  <c r="K65" i="7"/>
  <c r="L65" i="7" s="1"/>
  <c r="J66" i="7"/>
  <c r="GC89" i="5" l="1"/>
  <c r="GB89" i="5"/>
  <c r="GI89" i="5"/>
  <c r="FZ89" i="5"/>
  <c r="GG89" i="5"/>
  <c r="GK89" i="5"/>
  <c r="GF89" i="5"/>
  <c r="GD89" i="5"/>
  <c r="GE89" i="5"/>
  <c r="GH89" i="5"/>
  <c r="GJ89" i="5"/>
  <c r="GL89" i="5"/>
  <c r="W90" i="5"/>
  <c r="GA90" i="5" s="1"/>
  <c r="BH103" i="5"/>
  <c r="BI102" i="5" s="1"/>
  <c r="BJ101" i="5" s="1"/>
  <c r="BK100" i="5" s="1"/>
  <c r="BL99" i="5" s="1"/>
  <c r="BM98" i="5" s="1"/>
  <c r="BN97" i="5" s="1"/>
  <c r="BO96" i="5" s="1"/>
  <c r="BP95" i="5" s="1"/>
  <c r="BQ94" i="5" s="1"/>
  <c r="BR93" i="5" s="1"/>
  <c r="BS92" i="5" s="1"/>
  <c r="BT91" i="5" s="1"/>
  <c r="BU90" i="5" s="1"/>
  <c r="BV89" i="5" s="1"/>
  <c r="BW87" i="5"/>
  <c r="GN88" i="5"/>
  <c r="GM89" i="5"/>
  <c r="BY83" i="5"/>
  <c r="GP84" i="5"/>
  <c r="BX83" i="5"/>
  <c r="GO84" i="5"/>
  <c r="BX85" i="5"/>
  <c r="GO86" i="5"/>
  <c r="BY81" i="5"/>
  <c r="GP82" i="5"/>
  <c r="CB75" i="5"/>
  <c r="GT75" i="5" s="1"/>
  <c r="GS76" i="5"/>
  <c r="CA77" i="5"/>
  <c r="GR78" i="5"/>
  <c r="BZ79" i="5"/>
  <c r="GQ80" i="5"/>
  <c r="CY101" i="5"/>
  <c r="DD91" i="5"/>
  <c r="DB95" i="5"/>
  <c r="DA97" i="5"/>
  <c r="DC93" i="5"/>
  <c r="DE89" i="5"/>
  <c r="CZ99" i="5"/>
  <c r="P105" i="5"/>
  <c r="H105" i="5"/>
  <c r="I106" i="5" s="1"/>
  <c r="R104" i="5"/>
  <c r="CX103" i="5" s="1"/>
  <c r="M65" i="7"/>
  <c r="N65" i="7"/>
  <c r="D66" i="7"/>
  <c r="C65" i="7"/>
  <c r="I65" i="7" s="1"/>
  <c r="G65" i="7"/>
  <c r="B65" i="7"/>
  <c r="F65" i="7" s="1"/>
  <c r="E65" i="7"/>
  <c r="H65" i="7" s="1"/>
  <c r="K66" i="7"/>
  <c r="L66" i="7" s="1"/>
  <c r="J67" i="7"/>
  <c r="GG90" i="5" l="1"/>
  <c r="GH90" i="5"/>
  <c r="GB90" i="5"/>
  <c r="GL90" i="5"/>
  <c r="GK90" i="5"/>
  <c r="GF90" i="5"/>
  <c r="GE90" i="5"/>
  <c r="GJ90" i="5"/>
  <c r="GC90" i="5"/>
  <c r="GI90" i="5"/>
  <c r="FZ90" i="5"/>
  <c r="GD90" i="5"/>
  <c r="Y90" i="5"/>
  <c r="GM90" i="5"/>
  <c r="W91" i="5"/>
  <c r="GA91" i="5" s="1"/>
  <c r="BH104" i="5"/>
  <c r="BI103" i="5" s="1"/>
  <c r="BJ102" i="5" s="1"/>
  <c r="BK101" i="5" s="1"/>
  <c r="BL100" i="5" s="1"/>
  <c r="BM99" i="5" s="1"/>
  <c r="BN98" i="5" s="1"/>
  <c r="BO97" i="5" s="1"/>
  <c r="BP96" i="5" s="1"/>
  <c r="BQ95" i="5" s="1"/>
  <c r="BR94" i="5" s="1"/>
  <c r="BS93" i="5" s="1"/>
  <c r="BT92" i="5" s="1"/>
  <c r="BU91" i="5" s="1"/>
  <c r="BV90" i="5" s="1"/>
  <c r="CA78" i="5"/>
  <c r="GR79" i="5"/>
  <c r="CB76" i="5"/>
  <c r="GT76" i="5" s="1"/>
  <c r="GS77" i="5"/>
  <c r="BZ80" i="5"/>
  <c r="GQ81" i="5"/>
  <c r="BY84" i="5"/>
  <c r="GP85" i="5"/>
  <c r="BY82" i="5"/>
  <c r="GP83" i="5"/>
  <c r="BZ82" i="5"/>
  <c r="GQ83" i="5"/>
  <c r="BW88" i="5"/>
  <c r="GN89" i="5"/>
  <c r="BX86" i="5"/>
  <c r="GO87" i="5"/>
  <c r="Y91" i="5"/>
  <c r="CY102" i="5"/>
  <c r="DA98" i="5"/>
  <c r="DD92" i="5"/>
  <c r="DB96" i="5"/>
  <c r="DC94" i="5"/>
  <c r="DE90" i="5"/>
  <c r="CZ100" i="5"/>
  <c r="P106" i="5"/>
  <c r="H106" i="5"/>
  <c r="I107" i="5" s="1"/>
  <c r="R105" i="5"/>
  <c r="CX104" i="5" s="1"/>
  <c r="M66" i="7"/>
  <c r="N66" i="7"/>
  <c r="D67" i="7"/>
  <c r="C66" i="7"/>
  <c r="I66" i="7" s="1"/>
  <c r="B66" i="7"/>
  <c r="F66" i="7" s="1"/>
  <c r="E66" i="7"/>
  <c r="H66" i="7" s="1"/>
  <c r="G66" i="7"/>
  <c r="K67" i="7"/>
  <c r="L67" i="7" s="1"/>
  <c r="J68" i="7"/>
  <c r="GC91" i="5" l="1"/>
  <c r="FZ91" i="5"/>
  <c r="GI91" i="5"/>
  <c r="GB91" i="5"/>
  <c r="GG91" i="5"/>
  <c r="GK91" i="5"/>
  <c r="GD91" i="5"/>
  <c r="GF91" i="5"/>
  <c r="GE91" i="5"/>
  <c r="GH91" i="5"/>
  <c r="GJ91" i="5"/>
  <c r="GL91" i="5"/>
  <c r="BW89" i="5"/>
  <c r="GN90" i="5"/>
  <c r="W92" i="5"/>
  <c r="Y92" i="5" s="1"/>
  <c r="BH105" i="5"/>
  <c r="BI104" i="5" s="1"/>
  <c r="BJ103" i="5" s="1"/>
  <c r="BK102" i="5" s="1"/>
  <c r="BL101" i="5" s="1"/>
  <c r="BM100" i="5" s="1"/>
  <c r="BN99" i="5" s="1"/>
  <c r="BO98" i="5" s="1"/>
  <c r="BP97" i="5" s="1"/>
  <c r="BQ96" i="5" s="1"/>
  <c r="BR95" i="5" s="1"/>
  <c r="BS94" i="5" s="1"/>
  <c r="BT93" i="5" s="1"/>
  <c r="BU92" i="5" s="1"/>
  <c r="BV91" i="5" s="1"/>
  <c r="GM91" i="5"/>
  <c r="BY85" i="5"/>
  <c r="GP86" i="5"/>
  <c r="BX87" i="5"/>
  <c r="GO88" i="5"/>
  <c r="CA81" i="5"/>
  <c r="GR82" i="5"/>
  <c r="BZ81" i="5"/>
  <c r="GQ82" i="5"/>
  <c r="BZ83" i="5"/>
  <c r="GQ84" i="5"/>
  <c r="CA79" i="5"/>
  <c r="GR80" i="5"/>
  <c r="CB77" i="5"/>
  <c r="GT77" i="5" s="1"/>
  <c r="GS78" i="5"/>
  <c r="CY103" i="5"/>
  <c r="DA99" i="5"/>
  <c r="DD93" i="5"/>
  <c r="DB97" i="5"/>
  <c r="DC95" i="5"/>
  <c r="DE91" i="5"/>
  <c r="CZ101" i="5"/>
  <c r="H107" i="5"/>
  <c r="I108" i="5" s="1"/>
  <c r="P107" i="5"/>
  <c r="R106" i="5"/>
  <c r="CX105" i="5" s="1"/>
  <c r="N67" i="7"/>
  <c r="M67" i="7"/>
  <c r="D68" i="7"/>
  <c r="C67" i="7"/>
  <c r="I67" i="7" s="1"/>
  <c r="E67" i="7"/>
  <c r="H67" i="7" s="1"/>
  <c r="B67" i="7"/>
  <c r="F67" i="7" s="1"/>
  <c r="G67" i="7"/>
  <c r="K68" i="7"/>
  <c r="L68" i="7" s="1"/>
  <c r="J69" i="7"/>
  <c r="GH92" i="5" l="1"/>
  <c r="GI92" i="5"/>
  <c r="GL92" i="5"/>
  <c r="GK92" i="5"/>
  <c r="GJ92" i="5"/>
  <c r="W93" i="5"/>
  <c r="Y93" i="5" s="1"/>
  <c r="BH106" i="5"/>
  <c r="BI105" i="5" s="1"/>
  <c r="BJ104" i="5" s="1"/>
  <c r="BK103" i="5" s="1"/>
  <c r="BL102" i="5" s="1"/>
  <c r="BM101" i="5" s="1"/>
  <c r="BN100" i="5" s="1"/>
  <c r="BO99" i="5" s="1"/>
  <c r="BP98" i="5" s="1"/>
  <c r="BQ97" i="5" s="1"/>
  <c r="BR96" i="5" s="1"/>
  <c r="BS95" i="5" s="1"/>
  <c r="BT94" i="5" s="1"/>
  <c r="BU93" i="5" s="1"/>
  <c r="BV92" i="5" s="1"/>
  <c r="CB78" i="5"/>
  <c r="GT78" i="5" s="1"/>
  <c r="GS79" i="5"/>
  <c r="CA82" i="5"/>
  <c r="GR83" i="5"/>
  <c r="CA80" i="5"/>
  <c r="GR81" i="5"/>
  <c r="CB80" i="5"/>
  <c r="GT80" i="5" s="1"/>
  <c r="GS81" i="5"/>
  <c r="BY86" i="5"/>
  <c r="GP87" i="5"/>
  <c r="BZ84" i="5"/>
  <c r="GQ85" i="5"/>
  <c r="BW90" i="5"/>
  <c r="GN91" i="5"/>
  <c r="GM92" i="5"/>
  <c r="BX88" i="5"/>
  <c r="GO89" i="5"/>
  <c r="CY104" i="5"/>
  <c r="DA100" i="5"/>
  <c r="DD94" i="5"/>
  <c r="DC96" i="5"/>
  <c r="DE92" i="5"/>
  <c r="DB98" i="5"/>
  <c r="CZ102" i="5"/>
  <c r="R107" i="5"/>
  <c r="CX106" i="5" s="1"/>
  <c r="H108" i="5"/>
  <c r="I109" i="5" s="1"/>
  <c r="P108" i="5"/>
  <c r="M68" i="7"/>
  <c r="N68" i="7"/>
  <c r="D69" i="7"/>
  <c r="C68" i="7"/>
  <c r="I68" i="7" s="1"/>
  <c r="E68" i="7"/>
  <c r="H68" i="7" s="1"/>
  <c r="G68" i="7"/>
  <c r="B68" i="7"/>
  <c r="F68" i="7" s="1"/>
  <c r="K69" i="7"/>
  <c r="L69" i="7" s="1"/>
  <c r="J70" i="7"/>
  <c r="GJ93" i="5" l="1"/>
  <c r="GH93" i="5"/>
  <c r="GL93" i="5"/>
  <c r="GI93" i="5"/>
  <c r="GK93" i="5"/>
  <c r="GM93" i="5"/>
  <c r="BY87" i="5"/>
  <c r="GP88" i="5"/>
  <c r="BW91" i="5"/>
  <c r="GN92" i="5"/>
  <c r="W94" i="5"/>
  <c r="GK94" i="5" s="1"/>
  <c r="BH107" i="5"/>
  <c r="BI106" i="5" s="1"/>
  <c r="BJ105" i="5" s="1"/>
  <c r="BK104" i="5" s="1"/>
  <c r="BL103" i="5" s="1"/>
  <c r="BM102" i="5" s="1"/>
  <c r="BN101" i="5" s="1"/>
  <c r="BO100" i="5" s="1"/>
  <c r="BP99" i="5" s="1"/>
  <c r="BQ98" i="5" s="1"/>
  <c r="BR97" i="5" s="1"/>
  <c r="BS96" i="5" s="1"/>
  <c r="BT95" i="5" s="1"/>
  <c r="BU94" i="5" s="1"/>
  <c r="BV93" i="5" s="1"/>
  <c r="BX89" i="5"/>
  <c r="GO90" i="5"/>
  <c r="CA83" i="5"/>
  <c r="GR84" i="5"/>
  <c r="BZ85" i="5"/>
  <c r="GQ86" i="5"/>
  <c r="CB79" i="5"/>
  <c r="GT79" i="5" s="1"/>
  <c r="GS80" i="5"/>
  <c r="CB81" i="5"/>
  <c r="GT81" i="5" s="1"/>
  <c r="GS82" i="5"/>
  <c r="Y94" i="5"/>
  <c r="CY105" i="5"/>
  <c r="DA101" i="5"/>
  <c r="DC97" i="5"/>
  <c r="DD95" i="5"/>
  <c r="DE93" i="5"/>
  <c r="DB99" i="5"/>
  <c r="CZ103" i="5"/>
  <c r="R108" i="5"/>
  <c r="CX107" i="5" s="1"/>
  <c r="H109" i="5"/>
  <c r="I110" i="5" s="1"/>
  <c r="P109" i="5"/>
  <c r="M69" i="7"/>
  <c r="N69" i="7"/>
  <c r="D70" i="7"/>
  <c r="B69" i="7"/>
  <c r="F69" i="7" s="1"/>
  <c r="C69" i="7"/>
  <c r="I69" i="7" s="1"/>
  <c r="E69" i="7"/>
  <c r="H69" i="7" s="1"/>
  <c r="G69" i="7"/>
  <c r="K70" i="7"/>
  <c r="L70" i="7" s="1"/>
  <c r="J71" i="7"/>
  <c r="GJ94" i="5" l="1"/>
  <c r="GI94" i="5"/>
  <c r="GH94" i="5"/>
  <c r="GL94" i="5"/>
  <c r="W95" i="5"/>
  <c r="Y95" i="5" s="1"/>
  <c r="BH108" i="5"/>
  <c r="BI107" i="5" s="1"/>
  <c r="BJ106" i="5" s="1"/>
  <c r="BK105" i="5" s="1"/>
  <c r="BL104" i="5" s="1"/>
  <c r="BM103" i="5" s="1"/>
  <c r="BN102" i="5" s="1"/>
  <c r="BO101" i="5" s="1"/>
  <c r="BP100" i="5" s="1"/>
  <c r="BQ99" i="5" s="1"/>
  <c r="BR98" i="5" s="1"/>
  <c r="BS97" i="5" s="1"/>
  <c r="BT96" i="5" s="1"/>
  <c r="BU95" i="5" s="1"/>
  <c r="BV94" i="5" s="1"/>
  <c r="BW92" i="5"/>
  <c r="GN93" i="5"/>
  <c r="GM94" i="5"/>
  <c r="CA84" i="5"/>
  <c r="GR85" i="5"/>
  <c r="CB82" i="5"/>
  <c r="GT82" i="5" s="1"/>
  <c r="GS83" i="5"/>
  <c r="BY88" i="5"/>
  <c r="GP89" i="5"/>
  <c r="BX90" i="5"/>
  <c r="GO91" i="5"/>
  <c r="BZ86" i="5"/>
  <c r="GQ87" i="5"/>
  <c r="CY106" i="5"/>
  <c r="DA102" i="5"/>
  <c r="DC98" i="5"/>
  <c r="DE94" i="5"/>
  <c r="DD96" i="5"/>
  <c r="DB100" i="5"/>
  <c r="CZ104" i="5"/>
  <c r="R109" i="5"/>
  <c r="CX108" i="5" s="1"/>
  <c r="H110" i="5"/>
  <c r="I111" i="5" s="1"/>
  <c r="P110" i="5"/>
  <c r="M70" i="7"/>
  <c r="N70" i="7"/>
  <c r="D71" i="7"/>
  <c r="C70" i="7"/>
  <c r="I70" i="7" s="1"/>
  <c r="B70" i="7"/>
  <c r="F70" i="7" s="1"/>
  <c r="E70" i="7"/>
  <c r="H70" i="7" s="1"/>
  <c r="G70" i="7"/>
  <c r="K71" i="7"/>
  <c r="L71" i="7" s="1"/>
  <c r="J72" i="7"/>
  <c r="GH95" i="5" l="1"/>
  <c r="GJ95" i="5"/>
  <c r="GL95" i="5"/>
  <c r="GI95" i="5"/>
  <c r="GK95" i="5"/>
  <c r="GM95" i="5"/>
  <c r="CA85" i="5"/>
  <c r="GR86" i="5"/>
  <c r="BY89" i="5"/>
  <c r="GP90" i="5"/>
  <c r="BZ87" i="5"/>
  <c r="GQ88" i="5"/>
  <c r="CB83" i="5"/>
  <c r="GT83" i="5" s="1"/>
  <c r="GS84" i="5"/>
  <c r="BW93" i="5"/>
  <c r="GN94" i="5"/>
  <c r="W96" i="5"/>
  <c r="GL96" i="5" s="1"/>
  <c r="BH109" i="5"/>
  <c r="BI108" i="5" s="1"/>
  <c r="BJ107" i="5" s="1"/>
  <c r="BK106" i="5" s="1"/>
  <c r="BL105" i="5" s="1"/>
  <c r="BM104" i="5" s="1"/>
  <c r="BN103" i="5" s="1"/>
  <c r="BO102" i="5" s="1"/>
  <c r="BP101" i="5" s="1"/>
  <c r="BQ100" i="5" s="1"/>
  <c r="BR99" i="5" s="1"/>
  <c r="BS98" i="5" s="1"/>
  <c r="BT97" i="5" s="1"/>
  <c r="BU96" i="5" s="1"/>
  <c r="BV95" i="5" s="1"/>
  <c r="BX91" i="5"/>
  <c r="GO92" i="5"/>
  <c r="Y96" i="5"/>
  <c r="DC99" i="5"/>
  <c r="DE95" i="5"/>
  <c r="CY107" i="5"/>
  <c r="DA103" i="5"/>
  <c r="DD97" i="5"/>
  <c r="DB101" i="5"/>
  <c r="CZ105" i="5"/>
  <c r="R110" i="5"/>
  <c r="CX109" i="5" s="1"/>
  <c r="H111" i="5"/>
  <c r="I112" i="5" s="1"/>
  <c r="P111" i="5"/>
  <c r="M71" i="7"/>
  <c r="N71" i="7"/>
  <c r="D72" i="7"/>
  <c r="C71" i="7"/>
  <c r="I71" i="7" s="1"/>
  <c r="E71" i="7"/>
  <c r="H71" i="7" s="1"/>
  <c r="B71" i="7"/>
  <c r="F71" i="7" s="1"/>
  <c r="G71" i="7"/>
  <c r="K72" i="7"/>
  <c r="L72" i="7" s="1"/>
  <c r="J73" i="7"/>
  <c r="GM96" i="5" l="1"/>
  <c r="GI96" i="5"/>
  <c r="GJ96" i="5"/>
  <c r="GK96" i="5"/>
  <c r="GH96" i="5"/>
  <c r="W97" i="5"/>
  <c r="GL97" i="5" s="1"/>
  <c r="BH110" i="5"/>
  <c r="BI109" i="5" s="1"/>
  <c r="BJ108" i="5" s="1"/>
  <c r="BK107" i="5" s="1"/>
  <c r="BL106" i="5" s="1"/>
  <c r="BM105" i="5" s="1"/>
  <c r="BN104" i="5" s="1"/>
  <c r="BO103" i="5" s="1"/>
  <c r="BP102" i="5" s="1"/>
  <c r="BQ101" i="5" s="1"/>
  <c r="BR100" i="5" s="1"/>
  <c r="BS99" i="5" s="1"/>
  <c r="BT98" i="5" s="1"/>
  <c r="BU97" i="5" s="1"/>
  <c r="BV96" i="5" s="1"/>
  <c r="BW94" i="5"/>
  <c r="GN95" i="5"/>
  <c r="BY90" i="5"/>
  <c r="GP91" i="5"/>
  <c r="BX92" i="5"/>
  <c r="GO93" i="5"/>
  <c r="CA86" i="5"/>
  <c r="GR87" i="5"/>
  <c r="BZ88" i="5"/>
  <c r="GQ89" i="5"/>
  <c r="CB84" i="5"/>
  <c r="GT84" i="5" s="1"/>
  <c r="GS85" i="5"/>
  <c r="Y97" i="5"/>
  <c r="CY108" i="5"/>
  <c r="DA104" i="5"/>
  <c r="DC100" i="5"/>
  <c r="DE96" i="5"/>
  <c r="DB102" i="5"/>
  <c r="CZ106" i="5"/>
  <c r="DD98" i="5"/>
  <c r="R111" i="5"/>
  <c r="CX110" i="5" s="1"/>
  <c r="H112" i="5"/>
  <c r="I113" i="5" s="1"/>
  <c r="P112" i="5"/>
  <c r="M72" i="7"/>
  <c r="N72" i="7"/>
  <c r="D73" i="7"/>
  <c r="C72" i="7"/>
  <c r="I72" i="7" s="1"/>
  <c r="G72" i="7"/>
  <c r="B72" i="7"/>
  <c r="F72" i="7" s="1"/>
  <c r="E72" i="7"/>
  <c r="H72" i="7" s="1"/>
  <c r="K73" i="7"/>
  <c r="L73" i="7" s="1"/>
  <c r="J74" i="7"/>
  <c r="GI97" i="5" l="1"/>
  <c r="GK97" i="5"/>
  <c r="GH97" i="5"/>
  <c r="GJ97" i="5"/>
  <c r="W98" i="5"/>
  <c r="Y98" i="5" s="1"/>
  <c r="BH111" i="5"/>
  <c r="BI110" i="5" s="1"/>
  <c r="BJ109" i="5" s="1"/>
  <c r="BK108" i="5" s="1"/>
  <c r="BL107" i="5" s="1"/>
  <c r="BM106" i="5" s="1"/>
  <c r="BN105" i="5" s="1"/>
  <c r="BO104" i="5" s="1"/>
  <c r="BP103" i="5" s="1"/>
  <c r="BQ102" i="5" s="1"/>
  <c r="BR101" i="5" s="1"/>
  <c r="BS100" i="5" s="1"/>
  <c r="BT99" i="5" s="1"/>
  <c r="BU98" i="5" s="1"/>
  <c r="BV97" i="5" s="1"/>
  <c r="BW95" i="5"/>
  <c r="GN96" i="5"/>
  <c r="GM97" i="5"/>
  <c r="CA87" i="5"/>
  <c r="GR88" i="5"/>
  <c r="CB85" i="5"/>
  <c r="GT85" i="5" s="1"/>
  <c r="GS86" i="5"/>
  <c r="BY91" i="5"/>
  <c r="GP92" i="5"/>
  <c r="BZ89" i="5"/>
  <c r="GQ90" i="5"/>
  <c r="BX93" i="5"/>
  <c r="GO94" i="5"/>
  <c r="DA105" i="5"/>
  <c r="CY109" i="5"/>
  <c r="DE97" i="5"/>
  <c r="DC101" i="5"/>
  <c r="DD99" i="5"/>
  <c r="DB103" i="5"/>
  <c r="CZ107" i="5"/>
  <c r="R112" i="5"/>
  <c r="CX111" i="5" s="1"/>
  <c r="H113" i="5"/>
  <c r="I114" i="5" s="1"/>
  <c r="P113" i="5"/>
  <c r="M73" i="7"/>
  <c r="N73" i="7"/>
  <c r="D74" i="7"/>
  <c r="B73" i="7"/>
  <c r="F73" i="7" s="1"/>
  <c r="C73" i="7"/>
  <c r="I73" i="7" s="1"/>
  <c r="E73" i="7"/>
  <c r="H73" i="7" s="1"/>
  <c r="G73" i="7"/>
  <c r="K74" i="7"/>
  <c r="L74" i="7" s="1"/>
  <c r="J75" i="7"/>
  <c r="GH98" i="5" l="1"/>
  <c r="GL98" i="5"/>
  <c r="GK98" i="5"/>
  <c r="GJ98" i="5"/>
  <c r="GI98" i="5"/>
  <c r="GM98" i="5"/>
  <c r="BY92" i="5"/>
  <c r="GP93" i="5"/>
  <c r="CA88" i="5"/>
  <c r="GR89" i="5"/>
  <c r="BZ90" i="5"/>
  <c r="GQ91" i="5"/>
  <c r="CB86" i="5"/>
  <c r="GT86" i="5" s="1"/>
  <c r="GS87" i="5"/>
  <c r="BW96" i="5"/>
  <c r="GN97" i="5"/>
  <c r="W99" i="5"/>
  <c r="GL99" i="5" s="1"/>
  <c r="BH112" i="5"/>
  <c r="BI111" i="5" s="1"/>
  <c r="BJ110" i="5" s="1"/>
  <c r="BK109" i="5" s="1"/>
  <c r="BL108" i="5" s="1"/>
  <c r="BM107" i="5" s="1"/>
  <c r="BN106" i="5" s="1"/>
  <c r="BO105" i="5" s="1"/>
  <c r="BP104" i="5" s="1"/>
  <c r="BQ103" i="5" s="1"/>
  <c r="BR102" i="5" s="1"/>
  <c r="BS101" i="5" s="1"/>
  <c r="BT100" i="5" s="1"/>
  <c r="BU99" i="5" s="1"/>
  <c r="BV98" i="5" s="1"/>
  <c r="BX94" i="5"/>
  <c r="GO95" i="5"/>
  <c r="Y99" i="5"/>
  <c r="CZ108" i="5"/>
  <c r="CY110" i="5"/>
  <c r="DA106" i="5"/>
  <c r="DC102" i="5"/>
  <c r="DE98" i="5"/>
  <c r="DD100" i="5"/>
  <c r="DB104" i="5"/>
  <c r="R113" i="5"/>
  <c r="CX112" i="5" s="1"/>
  <c r="H114" i="5"/>
  <c r="I115" i="5" s="1"/>
  <c r="P114" i="5"/>
  <c r="M74" i="7"/>
  <c r="N74" i="7"/>
  <c r="D75" i="7"/>
  <c r="E74" i="7"/>
  <c r="H74" i="7" s="1"/>
  <c r="B74" i="7"/>
  <c r="F74" i="7" s="1"/>
  <c r="C74" i="7"/>
  <c r="I74" i="7" s="1"/>
  <c r="G74" i="7"/>
  <c r="K75" i="7"/>
  <c r="L75" i="7" s="1"/>
  <c r="J76" i="7"/>
  <c r="GI99" i="5" l="1"/>
  <c r="GK99" i="5"/>
  <c r="GH99" i="5"/>
  <c r="GJ99" i="5"/>
  <c r="W100" i="5"/>
  <c r="Y100" i="5" s="1"/>
  <c r="BH113" i="5"/>
  <c r="BI112" i="5" s="1"/>
  <c r="BJ111" i="5" s="1"/>
  <c r="BK110" i="5" s="1"/>
  <c r="BL109" i="5" s="1"/>
  <c r="BM108" i="5" s="1"/>
  <c r="BN107" i="5" s="1"/>
  <c r="BO106" i="5" s="1"/>
  <c r="BP105" i="5" s="1"/>
  <c r="BQ104" i="5" s="1"/>
  <c r="BR103" i="5" s="1"/>
  <c r="BS102" i="5" s="1"/>
  <c r="BT101" i="5" s="1"/>
  <c r="BU100" i="5" s="1"/>
  <c r="BV99" i="5" s="1"/>
  <c r="BW97" i="5"/>
  <c r="GN98" i="5"/>
  <c r="GM99" i="5"/>
  <c r="BY93" i="5"/>
  <c r="GP94" i="5"/>
  <c r="BX95" i="5"/>
  <c r="GO96" i="5"/>
  <c r="CA89" i="5"/>
  <c r="GR90" i="5"/>
  <c r="CB87" i="5"/>
  <c r="GT87" i="5" s="1"/>
  <c r="GS88" i="5"/>
  <c r="BZ91" i="5"/>
  <c r="GQ92" i="5"/>
  <c r="DE99" i="5"/>
  <c r="DA107" i="5"/>
  <c r="CY111" i="5"/>
  <c r="DC103" i="5"/>
  <c r="DD101" i="5"/>
  <c r="DB105" i="5"/>
  <c r="CZ109" i="5"/>
  <c r="R114" i="5"/>
  <c r="CX113" i="5" s="1"/>
  <c r="H115" i="5"/>
  <c r="I116" i="5" s="1"/>
  <c r="P115" i="5"/>
  <c r="M75" i="7"/>
  <c r="N75" i="7"/>
  <c r="D76" i="7"/>
  <c r="C75" i="7"/>
  <c r="I75" i="7" s="1"/>
  <c r="G75" i="7"/>
  <c r="B75" i="7"/>
  <c r="F75" i="7" s="1"/>
  <c r="E75" i="7"/>
  <c r="H75" i="7" s="1"/>
  <c r="K76" i="7"/>
  <c r="L76" i="7" s="1"/>
  <c r="J77" i="7"/>
  <c r="GH100" i="5" l="1"/>
  <c r="GI100" i="5"/>
  <c r="GL100" i="5"/>
  <c r="GK100" i="5"/>
  <c r="GJ100" i="5"/>
  <c r="CA90" i="5"/>
  <c r="GR91" i="5"/>
  <c r="CB88" i="5"/>
  <c r="GT88" i="5" s="1"/>
  <c r="GS89" i="5"/>
  <c r="BY94" i="5"/>
  <c r="GP95" i="5"/>
  <c r="BZ92" i="5"/>
  <c r="GQ93" i="5"/>
  <c r="BW98" i="5"/>
  <c r="GN99" i="5"/>
  <c r="W101" i="5"/>
  <c r="Y101" i="5" s="1"/>
  <c r="BH114" i="5"/>
  <c r="BI113" i="5" s="1"/>
  <c r="BJ112" i="5" s="1"/>
  <c r="BK111" i="5" s="1"/>
  <c r="BL110" i="5" s="1"/>
  <c r="BM109" i="5" s="1"/>
  <c r="BN108" i="5" s="1"/>
  <c r="BO107" i="5" s="1"/>
  <c r="BP106" i="5" s="1"/>
  <c r="BQ105" i="5" s="1"/>
  <c r="BR104" i="5" s="1"/>
  <c r="BS103" i="5" s="1"/>
  <c r="BT102" i="5" s="1"/>
  <c r="BU101" i="5" s="1"/>
  <c r="BV100" i="5" s="1"/>
  <c r="GM100" i="5"/>
  <c r="BX96" i="5"/>
  <c r="GO97" i="5"/>
  <c r="CZ110" i="5"/>
  <c r="CY112" i="5"/>
  <c r="DA108" i="5"/>
  <c r="DC104" i="5"/>
  <c r="DE100" i="5"/>
  <c r="DD102" i="5"/>
  <c r="DB106" i="5"/>
  <c r="R115" i="5"/>
  <c r="CX114" i="5" s="1"/>
  <c r="H116" i="5"/>
  <c r="I117" i="5" s="1"/>
  <c r="P116" i="5"/>
  <c r="M76" i="7"/>
  <c r="N76" i="7"/>
  <c r="D77" i="7"/>
  <c r="C76" i="7"/>
  <c r="I76" i="7" s="1"/>
  <c r="G76" i="7"/>
  <c r="B76" i="7"/>
  <c r="F76" i="7" s="1"/>
  <c r="E76" i="7"/>
  <c r="H76" i="7" s="1"/>
  <c r="K77" i="7"/>
  <c r="L77" i="7" s="1"/>
  <c r="J78" i="7"/>
  <c r="GH101" i="5" l="1"/>
  <c r="GJ101" i="5"/>
  <c r="GL101" i="5"/>
  <c r="GI101" i="5"/>
  <c r="GK101" i="5"/>
  <c r="GM101" i="5"/>
  <c r="BY95" i="5"/>
  <c r="GP96" i="5"/>
  <c r="BW99" i="5"/>
  <c r="GN100" i="5"/>
  <c r="W102" i="5"/>
  <c r="GK102" i="5" s="1"/>
  <c r="BH115" i="5"/>
  <c r="BI114" i="5" s="1"/>
  <c r="BJ113" i="5" s="1"/>
  <c r="BK112" i="5" s="1"/>
  <c r="BL111" i="5" s="1"/>
  <c r="BM110" i="5" s="1"/>
  <c r="BN109" i="5" s="1"/>
  <c r="BO108" i="5" s="1"/>
  <c r="BP107" i="5" s="1"/>
  <c r="BQ106" i="5" s="1"/>
  <c r="BR105" i="5" s="1"/>
  <c r="BS104" i="5" s="1"/>
  <c r="BT103" i="5" s="1"/>
  <c r="BU102" i="5" s="1"/>
  <c r="BV101" i="5" s="1"/>
  <c r="BX97" i="5"/>
  <c r="GO98" i="5"/>
  <c r="CA91" i="5"/>
  <c r="GR92" i="5"/>
  <c r="BZ93" i="5"/>
  <c r="GQ94" i="5"/>
  <c r="CB89" i="5"/>
  <c r="GT89" i="5" s="1"/>
  <c r="GS90" i="5"/>
  <c r="Y102" i="5"/>
  <c r="DC105" i="5"/>
  <c r="CY113" i="5"/>
  <c r="DE101" i="5"/>
  <c r="DD103" i="5"/>
  <c r="DB107" i="5"/>
  <c r="CZ111" i="5"/>
  <c r="DA109" i="5"/>
  <c r="R116" i="5"/>
  <c r="CX115" i="5" s="1"/>
  <c r="P117" i="5"/>
  <c r="H117" i="5"/>
  <c r="I118" i="5" s="1"/>
  <c r="M77" i="7"/>
  <c r="N77" i="7"/>
  <c r="D78" i="7"/>
  <c r="G77" i="7"/>
  <c r="B77" i="7"/>
  <c r="F77" i="7" s="1"/>
  <c r="C77" i="7"/>
  <c r="I77" i="7" s="1"/>
  <c r="E77" i="7"/>
  <c r="H77" i="7" s="1"/>
  <c r="K78" i="7"/>
  <c r="L78" i="7" s="1"/>
  <c r="J79" i="7"/>
  <c r="GJ102" i="5" l="1"/>
  <c r="GI102" i="5"/>
  <c r="GH102" i="5"/>
  <c r="GL102" i="5"/>
  <c r="BW100" i="5"/>
  <c r="GN101" i="5"/>
  <c r="W103" i="5"/>
  <c r="Y103" i="5" s="1"/>
  <c r="BH116" i="5"/>
  <c r="BI115" i="5" s="1"/>
  <c r="BJ114" i="5" s="1"/>
  <c r="BK113" i="5" s="1"/>
  <c r="BL112" i="5" s="1"/>
  <c r="BM111" i="5" s="1"/>
  <c r="BN110" i="5" s="1"/>
  <c r="BO109" i="5" s="1"/>
  <c r="BP108" i="5" s="1"/>
  <c r="BQ107" i="5" s="1"/>
  <c r="BR106" i="5" s="1"/>
  <c r="BS105" i="5" s="1"/>
  <c r="BT104" i="5" s="1"/>
  <c r="BU103" i="5" s="1"/>
  <c r="BV102" i="5" s="1"/>
  <c r="GM102" i="5"/>
  <c r="CA92" i="5"/>
  <c r="GR93" i="5"/>
  <c r="CB90" i="5"/>
  <c r="GT90" i="5" s="1"/>
  <c r="GS91" i="5"/>
  <c r="BY96" i="5"/>
  <c r="GP97" i="5"/>
  <c r="BX98" i="5"/>
  <c r="GO99" i="5"/>
  <c r="BZ94" i="5"/>
  <c r="GQ95" i="5"/>
  <c r="DB108" i="5"/>
  <c r="CZ112" i="5"/>
  <c r="CY114" i="5"/>
  <c r="DA110" i="5"/>
  <c r="DC106" i="5"/>
  <c r="DE102" i="5"/>
  <c r="DD104" i="5"/>
  <c r="P118" i="5"/>
  <c r="H118" i="5"/>
  <c r="I119" i="5" s="1"/>
  <c r="R117" i="5"/>
  <c r="CX116" i="5" s="1"/>
  <c r="M78" i="7"/>
  <c r="N78" i="7"/>
  <c r="D79" i="7"/>
  <c r="C78" i="7"/>
  <c r="I78" i="7" s="1"/>
  <c r="E78" i="7"/>
  <c r="H78" i="7" s="1"/>
  <c r="G78" i="7"/>
  <c r="B78" i="7"/>
  <c r="F78" i="7" s="1"/>
  <c r="K79" i="7"/>
  <c r="L79" i="7" s="1"/>
  <c r="J80" i="7"/>
  <c r="GJ103" i="5" l="1"/>
  <c r="GH103" i="5"/>
  <c r="GL103" i="5"/>
  <c r="GI103" i="5"/>
  <c r="GK103" i="5"/>
  <c r="GM103" i="5"/>
  <c r="CA93" i="5"/>
  <c r="GR94" i="5"/>
  <c r="BY97" i="5"/>
  <c r="GP98" i="5"/>
  <c r="BZ95" i="5"/>
  <c r="GQ96" i="5"/>
  <c r="CB91" i="5"/>
  <c r="GT91" i="5" s="1"/>
  <c r="GS92" i="5"/>
  <c r="BW101" i="5"/>
  <c r="GN102" i="5"/>
  <c r="W104" i="5"/>
  <c r="GL104" i="5" s="1"/>
  <c r="BH117" i="5"/>
  <c r="BI116" i="5" s="1"/>
  <c r="BJ115" i="5" s="1"/>
  <c r="BK114" i="5" s="1"/>
  <c r="BL113" i="5" s="1"/>
  <c r="BM112" i="5" s="1"/>
  <c r="BN111" i="5" s="1"/>
  <c r="BO110" i="5" s="1"/>
  <c r="BP109" i="5" s="1"/>
  <c r="BQ108" i="5" s="1"/>
  <c r="BR107" i="5" s="1"/>
  <c r="BS106" i="5" s="1"/>
  <c r="BT105" i="5" s="1"/>
  <c r="BU104" i="5" s="1"/>
  <c r="BV103" i="5" s="1"/>
  <c r="BX99" i="5"/>
  <c r="GO100" i="5"/>
  <c r="Y104" i="5"/>
  <c r="DC107" i="5"/>
  <c r="CY115" i="5"/>
  <c r="DE103" i="5"/>
  <c r="DD105" i="5"/>
  <c r="DB109" i="5"/>
  <c r="CZ113" i="5"/>
  <c r="DA111" i="5"/>
  <c r="P119" i="5"/>
  <c r="H119" i="5"/>
  <c r="I120" i="5" s="1"/>
  <c r="R118" i="5"/>
  <c r="CX117" i="5" s="1"/>
  <c r="M79" i="7"/>
  <c r="N79" i="7"/>
  <c r="D80" i="7"/>
  <c r="C79" i="7"/>
  <c r="I79" i="7" s="1"/>
  <c r="E79" i="7"/>
  <c r="H79" i="7" s="1"/>
  <c r="B79" i="7"/>
  <c r="F79" i="7" s="1"/>
  <c r="G79" i="7"/>
  <c r="K80" i="7"/>
  <c r="L80" i="7" s="1"/>
  <c r="J81" i="7"/>
  <c r="GM104" i="5" l="1"/>
  <c r="GI104" i="5"/>
  <c r="GJ104" i="5"/>
  <c r="GK104" i="5"/>
  <c r="GH104" i="5"/>
  <c r="W105" i="5"/>
  <c r="GL105" i="5" s="1"/>
  <c r="BH118" i="5"/>
  <c r="BI117" i="5" s="1"/>
  <c r="BJ116" i="5" s="1"/>
  <c r="BK115" i="5" s="1"/>
  <c r="BL114" i="5" s="1"/>
  <c r="BM113" i="5" s="1"/>
  <c r="BN112" i="5" s="1"/>
  <c r="BO111" i="5" s="1"/>
  <c r="BP110" i="5" s="1"/>
  <c r="BQ109" i="5" s="1"/>
  <c r="BR108" i="5" s="1"/>
  <c r="BS107" i="5" s="1"/>
  <c r="BT106" i="5" s="1"/>
  <c r="BU105" i="5" s="1"/>
  <c r="BV104" i="5" s="1"/>
  <c r="BW102" i="5"/>
  <c r="GN103" i="5"/>
  <c r="BY98" i="5"/>
  <c r="GP99" i="5"/>
  <c r="BX100" i="5"/>
  <c r="GO101" i="5"/>
  <c r="CA94" i="5"/>
  <c r="GR95" i="5"/>
  <c r="BZ96" i="5"/>
  <c r="GQ97" i="5"/>
  <c r="CB92" i="5"/>
  <c r="GT92" i="5" s="1"/>
  <c r="GS93" i="5"/>
  <c r="Y105" i="5"/>
  <c r="CY116" i="5"/>
  <c r="DB110" i="5"/>
  <c r="DA112" i="5"/>
  <c r="DC108" i="5"/>
  <c r="DE104" i="5"/>
  <c r="CZ114" i="5"/>
  <c r="DD106" i="5"/>
  <c r="H120" i="5"/>
  <c r="I121" i="5" s="1"/>
  <c r="P120" i="5"/>
  <c r="R119" i="5"/>
  <c r="CX118" i="5" s="1"/>
  <c r="M80" i="7"/>
  <c r="N80" i="7"/>
  <c r="D81" i="7"/>
  <c r="E80" i="7"/>
  <c r="H80" i="7" s="1"/>
  <c r="B80" i="7"/>
  <c r="F80" i="7" s="1"/>
  <c r="C80" i="7"/>
  <c r="I80" i="7" s="1"/>
  <c r="G80" i="7"/>
  <c r="K81" i="7"/>
  <c r="L81" i="7" s="1"/>
  <c r="J82" i="7"/>
  <c r="GI105" i="5" l="1"/>
  <c r="GK105" i="5"/>
  <c r="GH105" i="5"/>
  <c r="GJ105" i="5"/>
  <c r="BW103" i="5"/>
  <c r="GN104" i="5"/>
  <c r="W106" i="5"/>
  <c r="Y106" i="5" s="1"/>
  <c r="BH119" i="5"/>
  <c r="BI118" i="5" s="1"/>
  <c r="BJ117" i="5" s="1"/>
  <c r="BK116" i="5" s="1"/>
  <c r="BL115" i="5" s="1"/>
  <c r="BM114" i="5" s="1"/>
  <c r="BN113" i="5" s="1"/>
  <c r="BO112" i="5" s="1"/>
  <c r="BP111" i="5" s="1"/>
  <c r="BQ110" i="5" s="1"/>
  <c r="BR109" i="5" s="1"/>
  <c r="BS108" i="5" s="1"/>
  <c r="BT107" i="5" s="1"/>
  <c r="BU106" i="5" s="1"/>
  <c r="BV105" i="5" s="1"/>
  <c r="GM105" i="5"/>
  <c r="CA95" i="5"/>
  <c r="GR96" i="5"/>
  <c r="CB93" i="5"/>
  <c r="GT93" i="5" s="1"/>
  <c r="GS94" i="5"/>
  <c r="BY99" i="5"/>
  <c r="GP100" i="5"/>
  <c r="BZ97" i="5"/>
  <c r="GQ98" i="5"/>
  <c r="BX101" i="5"/>
  <c r="GO102" i="5"/>
  <c r="DE105" i="5"/>
  <c r="DA113" i="5"/>
  <c r="DC109" i="5"/>
  <c r="CY117" i="5"/>
  <c r="DD107" i="5"/>
  <c r="DB111" i="5"/>
  <c r="CZ115" i="5"/>
  <c r="R120" i="5"/>
  <c r="CX119" i="5" s="1"/>
  <c r="H121" i="5"/>
  <c r="I122" i="5" s="1"/>
  <c r="P121" i="5"/>
  <c r="N81" i="7"/>
  <c r="M81" i="7"/>
  <c r="D82" i="7"/>
  <c r="C81" i="7"/>
  <c r="I81" i="7" s="1"/>
  <c r="G81" i="7"/>
  <c r="B81" i="7"/>
  <c r="F81" i="7" s="1"/>
  <c r="E81" i="7"/>
  <c r="H81" i="7" s="1"/>
  <c r="K82" i="7"/>
  <c r="L82" i="7" s="1"/>
  <c r="J83" i="7"/>
  <c r="GL106" i="5" l="1"/>
  <c r="GH106" i="5"/>
  <c r="GK106" i="5"/>
  <c r="GJ106" i="5"/>
  <c r="GI106" i="5"/>
  <c r="GM106" i="5"/>
  <c r="BY100" i="5"/>
  <c r="GP101" i="5"/>
  <c r="CA96" i="5"/>
  <c r="GR97" i="5"/>
  <c r="BZ98" i="5"/>
  <c r="GQ99" i="5"/>
  <c r="CB94" i="5"/>
  <c r="GT94" i="5" s="1"/>
  <c r="GS95" i="5"/>
  <c r="BW104" i="5"/>
  <c r="GN105" i="5"/>
  <c r="W107" i="5"/>
  <c r="GL107" i="5" s="1"/>
  <c r="BH120" i="5"/>
  <c r="BI119" i="5" s="1"/>
  <c r="BJ118" i="5" s="1"/>
  <c r="BK117" i="5" s="1"/>
  <c r="BL116" i="5" s="1"/>
  <c r="BM115" i="5" s="1"/>
  <c r="BN114" i="5" s="1"/>
  <c r="BO113" i="5" s="1"/>
  <c r="BP112" i="5" s="1"/>
  <c r="BQ111" i="5" s="1"/>
  <c r="BR110" i="5" s="1"/>
  <c r="BS109" i="5" s="1"/>
  <c r="BT108" i="5" s="1"/>
  <c r="BU107" i="5" s="1"/>
  <c r="BV106" i="5" s="1"/>
  <c r="BX102" i="5"/>
  <c r="GO103" i="5"/>
  <c r="Y107" i="5"/>
  <c r="DD108" i="5"/>
  <c r="DB112" i="5"/>
  <c r="CY118" i="5"/>
  <c r="DA114" i="5"/>
  <c r="DC110" i="5"/>
  <c r="DE106" i="5"/>
  <c r="CZ116" i="5"/>
  <c r="R121" i="5"/>
  <c r="CX120" i="5" s="1"/>
  <c r="H122" i="5"/>
  <c r="I123" i="5" s="1"/>
  <c r="P122" i="5"/>
  <c r="M82" i="7"/>
  <c r="N82" i="7"/>
  <c r="D83" i="7"/>
  <c r="C82" i="7"/>
  <c r="I82" i="7" s="1"/>
  <c r="E82" i="7"/>
  <c r="H82" i="7" s="1"/>
  <c r="G82" i="7"/>
  <c r="B82" i="7"/>
  <c r="F82" i="7" s="1"/>
  <c r="K83" i="7"/>
  <c r="L83" i="7" s="1"/>
  <c r="J84" i="7"/>
  <c r="GI107" i="5" l="1"/>
  <c r="GK107" i="5"/>
  <c r="GH107" i="5"/>
  <c r="GJ107" i="5"/>
  <c r="W108" i="5"/>
  <c r="Y108" i="5" s="1"/>
  <c r="BH121" i="5"/>
  <c r="BI120" i="5" s="1"/>
  <c r="BJ119" i="5" s="1"/>
  <c r="BK118" i="5" s="1"/>
  <c r="BL117" i="5" s="1"/>
  <c r="BM116" i="5" s="1"/>
  <c r="BN115" i="5" s="1"/>
  <c r="BO114" i="5" s="1"/>
  <c r="BP113" i="5" s="1"/>
  <c r="BQ112" i="5" s="1"/>
  <c r="BR111" i="5" s="1"/>
  <c r="BS110" i="5" s="1"/>
  <c r="BT109" i="5" s="1"/>
  <c r="BU108" i="5" s="1"/>
  <c r="BV107" i="5" s="1"/>
  <c r="BW105" i="5"/>
  <c r="GN106" i="5"/>
  <c r="GM107" i="5"/>
  <c r="BY101" i="5"/>
  <c r="GP102" i="5"/>
  <c r="BX103" i="5"/>
  <c r="GO104" i="5"/>
  <c r="CA97" i="5"/>
  <c r="GR98" i="5"/>
  <c r="CB95" i="5"/>
  <c r="GT95" i="5" s="1"/>
  <c r="GS96" i="5"/>
  <c r="BZ99" i="5"/>
  <c r="GQ100" i="5"/>
  <c r="DC111" i="5"/>
  <c r="DE107" i="5"/>
  <c r="CY119" i="5"/>
  <c r="DA115" i="5"/>
  <c r="DD109" i="5"/>
  <c r="DB113" i="5"/>
  <c r="CZ117" i="5"/>
  <c r="R122" i="5"/>
  <c r="CX121" i="5" s="1"/>
  <c r="P123" i="5"/>
  <c r="H123" i="5"/>
  <c r="I124" i="5" s="1"/>
  <c r="M83" i="7"/>
  <c r="N83" i="7"/>
  <c r="D84" i="7"/>
  <c r="C83" i="7"/>
  <c r="I83" i="7" s="1"/>
  <c r="G83" i="7"/>
  <c r="B83" i="7"/>
  <c r="F83" i="7" s="1"/>
  <c r="E83" i="7"/>
  <c r="H83" i="7" s="1"/>
  <c r="K84" i="7"/>
  <c r="L84" i="7" s="1"/>
  <c r="J85" i="7"/>
  <c r="GH108" i="5" l="1"/>
  <c r="GI108" i="5"/>
  <c r="GL108" i="5"/>
  <c r="GK108" i="5"/>
  <c r="GJ108" i="5"/>
  <c r="W109" i="5"/>
  <c r="Y109" i="5" s="1"/>
  <c r="BH122" i="5"/>
  <c r="BI121" i="5" s="1"/>
  <c r="BJ120" i="5" s="1"/>
  <c r="BK119" i="5" s="1"/>
  <c r="BL118" i="5" s="1"/>
  <c r="BM117" i="5" s="1"/>
  <c r="BN116" i="5" s="1"/>
  <c r="BO115" i="5" s="1"/>
  <c r="BP114" i="5" s="1"/>
  <c r="BQ113" i="5" s="1"/>
  <c r="BR112" i="5" s="1"/>
  <c r="BS111" i="5" s="1"/>
  <c r="BT110" i="5" s="1"/>
  <c r="BU109" i="5" s="1"/>
  <c r="BV108" i="5" s="1"/>
  <c r="CA98" i="5"/>
  <c r="GR99" i="5"/>
  <c r="CB96" i="5"/>
  <c r="GT96" i="5" s="1"/>
  <c r="GS97" i="5"/>
  <c r="BY102" i="5"/>
  <c r="GP103" i="5"/>
  <c r="BZ100" i="5"/>
  <c r="GQ101" i="5"/>
  <c r="BW106" i="5"/>
  <c r="GN107" i="5"/>
  <c r="GM108" i="5"/>
  <c r="BX104" i="5"/>
  <c r="GO105" i="5"/>
  <c r="CY120" i="5"/>
  <c r="DA116" i="5"/>
  <c r="DC112" i="5"/>
  <c r="DE108" i="5"/>
  <c r="DB114" i="5"/>
  <c r="CZ118" i="5"/>
  <c r="DD110" i="5"/>
  <c r="H124" i="5"/>
  <c r="I125" i="5" s="1"/>
  <c r="P124" i="5"/>
  <c r="R123" i="5"/>
  <c r="CX122" i="5" s="1"/>
  <c r="M84" i="7"/>
  <c r="N84" i="7"/>
  <c r="D85" i="7"/>
  <c r="G84" i="7"/>
  <c r="B84" i="7"/>
  <c r="F84" i="7" s="1"/>
  <c r="C84" i="7"/>
  <c r="I84" i="7" s="1"/>
  <c r="E84" i="7"/>
  <c r="H84" i="7" s="1"/>
  <c r="K85" i="7"/>
  <c r="L85" i="7" s="1"/>
  <c r="J86" i="7"/>
  <c r="GJ109" i="5" l="1"/>
  <c r="GH109" i="5"/>
  <c r="GL109" i="5"/>
  <c r="GI109" i="5"/>
  <c r="GK109" i="5"/>
  <c r="GM109" i="5"/>
  <c r="W110" i="5"/>
  <c r="GK110" i="5" s="1"/>
  <c r="BH123" i="5"/>
  <c r="BI122" i="5" s="1"/>
  <c r="BJ121" i="5" s="1"/>
  <c r="BK120" i="5" s="1"/>
  <c r="BL119" i="5" s="1"/>
  <c r="BM118" i="5" s="1"/>
  <c r="BN117" i="5" s="1"/>
  <c r="BO116" i="5" s="1"/>
  <c r="BP115" i="5" s="1"/>
  <c r="BQ114" i="5" s="1"/>
  <c r="BR113" i="5" s="1"/>
  <c r="BS112" i="5" s="1"/>
  <c r="BT111" i="5" s="1"/>
  <c r="BU110" i="5" s="1"/>
  <c r="BV109" i="5" s="1"/>
  <c r="BY103" i="5"/>
  <c r="GP104" i="5"/>
  <c r="BW107" i="5"/>
  <c r="GN108" i="5"/>
  <c r="BX105" i="5"/>
  <c r="GO106" i="5"/>
  <c r="CA99" i="5"/>
  <c r="GR100" i="5"/>
  <c r="BZ101" i="5"/>
  <c r="GQ102" i="5"/>
  <c r="CB97" i="5"/>
  <c r="GT97" i="5" s="1"/>
  <c r="GS98" i="5"/>
  <c r="Y110" i="5"/>
  <c r="DE109" i="5"/>
  <c r="DC113" i="5"/>
  <c r="CY121" i="5"/>
  <c r="DA117" i="5"/>
  <c r="DD111" i="5"/>
  <c r="DB115" i="5"/>
  <c r="CZ119" i="5"/>
  <c r="R124" i="5"/>
  <c r="CX123" i="5" s="1"/>
  <c r="P125" i="5"/>
  <c r="H125" i="5"/>
  <c r="I126" i="5" s="1"/>
  <c r="M85" i="7"/>
  <c r="N85" i="7"/>
  <c r="D86" i="7"/>
  <c r="C85" i="7"/>
  <c r="I85" i="7" s="1"/>
  <c r="G85" i="7"/>
  <c r="B85" i="7"/>
  <c r="F85" i="7" s="1"/>
  <c r="E85" i="7"/>
  <c r="H85" i="7" s="1"/>
  <c r="K86" i="7"/>
  <c r="L86" i="7" s="1"/>
  <c r="J87" i="7"/>
  <c r="GJ110" i="5" l="1"/>
  <c r="GI110" i="5"/>
  <c r="GH110" i="5"/>
  <c r="GL110" i="5"/>
  <c r="BW108" i="5"/>
  <c r="GN109" i="5"/>
  <c r="W111" i="5"/>
  <c r="Y111" i="5" s="1"/>
  <c r="BH124" i="5"/>
  <c r="BI123" i="5" s="1"/>
  <c r="BJ122" i="5" s="1"/>
  <c r="BK121" i="5" s="1"/>
  <c r="BL120" i="5" s="1"/>
  <c r="BM119" i="5" s="1"/>
  <c r="BN118" i="5" s="1"/>
  <c r="BO117" i="5" s="1"/>
  <c r="BP116" i="5" s="1"/>
  <c r="BQ115" i="5" s="1"/>
  <c r="BR114" i="5" s="1"/>
  <c r="BS113" i="5" s="1"/>
  <c r="BT112" i="5" s="1"/>
  <c r="BU111" i="5" s="1"/>
  <c r="BV110" i="5" s="1"/>
  <c r="GM110" i="5"/>
  <c r="CA100" i="5"/>
  <c r="GR101" i="5"/>
  <c r="CB98" i="5"/>
  <c r="GT98" i="5" s="1"/>
  <c r="GS99" i="5"/>
  <c r="BY104" i="5"/>
  <c r="GP105" i="5"/>
  <c r="BX106" i="5"/>
  <c r="GO107" i="5"/>
  <c r="BZ102" i="5"/>
  <c r="GQ103" i="5"/>
  <c r="CY122" i="5"/>
  <c r="DA118" i="5"/>
  <c r="DC114" i="5"/>
  <c r="DE110" i="5"/>
  <c r="DB116" i="5"/>
  <c r="CZ120" i="5"/>
  <c r="DD112" i="5"/>
  <c r="H126" i="5"/>
  <c r="I127" i="5" s="1"/>
  <c r="P126" i="5"/>
  <c r="R125" i="5"/>
  <c r="CX124" i="5" s="1"/>
  <c r="M86" i="7"/>
  <c r="N86" i="7"/>
  <c r="D87" i="7"/>
  <c r="C86" i="7"/>
  <c r="I86" i="7" s="1"/>
  <c r="E86" i="7"/>
  <c r="H86" i="7" s="1"/>
  <c r="B86" i="7"/>
  <c r="F86" i="7" s="1"/>
  <c r="G86" i="7"/>
  <c r="K87" i="7"/>
  <c r="L87" i="7" s="1"/>
  <c r="J88" i="7"/>
  <c r="GJ111" i="5" l="1"/>
  <c r="GH111" i="5"/>
  <c r="GL111" i="5"/>
  <c r="GI111" i="5"/>
  <c r="GK111" i="5"/>
  <c r="GM111" i="5"/>
  <c r="W112" i="5"/>
  <c r="GL112" i="5" s="1"/>
  <c r="BH125" i="5"/>
  <c r="BI124" i="5" s="1"/>
  <c r="BJ123" i="5" s="1"/>
  <c r="BK122" i="5" s="1"/>
  <c r="BL121" i="5" s="1"/>
  <c r="BM120" i="5" s="1"/>
  <c r="BN119" i="5" s="1"/>
  <c r="BO118" i="5" s="1"/>
  <c r="BP117" i="5" s="1"/>
  <c r="BQ116" i="5" s="1"/>
  <c r="BR115" i="5" s="1"/>
  <c r="BS114" i="5" s="1"/>
  <c r="BT113" i="5" s="1"/>
  <c r="BU112" i="5" s="1"/>
  <c r="BV111" i="5" s="1"/>
  <c r="CA101" i="5"/>
  <c r="GR102" i="5"/>
  <c r="BY105" i="5"/>
  <c r="GP106" i="5"/>
  <c r="BZ103" i="5"/>
  <c r="GQ104" i="5"/>
  <c r="CB99" i="5"/>
  <c r="GT99" i="5" s="1"/>
  <c r="GS100" i="5"/>
  <c r="BW109" i="5"/>
  <c r="GN110" i="5"/>
  <c r="BX107" i="5"/>
  <c r="GO108" i="5"/>
  <c r="Y112" i="5"/>
  <c r="CY123" i="5"/>
  <c r="DE111" i="5"/>
  <c r="DA119" i="5"/>
  <c r="DC115" i="5"/>
  <c r="DD113" i="5"/>
  <c r="DB117" i="5"/>
  <c r="CZ121" i="5"/>
  <c r="R126" i="5"/>
  <c r="CX125" i="5" s="1"/>
  <c r="H127" i="5"/>
  <c r="I128" i="5" s="1"/>
  <c r="P127" i="5"/>
  <c r="M87" i="7"/>
  <c r="N87" i="7"/>
  <c r="D88" i="7"/>
  <c r="C87" i="7"/>
  <c r="I87" i="7" s="1"/>
  <c r="B87" i="7"/>
  <c r="F87" i="7" s="1"/>
  <c r="E87" i="7"/>
  <c r="H87" i="7" s="1"/>
  <c r="G87" i="7"/>
  <c r="K88" i="7"/>
  <c r="L88" i="7" s="1"/>
  <c r="J89" i="7"/>
  <c r="GM112" i="5" l="1"/>
  <c r="GI112" i="5"/>
  <c r="GJ112" i="5"/>
  <c r="GK112" i="5"/>
  <c r="GH112" i="5"/>
  <c r="W113" i="5"/>
  <c r="GT113" i="5" s="1"/>
  <c r="BH126" i="5"/>
  <c r="BI125" i="5" s="1"/>
  <c r="BJ124" i="5" s="1"/>
  <c r="BK123" i="5" s="1"/>
  <c r="BL122" i="5" s="1"/>
  <c r="BM121" i="5" s="1"/>
  <c r="BN120" i="5" s="1"/>
  <c r="BO119" i="5" s="1"/>
  <c r="BP118" i="5" s="1"/>
  <c r="BQ117" i="5" s="1"/>
  <c r="BR116" i="5" s="1"/>
  <c r="BS115" i="5" s="1"/>
  <c r="BT114" i="5" s="1"/>
  <c r="BU113" i="5" s="1"/>
  <c r="BV112" i="5" s="1"/>
  <c r="BW110" i="5"/>
  <c r="GN111" i="5"/>
  <c r="BY106" i="5"/>
  <c r="GP107" i="5"/>
  <c r="BX108" i="5"/>
  <c r="GO109" i="5"/>
  <c r="CA102" i="5"/>
  <c r="GR103" i="5"/>
  <c r="BZ104" i="5"/>
  <c r="GQ105" i="5"/>
  <c r="CB100" i="5"/>
  <c r="GT100" i="5" s="1"/>
  <c r="GS101" i="5"/>
  <c r="Y113" i="5"/>
  <c r="CY124" i="5"/>
  <c r="DA120" i="5"/>
  <c r="DC116" i="5"/>
  <c r="DE112" i="5"/>
  <c r="DD114" i="5"/>
  <c r="DB118" i="5"/>
  <c r="CZ122" i="5"/>
  <c r="R127" i="5"/>
  <c r="CX126" i="5" s="1"/>
  <c r="H128" i="5"/>
  <c r="I129" i="5" s="1"/>
  <c r="P128" i="5"/>
  <c r="N88" i="7"/>
  <c r="M88" i="7"/>
  <c r="D89" i="7"/>
  <c r="G88" i="7"/>
  <c r="B88" i="7"/>
  <c r="F88" i="7" s="1"/>
  <c r="C88" i="7"/>
  <c r="I88" i="7" s="1"/>
  <c r="E88" i="7"/>
  <c r="H88" i="7" s="1"/>
  <c r="K89" i="7"/>
  <c r="L89" i="7" s="1"/>
  <c r="J90" i="7"/>
  <c r="GJ113" i="5" l="1"/>
  <c r="GH113" i="5"/>
  <c r="GL113" i="5"/>
  <c r="GI113" i="5"/>
  <c r="GK113" i="5"/>
  <c r="W114" i="5"/>
  <c r="Y114" i="5" s="1"/>
  <c r="BH127" i="5"/>
  <c r="BI126" i="5" s="1"/>
  <c r="BJ125" i="5" s="1"/>
  <c r="BK124" i="5" s="1"/>
  <c r="BL123" i="5" s="1"/>
  <c r="BM122" i="5" s="1"/>
  <c r="BN121" i="5" s="1"/>
  <c r="BO120" i="5" s="1"/>
  <c r="BP119" i="5" s="1"/>
  <c r="BQ118" i="5" s="1"/>
  <c r="BR117" i="5" s="1"/>
  <c r="BS116" i="5" s="1"/>
  <c r="BT115" i="5" s="1"/>
  <c r="BU114" i="5" s="1"/>
  <c r="BV113" i="5" s="1"/>
  <c r="BW111" i="5"/>
  <c r="GN112" i="5"/>
  <c r="GM113" i="5"/>
  <c r="CA103" i="5"/>
  <c r="GR104" i="5"/>
  <c r="CB101" i="5"/>
  <c r="GT101" i="5" s="1"/>
  <c r="GS102" i="5"/>
  <c r="BY107" i="5"/>
  <c r="GP108" i="5"/>
  <c r="BZ105" i="5"/>
  <c r="GQ106" i="5"/>
  <c r="BX109" i="5"/>
  <c r="GO110" i="5"/>
  <c r="CY125" i="5"/>
  <c r="DA121" i="5"/>
  <c r="DC117" i="5"/>
  <c r="DE113" i="5"/>
  <c r="DD115" i="5"/>
  <c r="DB119" i="5"/>
  <c r="CZ123" i="5"/>
  <c r="R128" i="5"/>
  <c r="CX127" i="5" s="1"/>
  <c r="H129" i="5"/>
  <c r="I130" i="5" s="1"/>
  <c r="P129" i="5"/>
  <c r="M89" i="7"/>
  <c r="N89" i="7"/>
  <c r="D90" i="7"/>
  <c r="C89" i="7"/>
  <c r="I89" i="7" s="1"/>
  <c r="E89" i="7"/>
  <c r="H89" i="7" s="1"/>
  <c r="G89" i="7"/>
  <c r="B89" i="7"/>
  <c r="F89" i="7" s="1"/>
  <c r="K90" i="7"/>
  <c r="L90" i="7" s="1"/>
  <c r="J91" i="7"/>
  <c r="GJ114" i="5" l="1"/>
  <c r="GK114" i="5"/>
  <c r="GT114" i="5"/>
  <c r="GS114" i="5"/>
  <c r="GH114" i="5"/>
  <c r="GL114" i="5"/>
  <c r="GI114" i="5"/>
  <c r="GM114" i="5"/>
  <c r="BY108" i="5"/>
  <c r="GP109" i="5"/>
  <c r="CA104" i="5"/>
  <c r="GR105" i="5"/>
  <c r="BZ106" i="5"/>
  <c r="GQ107" i="5"/>
  <c r="CB102" i="5"/>
  <c r="GT102" i="5" s="1"/>
  <c r="GS103" i="5"/>
  <c r="BW112" i="5"/>
  <c r="GN113" i="5"/>
  <c r="W115" i="5"/>
  <c r="GT115" i="5" s="1"/>
  <c r="BH128" i="5"/>
  <c r="BI127" i="5" s="1"/>
  <c r="BJ126" i="5" s="1"/>
  <c r="BK125" i="5" s="1"/>
  <c r="BL124" i="5" s="1"/>
  <c r="BM123" i="5" s="1"/>
  <c r="BN122" i="5" s="1"/>
  <c r="BO121" i="5" s="1"/>
  <c r="BP120" i="5" s="1"/>
  <c r="BQ119" i="5" s="1"/>
  <c r="BR118" i="5" s="1"/>
  <c r="BS117" i="5" s="1"/>
  <c r="BT116" i="5" s="1"/>
  <c r="BU115" i="5" s="1"/>
  <c r="BV114" i="5" s="1"/>
  <c r="BX110" i="5"/>
  <c r="GO111" i="5"/>
  <c r="Y115" i="5"/>
  <c r="CY126" i="5"/>
  <c r="DA122" i="5"/>
  <c r="DC118" i="5"/>
  <c r="DE114" i="5"/>
  <c r="DD116" i="5"/>
  <c r="DB120" i="5"/>
  <c r="CZ124" i="5"/>
  <c r="R129" i="5"/>
  <c r="CX128" i="5" s="1"/>
  <c r="H130" i="5"/>
  <c r="I131" i="5" s="1"/>
  <c r="P130" i="5"/>
  <c r="M90" i="7"/>
  <c r="N90" i="7"/>
  <c r="D91" i="7"/>
  <c r="C90" i="7"/>
  <c r="I90" i="7" s="1"/>
  <c r="G90" i="7"/>
  <c r="B90" i="7"/>
  <c r="F90" i="7" s="1"/>
  <c r="E90" i="7"/>
  <c r="H90" i="7" s="1"/>
  <c r="K91" i="7"/>
  <c r="L91" i="7" s="1"/>
  <c r="J92" i="7"/>
  <c r="GJ115" i="5" l="1"/>
  <c r="GH115" i="5"/>
  <c r="GL115" i="5"/>
  <c r="GI115" i="5"/>
  <c r="GK115" i="5"/>
  <c r="GS115" i="5"/>
  <c r="GR115" i="5"/>
  <c r="W116" i="5"/>
  <c r="Y116" i="5" s="1"/>
  <c r="BH129" i="5"/>
  <c r="BI128" i="5" s="1"/>
  <c r="BJ127" i="5" s="1"/>
  <c r="BK126" i="5" s="1"/>
  <c r="BL125" i="5" s="1"/>
  <c r="BM124" i="5" s="1"/>
  <c r="BN123" i="5" s="1"/>
  <c r="BO122" i="5" s="1"/>
  <c r="BP121" i="5" s="1"/>
  <c r="BQ120" i="5" s="1"/>
  <c r="BR119" i="5" s="1"/>
  <c r="BS118" i="5" s="1"/>
  <c r="BT117" i="5" s="1"/>
  <c r="BU116" i="5" s="1"/>
  <c r="BV115" i="5" s="1"/>
  <c r="BW113" i="5"/>
  <c r="GN114" i="5"/>
  <c r="GM115" i="5"/>
  <c r="BY109" i="5"/>
  <c r="GP110" i="5"/>
  <c r="BX111" i="5"/>
  <c r="GO112" i="5"/>
  <c r="CA105" i="5"/>
  <c r="GR106" i="5"/>
  <c r="CB103" i="5"/>
  <c r="GT103" i="5" s="1"/>
  <c r="GS104" i="5"/>
  <c r="BZ107" i="5"/>
  <c r="GQ108" i="5"/>
  <c r="DA123" i="5"/>
  <c r="DC119" i="5"/>
  <c r="CY127" i="5"/>
  <c r="DE115" i="5"/>
  <c r="DD117" i="5"/>
  <c r="DB121" i="5"/>
  <c r="CZ125" i="5"/>
  <c r="R130" i="5"/>
  <c r="CX129" i="5" s="1"/>
  <c r="H131" i="5"/>
  <c r="I132" i="5" s="1"/>
  <c r="P131" i="5"/>
  <c r="M91" i="7"/>
  <c r="N91" i="7"/>
  <c r="D92" i="7"/>
  <c r="C91" i="7"/>
  <c r="I91" i="7" s="1"/>
  <c r="E91" i="7"/>
  <c r="H91" i="7" s="1"/>
  <c r="B91" i="7"/>
  <c r="F91" i="7" s="1"/>
  <c r="G91" i="7"/>
  <c r="K92" i="7"/>
  <c r="L92" i="7" s="1"/>
  <c r="J93" i="7"/>
  <c r="GQ116" i="5" l="1"/>
  <c r="GL116" i="5"/>
  <c r="GI116" i="5"/>
  <c r="GH116" i="5"/>
  <c r="GT116" i="5"/>
  <c r="GK116" i="5"/>
  <c r="GS116" i="5"/>
  <c r="GJ116" i="5"/>
  <c r="GR116" i="5"/>
  <c r="CA106" i="5"/>
  <c r="GR107" i="5"/>
  <c r="CB104" i="5"/>
  <c r="GT104" i="5" s="1"/>
  <c r="GS105" i="5"/>
  <c r="BY110" i="5"/>
  <c r="GP111" i="5"/>
  <c r="BZ108" i="5"/>
  <c r="GQ109" i="5"/>
  <c r="BW114" i="5"/>
  <c r="GN115" i="5"/>
  <c r="W117" i="5"/>
  <c r="Y117" i="5" s="1"/>
  <c r="BH130" i="5"/>
  <c r="BI129" i="5" s="1"/>
  <c r="BJ128" i="5" s="1"/>
  <c r="BK127" i="5" s="1"/>
  <c r="BL126" i="5" s="1"/>
  <c r="BM125" i="5" s="1"/>
  <c r="BN124" i="5" s="1"/>
  <c r="BO123" i="5" s="1"/>
  <c r="BP122" i="5" s="1"/>
  <c r="BQ121" i="5" s="1"/>
  <c r="BR120" i="5" s="1"/>
  <c r="BS119" i="5" s="1"/>
  <c r="BT118" i="5" s="1"/>
  <c r="BU117" i="5" s="1"/>
  <c r="BV116" i="5" s="1"/>
  <c r="GM116" i="5"/>
  <c r="BX112" i="5"/>
  <c r="GO113" i="5"/>
  <c r="DD118" i="5"/>
  <c r="CY128" i="5"/>
  <c r="DA124" i="5"/>
  <c r="DC120" i="5"/>
  <c r="DE116" i="5"/>
  <c r="CZ126" i="5"/>
  <c r="DB122" i="5"/>
  <c r="R131" i="5"/>
  <c r="CX130" i="5" s="1"/>
  <c r="H132" i="5"/>
  <c r="I133" i="5" s="1"/>
  <c r="P132" i="5"/>
  <c r="M92" i="7"/>
  <c r="N92" i="7"/>
  <c r="D93" i="7"/>
  <c r="B92" i="7"/>
  <c r="F92" i="7" s="1"/>
  <c r="C92" i="7"/>
  <c r="I92" i="7" s="1"/>
  <c r="E92" i="7"/>
  <c r="H92" i="7" s="1"/>
  <c r="G92" i="7"/>
  <c r="K93" i="7"/>
  <c r="L93" i="7" s="1"/>
  <c r="J94" i="7"/>
  <c r="GL117" i="5" l="1"/>
  <c r="GH117" i="5"/>
  <c r="GR117" i="5"/>
  <c r="GJ117" i="5"/>
  <c r="GP117" i="5"/>
  <c r="GT117" i="5"/>
  <c r="GI117" i="5"/>
  <c r="GK117" i="5"/>
  <c r="GM117" i="5"/>
  <c r="GQ117" i="5"/>
  <c r="GS117" i="5"/>
  <c r="BY111" i="5"/>
  <c r="GP112" i="5"/>
  <c r="BW115" i="5"/>
  <c r="GN116" i="5"/>
  <c r="W118" i="5"/>
  <c r="GS118" i="5" s="1"/>
  <c r="BH131" i="5"/>
  <c r="BI130" i="5" s="1"/>
  <c r="BJ129" i="5" s="1"/>
  <c r="BK128" i="5" s="1"/>
  <c r="BL127" i="5" s="1"/>
  <c r="BM126" i="5" s="1"/>
  <c r="BN125" i="5" s="1"/>
  <c r="BO124" i="5" s="1"/>
  <c r="BP123" i="5" s="1"/>
  <c r="BQ122" i="5" s="1"/>
  <c r="BR121" i="5" s="1"/>
  <c r="BS120" i="5" s="1"/>
  <c r="BT119" i="5" s="1"/>
  <c r="BU118" i="5" s="1"/>
  <c r="BV117" i="5" s="1"/>
  <c r="BX113" i="5"/>
  <c r="GO114" i="5"/>
  <c r="CA107" i="5"/>
  <c r="GR108" i="5"/>
  <c r="BZ109" i="5"/>
  <c r="GQ110" i="5"/>
  <c r="CB105" i="5"/>
  <c r="GT105" i="5" s="1"/>
  <c r="GS106" i="5"/>
  <c r="Y118" i="5"/>
  <c r="DA125" i="5"/>
  <c r="CY129" i="5"/>
  <c r="DC121" i="5"/>
  <c r="DD119" i="5"/>
  <c r="DB123" i="5"/>
  <c r="CZ127" i="5"/>
  <c r="DE117" i="5"/>
  <c r="R132" i="5"/>
  <c r="CX131" i="5" s="1"/>
  <c r="H133" i="5"/>
  <c r="P133" i="5"/>
  <c r="M93" i="7"/>
  <c r="N93" i="7"/>
  <c r="D94" i="7"/>
  <c r="B93" i="7"/>
  <c r="F93" i="7" s="1"/>
  <c r="C93" i="7"/>
  <c r="I93" i="7" s="1"/>
  <c r="E93" i="7"/>
  <c r="H93" i="7" s="1"/>
  <c r="G93" i="7"/>
  <c r="K94" i="7"/>
  <c r="L94" i="7" s="1"/>
  <c r="J95" i="7"/>
  <c r="GP118" i="5" l="1"/>
  <c r="GK118" i="5"/>
  <c r="GJ118" i="5"/>
  <c r="GT118" i="5"/>
  <c r="GQ118" i="5"/>
  <c r="GH118" i="5"/>
  <c r="GL118" i="5"/>
  <c r="GR118" i="5"/>
  <c r="GI118" i="5"/>
  <c r="GO118" i="5"/>
  <c r="W127" i="5"/>
  <c r="Y127" i="5" s="1"/>
  <c r="BH132" i="5"/>
  <c r="BI131" i="5" s="1"/>
  <c r="BJ130" i="5" s="1"/>
  <c r="BK129" i="5" s="1"/>
  <c r="BL128" i="5" s="1"/>
  <c r="BM127" i="5" s="1"/>
  <c r="BN126" i="5" s="1"/>
  <c r="BO125" i="5" s="1"/>
  <c r="BP124" i="5" s="1"/>
  <c r="BQ123" i="5" s="1"/>
  <c r="BR122" i="5" s="1"/>
  <c r="BS121" i="5" s="1"/>
  <c r="BT120" i="5" s="1"/>
  <c r="BU119" i="5" s="1"/>
  <c r="BV118" i="5" s="1"/>
  <c r="BW116" i="5"/>
  <c r="GN117" i="5"/>
  <c r="GM118" i="5"/>
  <c r="CA108" i="5"/>
  <c r="GR109" i="5"/>
  <c r="CB106" i="5"/>
  <c r="GT106" i="5" s="1"/>
  <c r="GS107" i="5"/>
  <c r="BY112" i="5"/>
  <c r="GP113" i="5"/>
  <c r="BX114" i="5"/>
  <c r="GO115" i="5"/>
  <c r="BZ110" i="5"/>
  <c r="GQ111" i="5"/>
  <c r="CY130" i="5"/>
  <c r="DA126" i="5"/>
  <c r="DC122" i="5"/>
  <c r="DE118" i="5"/>
  <c r="DD120" i="5"/>
  <c r="CZ128" i="5"/>
  <c r="DB124" i="5"/>
  <c r="W119" i="5"/>
  <c r="W120" i="5"/>
  <c r="W121" i="5"/>
  <c r="W122" i="5"/>
  <c r="W123" i="5"/>
  <c r="W124" i="5"/>
  <c r="W125" i="5"/>
  <c r="R133" i="5"/>
  <c r="W126" i="5"/>
  <c r="S132" i="5"/>
  <c r="W128" i="5"/>
  <c r="M94" i="7"/>
  <c r="D95" i="7"/>
  <c r="N94" i="7"/>
  <c r="B94" i="7"/>
  <c r="F94" i="7" s="1"/>
  <c r="C94" i="7"/>
  <c r="I94" i="7" s="1"/>
  <c r="E94" i="7"/>
  <c r="H94" i="7" s="1"/>
  <c r="G94" i="7"/>
  <c r="K95" i="7"/>
  <c r="L95" i="7" s="1"/>
  <c r="J96" i="7"/>
  <c r="GN127" i="5" l="1"/>
  <c r="GJ127" i="5"/>
  <c r="GR127" i="5"/>
  <c r="GH127" i="5"/>
  <c r="GL127" i="5"/>
  <c r="GP127" i="5"/>
  <c r="GT127" i="5"/>
  <c r="GI127" i="5"/>
  <c r="GK127" i="5"/>
  <c r="GM127" i="5"/>
  <c r="GO127" i="5"/>
  <c r="GQ127" i="5"/>
  <c r="GS127" i="5"/>
  <c r="CA109" i="5"/>
  <c r="GR110" i="5"/>
  <c r="BY113" i="5"/>
  <c r="GP114" i="5"/>
  <c r="BZ111" i="5"/>
  <c r="GQ112" i="5"/>
  <c r="CB107" i="5"/>
  <c r="GT107" i="5" s="1"/>
  <c r="GS108" i="5"/>
  <c r="BW117" i="5"/>
  <c r="GN118" i="5"/>
  <c r="BX115" i="5"/>
  <c r="GO116" i="5"/>
  <c r="Y128" i="5"/>
  <c r="GT128" i="5"/>
  <c r="GR128" i="5"/>
  <c r="GP128" i="5"/>
  <c r="GN128" i="5"/>
  <c r="GL128" i="5"/>
  <c r="GJ128" i="5"/>
  <c r="GH128" i="5"/>
  <c r="GS128" i="5"/>
  <c r="GQ128" i="5"/>
  <c r="GO128" i="5"/>
  <c r="GM128" i="5"/>
  <c r="GK128" i="5"/>
  <c r="GI128" i="5"/>
  <c r="Y125" i="5"/>
  <c r="GT125" i="5"/>
  <c r="GS125" i="5"/>
  <c r="GR125" i="5"/>
  <c r="GQ125" i="5"/>
  <c r="GP125" i="5"/>
  <c r="GO125" i="5"/>
  <c r="GN125" i="5"/>
  <c r="GM125" i="5"/>
  <c r="GL125" i="5"/>
  <c r="GK125" i="5"/>
  <c r="GJ125" i="5"/>
  <c r="GI125" i="5"/>
  <c r="GH125" i="5"/>
  <c r="Y124" i="5"/>
  <c r="GT124" i="5"/>
  <c r="GR124" i="5"/>
  <c r="GP124" i="5"/>
  <c r="GN124" i="5"/>
  <c r="GL124" i="5"/>
  <c r="GJ124" i="5"/>
  <c r="GH124" i="5"/>
  <c r="GS124" i="5"/>
  <c r="GQ124" i="5"/>
  <c r="GO124" i="5"/>
  <c r="GM124" i="5"/>
  <c r="GK124" i="5"/>
  <c r="GI124" i="5"/>
  <c r="Y122" i="5"/>
  <c r="GS122" i="5"/>
  <c r="GQ122" i="5"/>
  <c r="GO122" i="5"/>
  <c r="GM122" i="5"/>
  <c r="GK122" i="5"/>
  <c r="GI122" i="5"/>
  <c r="GT122" i="5"/>
  <c r="GR122" i="5"/>
  <c r="GP122" i="5"/>
  <c r="GN122" i="5"/>
  <c r="GL122" i="5"/>
  <c r="GJ122" i="5"/>
  <c r="GH122" i="5"/>
  <c r="Y120" i="5"/>
  <c r="GT120" i="5"/>
  <c r="GR120" i="5"/>
  <c r="GP120" i="5"/>
  <c r="GN120" i="5"/>
  <c r="GL120" i="5"/>
  <c r="GJ120" i="5"/>
  <c r="GH120" i="5"/>
  <c r="GS120" i="5"/>
  <c r="GQ120" i="5"/>
  <c r="GO120" i="5"/>
  <c r="GM120" i="5"/>
  <c r="GK120" i="5"/>
  <c r="GI120" i="5"/>
  <c r="Y126" i="5"/>
  <c r="GS126" i="5"/>
  <c r="GQ126" i="5"/>
  <c r="GO126" i="5"/>
  <c r="GM126" i="5"/>
  <c r="GK126" i="5"/>
  <c r="GI126" i="5"/>
  <c r="GT126" i="5"/>
  <c r="GR126" i="5"/>
  <c r="GP126" i="5"/>
  <c r="GN126" i="5"/>
  <c r="GL126" i="5"/>
  <c r="GJ126" i="5"/>
  <c r="GH126" i="5"/>
  <c r="Y123" i="5"/>
  <c r="GT123" i="5"/>
  <c r="GS123" i="5"/>
  <c r="GR123" i="5"/>
  <c r="GQ123" i="5"/>
  <c r="GP123" i="5"/>
  <c r="GO123" i="5"/>
  <c r="GN123" i="5"/>
  <c r="GM123" i="5"/>
  <c r="GL123" i="5"/>
  <c r="GK123" i="5"/>
  <c r="GJ123" i="5"/>
  <c r="GI123" i="5"/>
  <c r="GH123" i="5"/>
  <c r="Y121" i="5"/>
  <c r="GT121" i="5"/>
  <c r="GS121" i="5"/>
  <c r="GR121" i="5"/>
  <c r="GQ121" i="5"/>
  <c r="GP121" i="5"/>
  <c r="GO121" i="5"/>
  <c r="GN121" i="5"/>
  <c r="GM121" i="5"/>
  <c r="GL121" i="5"/>
  <c r="GK121" i="5"/>
  <c r="GJ121" i="5"/>
  <c r="GI121" i="5"/>
  <c r="GH121" i="5"/>
  <c r="Y119" i="5"/>
  <c r="GT119" i="5"/>
  <c r="GS119" i="5"/>
  <c r="GR119" i="5"/>
  <c r="GQ119" i="5"/>
  <c r="GP119" i="5"/>
  <c r="GO119" i="5"/>
  <c r="GN119" i="5"/>
  <c r="GM119" i="5"/>
  <c r="GL119" i="5"/>
  <c r="GK119" i="5"/>
  <c r="GJ119" i="5"/>
  <c r="GI119" i="5"/>
  <c r="GH119" i="5"/>
  <c r="S130" i="5"/>
  <c r="CX132" i="5"/>
  <c r="DC123" i="5"/>
  <c r="DE119" i="5"/>
  <c r="DA127" i="5"/>
  <c r="DD121" i="5"/>
  <c r="DB125" i="5"/>
  <c r="CZ129" i="5"/>
  <c r="S126" i="5"/>
  <c r="S81" i="5"/>
  <c r="DO80" i="5" s="1"/>
  <c r="S76" i="5"/>
  <c r="DO75" i="5" s="1"/>
  <c r="S56" i="5"/>
  <c r="DO55" i="5" s="1"/>
  <c r="S104" i="5"/>
  <c r="S46" i="5"/>
  <c r="DO45" i="5" s="1"/>
  <c r="S121" i="5"/>
  <c r="S90" i="5"/>
  <c r="DO89" i="5" s="1"/>
  <c r="S62" i="5"/>
  <c r="DO61" i="5" s="1"/>
  <c r="S39" i="5"/>
  <c r="DO38" i="5" s="1"/>
  <c r="S108" i="5"/>
  <c r="S84" i="5"/>
  <c r="DO83" i="5" s="1"/>
  <c r="S115" i="5"/>
  <c r="Z108" i="5" s="1"/>
  <c r="S51" i="5"/>
  <c r="DO50" i="5" s="1"/>
  <c r="S88" i="5"/>
  <c r="DO87" i="5" s="1"/>
  <c r="S120" i="5"/>
  <c r="S57" i="5"/>
  <c r="DO56" i="5" s="1"/>
  <c r="S94" i="5"/>
  <c r="S29" i="5"/>
  <c r="DO28" i="5" s="1"/>
  <c r="S70" i="5"/>
  <c r="DO69" i="5" s="1"/>
  <c r="S109" i="5"/>
  <c r="S44" i="5"/>
  <c r="DO43" i="5" s="1"/>
  <c r="S78" i="5"/>
  <c r="DO77" i="5" s="1"/>
  <c r="S114" i="5"/>
  <c r="S50" i="5"/>
  <c r="DO49" i="5" s="1"/>
  <c r="S99" i="5"/>
  <c r="S66" i="5"/>
  <c r="DO65" i="5" s="1"/>
  <c r="S35" i="5"/>
  <c r="DO34" i="5" s="1"/>
  <c r="S103" i="5"/>
  <c r="S72" i="5"/>
  <c r="DO71" i="5" s="1"/>
  <c r="S40" i="5"/>
  <c r="DO39" i="5" s="1"/>
  <c r="S105" i="5"/>
  <c r="S74" i="5"/>
  <c r="DO73" i="5" s="1"/>
  <c r="S42" i="5"/>
  <c r="DO41" i="5" s="1"/>
  <c r="S110" i="5"/>
  <c r="S77" i="5"/>
  <c r="DO76" i="5" s="1"/>
  <c r="S45" i="5"/>
  <c r="DO44" i="5" s="1"/>
  <c r="S119" i="5"/>
  <c r="S86" i="5"/>
  <c r="DO85" i="5" s="1"/>
  <c r="S55" i="5"/>
  <c r="DO54" i="5" s="1"/>
  <c r="S124" i="5"/>
  <c r="S92" i="5"/>
  <c r="DO91" i="5" s="1"/>
  <c r="S60" i="5"/>
  <c r="DO59" i="5" s="1"/>
  <c r="S125" i="5"/>
  <c r="S93" i="5"/>
  <c r="S61" i="5"/>
  <c r="DO60" i="5" s="1"/>
  <c r="S31" i="5"/>
  <c r="DO30" i="5" s="1"/>
  <c r="S98" i="5"/>
  <c r="S67" i="5"/>
  <c r="DO66" i="5" s="1"/>
  <c r="S34" i="5"/>
  <c r="DO33" i="5" s="1"/>
  <c r="S123" i="5"/>
  <c r="S107" i="5"/>
  <c r="S91" i="5"/>
  <c r="DO90" i="5" s="1"/>
  <c r="S75" i="5"/>
  <c r="DO74" i="5" s="1"/>
  <c r="S59" i="5"/>
  <c r="DO58" i="5" s="1"/>
  <c r="S41" i="5"/>
  <c r="DO40" i="5" s="1"/>
  <c r="S128" i="5"/>
  <c r="S112" i="5"/>
  <c r="S96" i="5"/>
  <c r="S80" i="5"/>
  <c r="DO79" i="5" s="1"/>
  <c r="S64" i="5"/>
  <c r="DO63" i="5" s="1"/>
  <c r="S48" i="5"/>
  <c r="DO47" i="5" s="1"/>
  <c r="S32" i="5"/>
  <c r="DO31" i="5" s="1"/>
  <c r="S113" i="5"/>
  <c r="S97" i="5"/>
  <c r="S82" i="5"/>
  <c r="DO81" i="5" s="1"/>
  <c r="S65" i="5"/>
  <c r="DO64" i="5" s="1"/>
  <c r="S49" i="5"/>
  <c r="DO48" i="5" s="1"/>
  <c r="S33" i="5"/>
  <c r="DO32" i="5" s="1"/>
  <c r="S117" i="5"/>
  <c r="S102" i="5"/>
  <c r="S87" i="5"/>
  <c r="DO86" i="5" s="1"/>
  <c r="S71" i="5"/>
  <c r="DO70" i="5" s="1"/>
  <c r="S54" i="5"/>
  <c r="DO53" i="5" s="1"/>
  <c r="S38" i="5"/>
  <c r="DO37" i="5" s="1"/>
  <c r="S127" i="5"/>
  <c r="S111" i="5"/>
  <c r="S95" i="5"/>
  <c r="S79" i="5"/>
  <c r="DO78" i="5" s="1"/>
  <c r="S63" i="5"/>
  <c r="DO62" i="5" s="1"/>
  <c r="S47" i="5"/>
  <c r="DO46" i="5" s="1"/>
  <c r="S30" i="5"/>
  <c r="DO29" i="5" s="1"/>
  <c r="S116" i="5"/>
  <c r="S100" i="5"/>
  <c r="S85" i="5"/>
  <c r="DO84" i="5" s="1"/>
  <c r="S69" i="5"/>
  <c r="DO68" i="5" s="1"/>
  <c r="S52" i="5"/>
  <c r="DO51" i="5" s="1"/>
  <c r="S37" i="5"/>
  <c r="DO36" i="5" s="1"/>
  <c r="S118" i="5"/>
  <c r="S101" i="5"/>
  <c r="S83" i="5"/>
  <c r="DO82" i="5" s="1"/>
  <c r="S68" i="5"/>
  <c r="DO67" i="5" s="1"/>
  <c r="S53" i="5"/>
  <c r="DO52" i="5" s="1"/>
  <c r="S36" i="5"/>
  <c r="DO35" i="5" s="1"/>
  <c r="S122" i="5"/>
  <c r="S106" i="5"/>
  <c r="S89" i="5"/>
  <c r="DO88" i="5" s="1"/>
  <c r="S73" i="5"/>
  <c r="DO72" i="5" s="1"/>
  <c r="S58" i="5"/>
  <c r="DO57" i="5" s="1"/>
  <c r="S43" i="5"/>
  <c r="DO42" i="5" s="1"/>
  <c r="Z89" i="5"/>
  <c r="Z96" i="5"/>
  <c r="S133" i="5"/>
  <c r="S131" i="5"/>
  <c r="S28" i="5"/>
  <c r="S129" i="5"/>
  <c r="W129" i="5"/>
  <c r="M95" i="7"/>
  <c r="D96" i="7"/>
  <c r="N95" i="7"/>
  <c r="C95" i="7"/>
  <c r="I95" i="7" s="1"/>
  <c r="E95" i="7"/>
  <c r="H95" i="7" s="1"/>
  <c r="G95" i="7"/>
  <c r="B95" i="7"/>
  <c r="F95" i="7" s="1"/>
  <c r="K96" i="7"/>
  <c r="L96" i="7" s="1"/>
  <c r="J97" i="7"/>
  <c r="Z76" i="5" l="1"/>
  <c r="EJ76" i="5" s="1"/>
  <c r="Z38" i="5"/>
  <c r="EJ38" i="5" s="1"/>
  <c r="Z64" i="5"/>
  <c r="AA64" i="5" s="1"/>
  <c r="EJ89" i="5"/>
  <c r="EJ64" i="5"/>
  <c r="BY114" i="5"/>
  <c r="GP115" i="5"/>
  <c r="BX116" i="5"/>
  <c r="GO117" i="5"/>
  <c r="CA110" i="5"/>
  <c r="GR111" i="5"/>
  <c r="BZ112" i="5"/>
  <c r="GQ113" i="5"/>
  <c r="CB108" i="5"/>
  <c r="GT108" i="5" s="1"/>
  <c r="GS109" i="5"/>
  <c r="Y129" i="5"/>
  <c r="GT129" i="5"/>
  <c r="GS129" i="5"/>
  <c r="GR129" i="5"/>
  <c r="GQ129" i="5"/>
  <c r="GP129" i="5"/>
  <c r="GO129" i="5"/>
  <c r="GN129" i="5"/>
  <c r="GM129" i="5"/>
  <c r="GL129" i="5"/>
  <c r="GK129" i="5"/>
  <c r="GJ129" i="5"/>
  <c r="GI129" i="5"/>
  <c r="GH129" i="5"/>
  <c r="AA96" i="5"/>
  <c r="ER96" i="5"/>
  <c r="EU96" i="5"/>
  <c r="ES96" i="5"/>
  <c r="EW96" i="5"/>
  <c r="ET96" i="5"/>
  <c r="EV96" i="5"/>
  <c r="EX96" i="5"/>
  <c r="EY96" i="5"/>
  <c r="EZ96" i="5"/>
  <c r="FA96" i="5"/>
  <c r="FD96" i="5"/>
  <c r="FB96" i="5"/>
  <c r="FC96" i="5"/>
  <c r="II96" i="5" s="1"/>
  <c r="ET89" i="5"/>
  <c r="FB89" i="5"/>
  <c r="EN89" i="5"/>
  <c r="ER89" i="5"/>
  <c r="EV89" i="5"/>
  <c r="EP89" i="5"/>
  <c r="EX89" i="5"/>
  <c r="ES89" i="5"/>
  <c r="EQ89" i="5"/>
  <c r="EO89" i="5"/>
  <c r="EM89" i="5"/>
  <c r="EW89" i="5"/>
  <c r="EU89" i="5"/>
  <c r="EZ89" i="5"/>
  <c r="FD89" i="5"/>
  <c r="EY89" i="5"/>
  <c r="FA89" i="5"/>
  <c r="FC89" i="5"/>
  <c r="II89" i="5" s="1"/>
  <c r="Z53" i="5"/>
  <c r="AA53" i="5" s="1"/>
  <c r="Z84" i="5"/>
  <c r="EJ84" i="5" s="1"/>
  <c r="Z46" i="5"/>
  <c r="EJ46" i="5" s="1"/>
  <c r="Z78" i="5"/>
  <c r="EJ78" i="5" s="1"/>
  <c r="Z95" i="5"/>
  <c r="AA95" i="5" s="1"/>
  <c r="Z102" i="5"/>
  <c r="AA102" i="5" s="1"/>
  <c r="DC124" i="5"/>
  <c r="DE120" i="5"/>
  <c r="DB126" i="5"/>
  <c r="DD122" i="5"/>
  <c r="ES108" i="5"/>
  <c r="ER108" i="5"/>
  <c r="EU108" i="5"/>
  <c r="EW108" i="5"/>
  <c r="ET108" i="5"/>
  <c r="EV108" i="5"/>
  <c r="EX108" i="5"/>
  <c r="EY108" i="5"/>
  <c r="FA108" i="5"/>
  <c r="FC108" i="5"/>
  <c r="II108" i="5" s="1"/>
  <c r="EZ108" i="5"/>
  <c r="FB108" i="5"/>
  <c r="FD108" i="5"/>
  <c r="Z36" i="5"/>
  <c r="EJ36" i="5" s="1"/>
  <c r="Z56" i="5"/>
  <c r="AA56" i="5" s="1"/>
  <c r="Z49" i="5"/>
  <c r="AA49" i="5" s="1"/>
  <c r="Z75" i="5"/>
  <c r="EJ75" i="5" s="1"/>
  <c r="Z67" i="5"/>
  <c r="EJ67" i="5" s="1"/>
  <c r="Z85" i="5"/>
  <c r="EJ85" i="5" s="1"/>
  <c r="Z71" i="5"/>
  <c r="EJ71" i="5" s="1"/>
  <c r="Z39" i="5"/>
  <c r="AA39" i="5" s="1"/>
  <c r="DA128" i="5"/>
  <c r="CY131" i="5"/>
  <c r="Z120" i="5"/>
  <c r="Z29" i="5"/>
  <c r="AA29" i="5" s="1"/>
  <c r="AA120" i="5"/>
  <c r="Z30" i="5"/>
  <c r="AA30" i="5" s="1"/>
  <c r="Z41" i="5"/>
  <c r="AA41" i="5" s="1"/>
  <c r="Z74" i="5"/>
  <c r="EJ74" i="5" s="1"/>
  <c r="Z31" i="5"/>
  <c r="AA31" i="5" s="1"/>
  <c r="Z28" i="5"/>
  <c r="Z60" i="5"/>
  <c r="AA60" i="5" s="1"/>
  <c r="Z57" i="5"/>
  <c r="AA57" i="5" s="1"/>
  <c r="Z43" i="5"/>
  <c r="AA43" i="5" s="1"/>
  <c r="Z72" i="5"/>
  <c r="FD72" i="5" s="1"/>
  <c r="Z50" i="5"/>
  <c r="AA50" i="5" s="1"/>
  <c r="Z109" i="5"/>
  <c r="Z101" i="5"/>
  <c r="Z114" i="5"/>
  <c r="Z33" i="5"/>
  <c r="EJ33" i="5" s="1"/>
  <c r="Z70" i="5"/>
  <c r="AA70" i="5" s="1"/>
  <c r="Z116" i="5"/>
  <c r="Z79" i="5"/>
  <c r="EJ79" i="5" s="1"/>
  <c r="AA33" i="5"/>
  <c r="Z59" i="5"/>
  <c r="AA59" i="5" s="1"/>
  <c r="Z77" i="5"/>
  <c r="EJ77" i="5" s="1"/>
  <c r="Z32" i="5"/>
  <c r="AA32" i="5" s="1"/>
  <c r="Z51" i="5"/>
  <c r="AA51" i="5" s="1"/>
  <c r="Z87" i="5"/>
  <c r="EJ87" i="5" s="1"/>
  <c r="Z34" i="5"/>
  <c r="AA34" i="5" s="1"/>
  <c r="Z112" i="5"/>
  <c r="Z65" i="5"/>
  <c r="AA65" i="5" s="1"/>
  <c r="Z107" i="5"/>
  <c r="Z37" i="5"/>
  <c r="AA37" i="5" s="1"/>
  <c r="Z63" i="5"/>
  <c r="EJ63" i="5" s="1"/>
  <c r="Z44" i="5"/>
  <c r="EJ44" i="5" s="1"/>
  <c r="Z115" i="5"/>
  <c r="Z82" i="5"/>
  <c r="EJ82" i="5" s="1"/>
  <c r="AA63" i="5"/>
  <c r="AA44" i="5"/>
  <c r="Z99" i="5"/>
  <c r="Z93" i="5"/>
  <c r="AA114" i="5"/>
  <c r="Z94" i="5"/>
  <c r="AA72" i="5"/>
  <c r="Z100" i="5"/>
  <c r="Z48" i="5"/>
  <c r="AA48" i="5" s="1"/>
  <c r="Z47" i="5"/>
  <c r="AA47" i="5" s="1"/>
  <c r="Z80" i="5"/>
  <c r="EJ80" i="5" s="1"/>
  <c r="Z111" i="5"/>
  <c r="Z42" i="5"/>
  <c r="AA42" i="5" s="1"/>
  <c r="Z106" i="5"/>
  <c r="Z91" i="5"/>
  <c r="EK91" i="5" s="1"/>
  <c r="Z118" i="5"/>
  <c r="F5" i="5"/>
  <c r="Z105" i="5"/>
  <c r="Z97" i="5"/>
  <c r="Z92" i="5"/>
  <c r="Z88" i="5"/>
  <c r="EJ88" i="5" s="1"/>
  <c r="Z69" i="5"/>
  <c r="AA69" i="5" s="1"/>
  <c r="Z45" i="5"/>
  <c r="AA45" i="5" s="1"/>
  <c r="Z104" i="5"/>
  <c r="Z52" i="5"/>
  <c r="AA52" i="5" s="1"/>
  <c r="Z83" i="5"/>
  <c r="EJ83" i="5" s="1"/>
  <c r="Z110" i="5"/>
  <c r="Z103" i="5"/>
  <c r="AA110" i="5"/>
  <c r="Z117" i="5"/>
  <c r="AA108" i="5"/>
  <c r="Z62" i="5"/>
  <c r="AA62" i="5" s="1"/>
  <c r="AA89" i="5"/>
  <c r="Z73" i="5"/>
  <c r="EJ73" i="5" s="1"/>
  <c r="Z55" i="5"/>
  <c r="AA55" i="5" s="1"/>
  <c r="Z81" i="5"/>
  <c r="EJ81" i="5" s="1"/>
  <c r="Z113" i="5"/>
  <c r="Z40" i="5"/>
  <c r="AA40" i="5" s="1"/>
  <c r="Z35" i="5"/>
  <c r="AA35" i="5" s="1"/>
  <c r="Z66" i="5"/>
  <c r="AA66" i="5" s="1"/>
  <c r="Z98" i="5"/>
  <c r="Z61" i="5"/>
  <c r="AA61" i="5" s="1"/>
  <c r="Z68" i="5"/>
  <c r="AA68" i="5" s="1"/>
  <c r="Z58" i="5"/>
  <c r="AA58" i="5" s="1"/>
  <c r="Z90" i="5"/>
  <c r="EJ90" i="5" s="1"/>
  <c r="Z54" i="5"/>
  <c r="AA54" i="5" s="1"/>
  <c r="Z86" i="5"/>
  <c r="EJ86" i="5" s="1"/>
  <c r="Z121" i="5"/>
  <c r="Z128" i="5"/>
  <c r="Z125" i="5"/>
  <c r="Z119" i="5"/>
  <c r="Z123" i="5"/>
  <c r="T107" i="5"/>
  <c r="T50" i="5"/>
  <c r="T133" i="5"/>
  <c r="Z126" i="5"/>
  <c r="Z127" i="5"/>
  <c r="T132" i="5"/>
  <c r="T67" i="5"/>
  <c r="T84" i="5"/>
  <c r="T98" i="5"/>
  <c r="T31" i="5"/>
  <c r="T76" i="5"/>
  <c r="T92" i="5"/>
  <c r="T119" i="5"/>
  <c r="T62" i="5"/>
  <c r="T77" i="5"/>
  <c r="T94" i="5"/>
  <c r="T42" i="5"/>
  <c r="T57" i="5"/>
  <c r="T74" i="5"/>
  <c r="T90" i="5"/>
  <c r="T105" i="5"/>
  <c r="T56" i="5"/>
  <c r="T88" i="5"/>
  <c r="T51" i="5"/>
  <c r="T66" i="5"/>
  <c r="T81" i="5"/>
  <c r="T99" i="5"/>
  <c r="T58" i="5"/>
  <c r="T73" i="5"/>
  <c r="T89" i="5"/>
  <c r="T53" i="5"/>
  <c r="T83" i="5"/>
  <c r="T101" i="5"/>
  <c r="T69" i="5"/>
  <c r="T30" i="5"/>
  <c r="T111" i="5"/>
  <c r="T127" i="5"/>
  <c r="T38" i="5"/>
  <c r="T71" i="5"/>
  <c r="T87" i="5"/>
  <c r="T33" i="5"/>
  <c r="T113" i="5"/>
  <c r="T80" i="5"/>
  <c r="T96" i="5"/>
  <c r="T128" i="5"/>
  <c r="T41" i="5"/>
  <c r="T59" i="5"/>
  <c r="T75" i="5"/>
  <c r="T91" i="5"/>
  <c r="T129" i="5"/>
  <c r="Z122" i="5"/>
  <c r="T131" i="5"/>
  <c r="Z124" i="5"/>
  <c r="T34" i="5"/>
  <c r="T114" i="5"/>
  <c r="T46" i="5"/>
  <c r="T61" i="5"/>
  <c r="T78" i="5"/>
  <c r="T93" i="5"/>
  <c r="T108" i="5"/>
  <c r="T125" i="5"/>
  <c r="T44" i="5"/>
  <c r="T60" i="5"/>
  <c r="T109" i="5"/>
  <c r="T124" i="5"/>
  <c r="T39" i="5"/>
  <c r="T55" i="5"/>
  <c r="T70" i="5"/>
  <c r="T86" i="5"/>
  <c r="T104" i="5"/>
  <c r="T29" i="5"/>
  <c r="T45" i="5"/>
  <c r="T110" i="5"/>
  <c r="T126" i="5"/>
  <c r="T120" i="5"/>
  <c r="T40" i="5"/>
  <c r="T72" i="5"/>
  <c r="T103" i="5"/>
  <c r="T121" i="5"/>
  <c r="T35" i="5"/>
  <c r="T115" i="5"/>
  <c r="T123" i="5"/>
  <c r="T130" i="5"/>
  <c r="T43" i="5"/>
  <c r="T106" i="5"/>
  <c r="T122" i="5"/>
  <c r="T36" i="5"/>
  <c r="T68" i="5"/>
  <c r="T118" i="5"/>
  <c r="T37" i="5"/>
  <c r="T52" i="5"/>
  <c r="T85" i="5"/>
  <c r="T100" i="5"/>
  <c r="T116" i="5"/>
  <c r="T47" i="5"/>
  <c r="T63" i="5"/>
  <c r="T79" i="5"/>
  <c r="T95" i="5"/>
  <c r="T54" i="5"/>
  <c r="T102" i="5"/>
  <c r="T117" i="5"/>
  <c r="T49" i="5"/>
  <c r="T65" i="5"/>
  <c r="T82" i="5"/>
  <c r="T97" i="5"/>
  <c r="T32" i="5"/>
  <c r="T48" i="5"/>
  <c r="T64" i="5"/>
  <c r="T112" i="5"/>
  <c r="U133" i="5"/>
  <c r="AM132" i="5" s="1"/>
  <c r="AN131" i="5" s="1"/>
  <c r="AO130" i="5" s="1"/>
  <c r="AP129" i="5" s="1"/>
  <c r="AQ128" i="5" s="1"/>
  <c r="AR127" i="5" s="1"/>
  <c r="AS126" i="5" s="1"/>
  <c r="AT125" i="5" s="1"/>
  <c r="AU124" i="5" s="1"/>
  <c r="T28" i="5"/>
  <c r="W131" i="5"/>
  <c r="W132" i="5"/>
  <c r="W133" i="5"/>
  <c r="U30" i="5"/>
  <c r="AM29" i="5" s="1"/>
  <c r="U29" i="5"/>
  <c r="AM28" i="5" s="1"/>
  <c r="U31" i="5"/>
  <c r="AM30" i="5" s="1"/>
  <c r="U28" i="5"/>
  <c r="U32" i="5"/>
  <c r="AM31" i="5" s="1"/>
  <c r="U33" i="5"/>
  <c r="AM32" i="5" s="1"/>
  <c r="U34" i="5"/>
  <c r="AM33" i="5" s="1"/>
  <c r="U36" i="5"/>
  <c r="AM35" i="5" s="1"/>
  <c r="U35" i="5"/>
  <c r="AM34" i="5" s="1"/>
  <c r="U37" i="5"/>
  <c r="AM36" i="5" s="1"/>
  <c r="U38" i="5"/>
  <c r="AM37" i="5" s="1"/>
  <c r="U39" i="5"/>
  <c r="AM38" i="5" s="1"/>
  <c r="U41" i="5"/>
  <c r="AM40" i="5" s="1"/>
  <c r="U42" i="5"/>
  <c r="AM41" i="5" s="1"/>
  <c r="U40" i="5"/>
  <c r="AM39" i="5" s="1"/>
  <c r="U43" i="5"/>
  <c r="AM42" i="5" s="1"/>
  <c r="U45" i="5"/>
  <c r="AM44" i="5" s="1"/>
  <c r="U46" i="5"/>
  <c r="AM45" i="5" s="1"/>
  <c r="U44" i="5"/>
  <c r="AM43" i="5" s="1"/>
  <c r="U47" i="5"/>
  <c r="AM46" i="5" s="1"/>
  <c r="U49" i="5"/>
  <c r="AM48" i="5" s="1"/>
  <c r="U48" i="5"/>
  <c r="AM47" i="5" s="1"/>
  <c r="U51" i="5"/>
  <c r="AM50" i="5" s="1"/>
  <c r="U50" i="5"/>
  <c r="AM49" i="5" s="1"/>
  <c r="U53" i="5"/>
  <c r="AM52" i="5" s="1"/>
  <c r="U52" i="5"/>
  <c r="AM51" i="5" s="1"/>
  <c r="U54" i="5"/>
  <c r="AM53" i="5" s="1"/>
  <c r="U56" i="5"/>
  <c r="AM55" i="5" s="1"/>
  <c r="U55" i="5"/>
  <c r="AM54" i="5" s="1"/>
  <c r="U57" i="5"/>
  <c r="AM56" i="5" s="1"/>
  <c r="U58" i="5"/>
  <c r="AM57" i="5" s="1"/>
  <c r="U59" i="5"/>
  <c r="AM58" i="5" s="1"/>
  <c r="U60" i="5"/>
  <c r="AM59" i="5" s="1"/>
  <c r="U61" i="5"/>
  <c r="AM60" i="5" s="1"/>
  <c r="U62" i="5"/>
  <c r="AM61" i="5" s="1"/>
  <c r="U63" i="5"/>
  <c r="AM62" i="5" s="1"/>
  <c r="U64" i="5"/>
  <c r="AM63" i="5" s="1"/>
  <c r="U65" i="5"/>
  <c r="AM64" i="5" s="1"/>
  <c r="U66" i="5"/>
  <c r="AM65" i="5" s="1"/>
  <c r="U68" i="5"/>
  <c r="AM67" i="5" s="1"/>
  <c r="U67" i="5"/>
  <c r="AM66" i="5" s="1"/>
  <c r="U70" i="5"/>
  <c r="AM69" i="5" s="1"/>
  <c r="U69" i="5"/>
  <c r="AM68" i="5" s="1"/>
  <c r="U71" i="5"/>
  <c r="AM70" i="5" s="1"/>
  <c r="U75" i="5"/>
  <c r="AM74" i="5" s="1"/>
  <c r="U72" i="5"/>
  <c r="AM71" i="5" s="1"/>
  <c r="U73" i="5"/>
  <c r="AM72" i="5" s="1"/>
  <c r="U74" i="5"/>
  <c r="AM73" i="5" s="1"/>
  <c r="U76" i="5"/>
  <c r="AM75" i="5" s="1"/>
  <c r="U79" i="5"/>
  <c r="AM78" i="5" s="1"/>
  <c r="U77" i="5"/>
  <c r="AM76" i="5" s="1"/>
  <c r="U78" i="5"/>
  <c r="AM77" i="5" s="1"/>
  <c r="U81" i="5"/>
  <c r="AM80" i="5" s="1"/>
  <c r="U82" i="5"/>
  <c r="AM81" i="5" s="1"/>
  <c r="U80" i="5"/>
  <c r="AM79" i="5" s="1"/>
  <c r="U84" i="5"/>
  <c r="AM83" i="5" s="1"/>
  <c r="U83" i="5"/>
  <c r="AM82" i="5" s="1"/>
  <c r="U86" i="5"/>
  <c r="AM85" i="5" s="1"/>
  <c r="U85" i="5"/>
  <c r="AM84" i="5" s="1"/>
  <c r="U87" i="5"/>
  <c r="AM86" i="5" s="1"/>
  <c r="U88" i="5"/>
  <c r="AM87" i="5" s="1"/>
  <c r="U89" i="5"/>
  <c r="AM88" i="5" s="1"/>
  <c r="U91" i="5"/>
  <c r="AM90" i="5" s="1"/>
  <c r="U90" i="5"/>
  <c r="AM89" i="5" s="1"/>
  <c r="U92" i="5"/>
  <c r="AM91" i="5" s="1"/>
  <c r="U94" i="5"/>
  <c r="AM93" i="5" s="1"/>
  <c r="AN92" i="5" s="1"/>
  <c r="AO91" i="5" s="1"/>
  <c r="U93" i="5"/>
  <c r="AM92" i="5" s="1"/>
  <c r="AN91" i="5" s="1"/>
  <c r="U96" i="5"/>
  <c r="AM95" i="5" s="1"/>
  <c r="AN94" i="5" s="1"/>
  <c r="AO93" i="5" s="1"/>
  <c r="AP92" i="5" s="1"/>
  <c r="AQ91" i="5" s="1"/>
  <c r="U95" i="5"/>
  <c r="AM94" i="5" s="1"/>
  <c r="AN93" i="5" s="1"/>
  <c r="AO92" i="5" s="1"/>
  <c r="AP91" i="5" s="1"/>
  <c r="U99" i="5"/>
  <c r="AM98" i="5" s="1"/>
  <c r="AN97" i="5" s="1"/>
  <c r="AO96" i="5" s="1"/>
  <c r="AP95" i="5" s="1"/>
  <c r="AQ94" i="5" s="1"/>
  <c r="AR93" i="5" s="1"/>
  <c r="AS92" i="5" s="1"/>
  <c r="AT91" i="5" s="1"/>
  <c r="U97" i="5"/>
  <c r="AM96" i="5" s="1"/>
  <c r="AN95" i="5" s="1"/>
  <c r="AO94" i="5" s="1"/>
  <c r="AP93" i="5" s="1"/>
  <c r="AQ92" i="5" s="1"/>
  <c r="AR91" i="5" s="1"/>
  <c r="U98" i="5"/>
  <c r="AM97" i="5" s="1"/>
  <c r="AN96" i="5" s="1"/>
  <c r="AO95" i="5" s="1"/>
  <c r="AP94" i="5" s="1"/>
  <c r="AQ93" i="5" s="1"/>
  <c r="AR92" i="5" s="1"/>
  <c r="AS91" i="5" s="1"/>
  <c r="U101" i="5"/>
  <c r="AM100" i="5" s="1"/>
  <c r="AN99" i="5" s="1"/>
  <c r="AO98" i="5" s="1"/>
  <c r="AP97" i="5" s="1"/>
  <c r="AQ96" i="5" s="1"/>
  <c r="AR95" i="5" s="1"/>
  <c r="AS94" i="5" s="1"/>
  <c r="AT93" i="5" s="1"/>
  <c r="AU92" i="5" s="1"/>
  <c r="U100" i="5"/>
  <c r="AM99" i="5" s="1"/>
  <c r="AN98" i="5" s="1"/>
  <c r="AO97" i="5" s="1"/>
  <c r="AP96" i="5" s="1"/>
  <c r="AQ95" i="5" s="1"/>
  <c r="AR94" i="5" s="1"/>
  <c r="AS93" i="5" s="1"/>
  <c r="AT92" i="5" s="1"/>
  <c r="U104" i="5"/>
  <c r="AM103" i="5" s="1"/>
  <c r="AN102" i="5" s="1"/>
  <c r="AO101" i="5" s="1"/>
  <c r="AP100" i="5" s="1"/>
  <c r="AQ99" i="5" s="1"/>
  <c r="AR98" i="5" s="1"/>
  <c r="AS97" i="5" s="1"/>
  <c r="AT96" i="5" s="1"/>
  <c r="AU95" i="5" s="1"/>
  <c r="U103" i="5"/>
  <c r="AM102" i="5" s="1"/>
  <c r="AN101" i="5" s="1"/>
  <c r="AO100" i="5" s="1"/>
  <c r="AP99" i="5" s="1"/>
  <c r="AQ98" i="5" s="1"/>
  <c r="AR97" i="5" s="1"/>
  <c r="AS96" i="5" s="1"/>
  <c r="AT95" i="5" s="1"/>
  <c r="AU94" i="5" s="1"/>
  <c r="U102" i="5"/>
  <c r="AM101" i="5" s="1"/>
  <c r="AN100" i="5" s="1"/>
  <c r="AO99" i="5" s="1"/>
  <c r="AP98" i="5" s="1"/>
  <c r="AQ97" i="5" s="1"/>
  <c r="AR96" i="5" s="1"/>
  <c r="AS95" i="5" s="1"/>
  <c r="AT94" i="5" s="1"/>
  <c r="AU93" i="5" s="1"/>
  <c r="U105" i="5"/>
  <c r="AM104" i="5" s="1"/>
  <c r="AN103" i="5" s="1"/>
  <c r="AO102" i="5" s="1"/>
  <c r="AP101" i="5" s="1"/>
  <c r="AQ100" i="5" s="1"/>
  <c r="AR99" i="5" s="1"/>
  <c r="AS98" i="5" s="1"/>
  <c r="AT97" i="5" s="1"/>
  <c r="AU96" i="5" s="1"/>
  <c r="U106" i="5"/>
  <c r="AM105" i="5" s="1"/>
  <c r="AN104" i="5" s="1"/>
  <c r="AO103" i="5" s="1"/>
  <c r="AP102" i="5" s="1"/>
  <c r="AQ101" i="5" s="1"/>
  <c r="AR100" i="5" s="1"/>
  <c r="AS99" i="5" s="1"/>
  <c r="AT98" i="5" s="1"/>
  <c r="AU97" i="5" s="1"/>
  <c r="U107" i="5"/>
  <c r="AM106" i="5" s="1"/>
  <c r="AN105" i="5" s="1"/>
  <c r="AO104" i="5" s="1"/>
  <c r="AP103" i="5" s="1"/>
  <c r="AQ102" i="5" s="1"/>
  <c r="AR101" i="5" s="1"/>
  <c r="AS100" i="5" s="1"/>
  <c r="AT99" i="5" s="1"/>
  <c r="AU98" i="5" s="1"/>
  <c r="U108" i="5"/>
  <c r="AM107" i="5" s="1"/>
  <c r="AN106" i="5" s="1"/>
  <c r="AO105" i="5" s="1"/>
  <c r="AP104" i="5" s="1"/>
  <c r="AQ103" i="5" s="1"/>
  <c r="AR102" i="5" s="1"/>
  <c r="AS101" i="5" s="1"/>
  <c r="AT100" i="5" s="1"/>
  <c r="AU99" i="5" s="1"/>
  <c r="U110" i="5"/>
  <c r="AM109" i="5" s="1"/>
  <c r="AN108" i="5" s="1"/>
  <c r="AO107" i="5" s="1"/>
  <c r="AP106" i="5" s="1"/>
  <c r="AQ105" i="5" s="1"/>
  <c r="AR104" i="5" s="1"/>
  <c r="AS103" i="5" s="1"/>
  <c r="AT102" i="5" s="1"/>
  <c r="AU101" i="5" s="1"/>
  <c r="U109" i="5"/>
  <c r="AM108" i="5" s="1"/>
  <c r="AN107" i="5" s="1"/>
  <c r="AO106" i="5" s="1"/>
  <c r="AP105" i="5" s="1"/>
  <c r="AQ104" i="5" s="1"/>
  <c r="AR103" i="5" s="1"/>
  <c r="AS102" i="5" s="1"/>
  <c r="AT101" i="5" s="1"/>
  <c r="AU100" i="5" s="1"/>
  <c r="U111" i="5"/>
  <c r="AM110" i="5" s="1"/>
  <c r="AN109" i="5" s="1"/>
  <c r="AO108" i="5" s="1"/>
  <c r="AP107" i="5" s="1"/>
  <c r="AQ106" i="5" s="1"/>
  <c r="AR105" i="5" s="1"/>
  <c r="AS104" i="5" s="1"/>
  <c r="AT103" i="5" s="1"/>
  <c r="AU102" i="5" s="1"/>
  <c r="U112" i="5"/>
  <c r="AM111" i="5" s="1"/>
  <c r="AN110" i="5" s="1"/>
  <c r="AO109" i="5" s="1"/>
  <c r="AP108" i="5" s="1"/>
  <c r="AQ107" i="5" s="1"/>
  <c r="AR106" i="5" s="1"/>
  <c r="AS105" i="5" s="1"/>
  <c r="AT104" i="5" s="1"/>
  <c r="AU103" i="5" s="1"/>
  <c r="U113" i="5"/>
  <c r="AM112" i="5" s="1"/>
  <c r="AN111" i="5" s="1"/>
  <c r="AO110" i="5" s="1"/>
  <c r="AP109" i="5" s="1"/>
  <c r="AQ108" i="5" s="1"/>
  <c r="AR107" i="5" s="1"/>
  <c r="AS106" i="5" s="1"/>
  <c r="AT105" i="5" s="1"/>
  <c r="AU104" i="5" s="1"/>
  <c r="U114" i="5"/>
  <c r="AM113" i="5" s="1"/>
  <c r="AN112" i="5" s="1"/>
  <c r="AO111" i="5" s="1"/>
  <c r="AP110" i="5" s="1"/>
  <c r="AQ109" i="5" s="1"/>
  <c r="AR108" i="5" s="1"/>
  <c r="AS107" i="5" s="1"/>
  <c r="AT106" i="5" s="1"/>
  <c r="AU105" i="5" s="1"/>
  <c r="U116" i="5"/>
  <c r="AM115" i="5" s="1"/>
  <c r="AN114" i="5" s="1"/>
  <c r="AO113" i="5" s="1"/>
  <c r="AP112" i="5" s="1"/>
  <c r="AQ111" i="5" s="1"/>
  <c r="AR110" i="5" s="1"/>
  <c r="AS109" i="5" s="1"/>
  <c r="AT108" i="5" s="1"/>
  <c r="AU107" i="5" s="1"/>
  <c r="U115" i="5"/>
  <c r="AM114" i="5" s="1"/>
  <c r="AN113" i="5" s="1"/>
  <c r="AO112" i="5" s="1"/>
  <c r="AP111" i="5" s="1"/>
  <c r="AQ110" i="5" s="1"/>
  <c r="AR109" i="5" s="1"/>
  <c r="AS108" i="5" s="1"/>
  <c r="AT107" i="5" s="1"/>
  <c r="AU106" i="5" s="1"/>
  <c r="U119" i="5"/>
  <c r="AM118" i="5" s="1"/>
  <c r="AN117" i="5" s="1"/>
  <c r="AO116" i="5" s="1"/>
  <c r="AP115" i="5" s="1"/>
  <c r="AQ114" i="5" s="1"/>
  <c r="AR113" i="5" s="1"/>
  <c r="AS112" i="5" s="1"/>
  <c r="AT111" i="5" s="1"/>
  <c r="AU110" i="5" s="1"/>
  <c r="U118" i="5"/>
  <c r="AM117" i="5" s="1"/>
  <c r="AN116" i="5" s="1"/>
  <c r="AO115" i="5" s="1"/>
  <c r="AP114" i="5" s="1"/>
  <c r="AQ113" i="5" s="1"/>
  <c r="AR112" i="5" s="1"/>
  <c r="AS111" i="5" s="1"/>
  <c r="AT110" i="5" s="1"/>
  <c r="AU109" i="5" s="1"/>
  <c r="U117" i="5"/>
  <c r="AM116" i="5" s="1"/>
  <c r="AN115" i="5" s="1"/>
  <c r="AO114" i="5" s="1"/>
  <c r="AP113" i="5" s="1"/>
  <c r="AQ112" i="5" s="1"/>
  <c r="AR111" i="5" s="1"/>
  <c r="AS110" i="5" s="1"/>
  <c r="AT109" i="5" s="1"/>
  <c r="AU108" i="5" s="1"/>
  <c r="U121" i="5"/>
  <c r="AM120" i="5" s="1"/>
  <c r="AN119" i="5" s="1"/>
  <c r="AO118" i="5" s="1"/>
  <c r="AP117" i="5" s="1"/>
  <c r="AQ116" i="5" s="1"/>
  <c r="AR115" i="5" s="1"/>
  <c r="AS114" i="5" s="1"/>
  <c r="AT113" i="5" s="1"/>
  <c r="AU112" i="5" s="1"/>
  <c r="U122" i="5"/>
  <c r="AM121" i="5" s="1"/>
  <c r="AN120" i="5" s="1"/>
  <c r="AO119" i="5" s="1"/>
  <c r="AP118" i="5" s="1"/>
  <c r="AQ117" i="5" s="1"/>
  <c r="AR116" i="5" s="1"/>
  <c r="AS115" i="5" s="1"/>
  <c r="AT114" i="5" s="1"/>
  <c r="AU113" i="5" s="1"/>
  <c r="U120" i="5"/>
  <c r="AM119" i="5" s="1"/>
  <c r="AN118" i="5" s="1"/>
  <c r="AO117" i="5" s="1"/>
  <c r="AP116" i="5" s="1"/>
  <c r="AQ115" i="5" s="1"/>
  <c r="AR114" i="5" s="1"/>
  <c r="AS113" i="5" s="1"/>
  <c r="AT112" i="5" s="1"/>
  <c r="AU111" i="5" s="1"/>
  <c r="U123" i="5"/>
  <c r="AM122" i="5" s="1"/>
  <c r="AN121" i="5" s="1"/>
  <c r="AO120" i="5" s="1"/>
  <c r="AP119" i="5" s="1"/>
  <c r="AQ118" i="5" s="1"/>
  <c r="AR117" i="5" s="1"/>
  <c r="AS116" i="5" s="1"/>
  <c r="AT115" i="5" s="1"/>
  <c r="AU114" i="5" s="1"/>
  <c r="U124" i="5"/>
  <c r="AM123" i="5" s="1"/>
  <c r="AN122" i="5" s="1"/>
  <c r="AO121" i="5" s="1"/>
  <c r="AP120" i="5" s="1"/>
  <c r="AQ119" i="5" s="1"/>
  <c r="AR118" i="5" s="1"/>
  <c r="AS117" i="5" s="1"/>
  <c r="AT116" i="5" s="1"/>
  <c r="AU115" i="5" s="1"/>
  <c r="U125" i="5"/>
  <c r="AM124" i="5" s="1"/>
  <c r="AN123" i="5" s="1"/>
  <c r="AO122" i="5" s="1"/>
  <c r="AP121" i="5" s="1"/>
  <c r="AQ120" i="5" s="1"/>
  <c r="AR119" i="5" s="1"/>
  <c r="AS118" i="5" s="1"/>
  <c r="AT117" i="5" s="1"/>
  <c r="AU116" i="5" s="1"/>
  <c r="U126" i="5"/>
  <c r="AM125" i="5" s="1"/>
  <c r="AN124" i="5" s="1"/>
  <c r="AO123" i="5" s="1"/>
  <c r="AP122" i="5" s="1"/>
  <c r="AQ121" i="5" s="1"/>
  <c r="AR120" i="5" s="1"/>
  <c r="AS119" i="5" s="1"/>
  <c r="AT118" i="5" s="1"/>
  <c r="AU117" i="5" s="1"/>
  <c r="U127" i="5"/>
  <c r="AM126" i="5" s="1"/>
  <c r="AN125" i="5" s="1"/>
  <c r="AO124" i="5" s="1"/>
  <c r="AP123" i="5" s="1"/>
  <c r="AQ122" i="5" s="1"/>
  <c r="AR121" i="5" s="1"/>
  <c r="AS120" i="5" s="1"/>
  <c r="AT119" i="5" s="1"/>
  <c r="AU118" i="5" s="1"/>
  <c r="U128" i="5"/>
  <c r="AM127" i="5" s="1"/>
  <c r="AN126" i="5" s="1"/>
  <c r="AO125" i="5" s="1"/>
  <c r="AP124" i="5" s="1"/>
  <c r="AQ123" i="5" s="1"/>
  <c r="AR122" i="5" s="1"/>
  <c r="AS121" i="5" s="1"/>
  <c r="AT120" i="5" s="1"/>
  <c r="AU119" i="5" s="1"/>
  <c r="U130" i="5"/>
  <c r="AM129" i="5" s="1"/>
  <c r="AN128" i="5" s="1"/>
  <c r="AO127" i="5" s="1"/>
  <c r="AP126" i="5" s="1"/>
  <c r="AQ125" i="5" s="1"/>
  <c r="AR124" i="5" s="1"/>
  <c r="AS123" i="5" s="1"/>
  <c r="AT122" i="5" s="1"/>
  <c r="AU121" i="5" s="1"/>
  <c r="U131" i="5"/>
  <c r="AM130" i="5" s="1"/>
  <c r="AN129" i="5" s="1"/>
  <c r="AO128" i="5" s="1"/>
  <c r="AP127" i="5" s="1"/>
  <c r="AQ126" i="5" s="1"/>
  <c r="AR125" i="5" s="1"/>
  <c r="AS124" i="5" s="1"/>
  <c r="AT123" i="5" s="1"/>
  <c r="AU122" i="5" s="1"/>
  <c r="U129" i="5"/>
  <c r="AM128" i="5" s="1"/>
  <c r="AN127" i="5" s="1"/>
  <c r="AO126" i="5" s="1"/>
  <c r="AP125" i="5" s="1"/>
  <c r="AQ124" i="5" s="1"/>
  <c r="AR123" i="5" s="1"/>
  <c r="AS122" i="5" s="1"/>
  <c r="AT121" i="5" s="1"/>
  <c r="AU120" i="5" s="1"/>
  <c r="W130" i="5"/>
  <c r="U132" i="5"/>
  <c r="AM131" i="5" s="1"/>
  <c r="AN130" i="5" s="1"/>
  <c r="AO129" i="5" s="1"/>
  <c r="AP128" i="5" s="1"/>
  <c r="AQ127" i="5" s="1"/>
  <c r="AR126" i="5" s="1"/>
  <c r="AS125" i="5" s="1"/>
  <c r="AT124" i="5" s="1"/>
  <c r="AU123" i="5" s="1"/>
  <c r="Z129" i="5"/>
  <c r="N96" i="7"/>
  <c r="M96" i="7"/>
  <c r="D97" i="7"/>
  <c r="C96" i="7"/>
  <c r="I96" i="7" s="1"/>
  <c r="E96" i="7"/>
  <c r="H96" i="7" s="1"/>
  <c r="G96" i="7"/>
  <c r="B96" i="7"/>
  <c r="F96" i="7" s="1"/>
  <c r="K97" i="7"/>
  <c r="L97" i="7" s="1"/>
  <c r="J98" i="7"/>
  <c r="FD76" i="5" l="1"/>
  <c r="EZ76" i="5"/>
  <c r="FA76" i="5"/>
  <c r="FB76" i="5"/>
  <c r="FC76" i="5"/>
  <c r="II76" i="5" s="1"/>
  <c r="AA76" i="5"/>
  <c r="AA85" i="5"/>
  <c r="AA38" i="5"/>
  <c r="AA67" i="5"/>
  <c r="AA71" i="5"/>
  <c r="EJ59" i="5"/>
  <c r="AA46" i="5"/>
  <c r="EJ61" i="5"/>
  <c r="EJ58" i="5"/>
  <c r="EJ57" i="5"/>
  <c r="AA36" i="5"/>
  <c r="AA84" i="5"/>
  <c r="EJ49" i="5"/>
  <c r="EJ66" i="5"/>
  <c r="EJ31" i="5"/>
  <c r="EJ32" i="5"/>
  <c r="EJ54" i="5"/>
  <c r="EJ72" i="5"/>
  <c r="AV122" i="5"/>
  <c r="AV119" i="5"/>
  <c r="AV120" i="5"/>
  <c r="AV117" i="5"/>
  <c r="AV115" i="5"/>
  <c r="AV113" i="5"/>
  <c r="AV112" i="5"/>
  <c r="AV107" i="5"/>
  <c r="AV109" i="5"/>
  <c r="AV106" i="5"/>
  <c r="AV103" i="5"/>
  <c r="AV101" i="5"/>
  <c r="AV100" i="5"/>
  <c r="AV97" i="5"/>
  <c r="AV95" i="5"/>
  <c r="AV93" i="5"/>
  <c r="FX91" i="5"/>
  <c r="AU91" i="5"/>
  <c r="AT90" i="5"/>
  <c r="AU90" i="5"/>
  <c r="FX90" i="5"/>
  <c r="AR90" i="5"/>
  <c r="AP90" i="5"/>
  <c r="AN88" i="5"/>
  <c r="AN87" i="5"/>
  <c r="AN85" i="5"/>
  <c r="AN84" i="5"/>
  <c r="AN82" i="5"/>
  <c r="AN80" i="5"/>
  <c r="AN76" i="5"/>
  <c r="AN77" i="5"/>
  <c r="AN72" i="5"/>
  <c r="AN70" i="5"/>
  <c r="AN69" i="5"/>
  <c r="AN68" i="5"/>
  <c r="AN66" i="5"/>
  <c r="AN63" i="5"/>
  <c r="AN61" i="5"/>
  <c r="AN59" i="5"/>
  <c r="AN57" i="5"/>
  <c r="AN55" i="5"/>
  <c r="AN54" i="5"/>
  <c r="AN50" i="5"/>
  <c r="AN48" i="5"/>
  <c r="AN46" i="5"/>
  <c r="AN45" i="5"/>
  <c r="AN44" i="5"/>
  <c r="AN41" i="5"/>
  <c r="AN40" i="5"/>
  <c r="AN37" i="5"/>
  <c r="AN35" i="5"/>
  <c r="AN34" i="5"/>
  <c r="AN31" i="5"/>
  <c r="AV123" i="5"/>
  <c r="CA111" i="5"/>
  <c r="GR112" i="5"/>
  <c r="CB109" i="5"/>
  <c r="GT109" i="5" s="1"/>
  <c r="GS110" i="5"/>
  <c r="BY115" i="5"/>
  <c r="GP116" i="5"/>
  <c r="BZ113" i="5"/>
  <c r="FB113" i="5" s="1"/>
  <c r="GQ114" i="5"/>
  <c r="EJ56" i="5"/>
  <c r="EJ39" i="5"/>
  <c r="EJ37" i="5"/>
  <c r="EJ51" i="5"/>
  <c r="EJ52" i="5"/>
  <c r="EJ55" i="5"/>
  <c r="EJ50" i="5"/>
  <c r="EJ43" i="5"/>
  <c r="EJ60" i="5"/>
  <c r="EJ62" i="5"/>
  <c r="EJ68" i="5"/>
  <c r="AV121" i="5"/>
  <c r="AV118" i="5"/>
  <c r="AV116" i="5"/>
  <c r="AV114" i="5"/>
  <c r="AV110" i="5"/>
  <c r="AV111" i="5"/>
  <c r="AV108" i="5"/>
  <c r="AV105" i="5"/>
  <c r="AV104" i="5"/>
  <c r="AV102" i="5"/>
  <c r="AV99" i="5"/>
  <c r="AV98" i="5"/>
  <c r="AV96" i="5"/>
  <c r="AV92" i="5"/>
  <c r="AV94" i="5"/>
  <c r="AV91" i="5"/>
  <c r="AS90" i="5"/>
  <c r="AQ90" i="5"/>
  <c r="AO90" i="5"/>
  <c r="AN90" i="5"/>
  <c r="AN89" i="5"/>
  <c r="AN86" i="5"/>
  <c r="AN83" i="5"/>
  <c r="AN81" i="5"/>
  <c r="AN78" i="5"/>
  <c r="AN79" i="5"/>
  <c r="AN75" i="5"/>
  <c r="AN74" i="5"/>
  <c r="AN71" i="5"/>
  <c r="AN73" i="5"/>
  <c r="AN67" i="5"/>
  <c r="AN65" i="5"/>
  <c r="AN64" i="5"/>
  <c r="AN62" i="5"/>
  <c r="AN60" i="5"/>
  <c r="AN58" i="5"/>
  <c r="AN56" i="5"/>
  <c r="AN53" i="5"/>
  <c r="AN52" i="5"/>
  <c r="AN51" i="5"/>
  <c r="AN49" i="5"/>
  <c r="AN47" i="5"/>
  <c r="AN42" i="5"/>
  <c r="AN43" i="5"/>
  <c r="AN38" i="5"/>
  <c r="AN39" i="5"/>
  <c r="AN36" i="5"/>
  <c r="AN33" i="5"/>
  <c r="AN32" i="5"/>
  <c r="AN30" i="5"/>
  <c r="AN29" i="5"/>
  <c r="AN28" i="5"/>
  <c r="EJ65" i="5"/>
  <c r="EJ30" i="5"/>
  <c r="EJ70" i="5"/>
  <c r="EJ45" i="5"/>
  <c r="EJ69" i="5"/>
  <c r="EJ34" i="5"/>
  <c r="EJ41" i="5"/>
  <c r="EJ91" i="5"/>
  <c r="EJ40" i="5"/>
  <c r="EJ47" i="5"/>
  <c r="EJ48" i="5"/>
  <c r="EJ53" i="5"/>
  <c r="EJ29" i="5"/>
  <c r="EJ35" i="5"/>
  <c r="EJ42" i="5"/>
  <c r="Y132" i="5"/>
  <c r="GT132" i="5"/>
  <c r="GR132" i="5"/>
  <c r="GP132" i="5"/>
  <c r="GN132" i="5"/>
  <c r="GL132" i="5"/>
  <c r="GJ132" i="5"/>
  <c r="GH132" i="5"/>
  <c r="GS132" i="5"/>
  <c r="GQ132" i="5"/>
  <c r="GO132" i="5"/>
  <c r="GM132" i="5"/>
  <c r="GK132" i="5"/>
  <c r="GI132" i="5"/>
  <c r="AA28" i="5"/>
  <c r="EJ28" i="5"/>
  <c r="Y130" i="5"/>
  <c r="GS130" i="5"/>
  <c r="GQ130" i="5"/>
  <c r="GO130" i="5"/>
  <c r="GM130" i="5"/>
  <c r="GK130" i="5"/>
  <c r="GI130" i="5"/>
  <c r="GT130" i="5"/>
  <c r="GR130" i="5"/>
  <c r="GP130" i="5"/>
  <c r="GN130" i="5"/>
  <c r="GL130" i="5"/>
  <c r="GJ130" i="5"/>
  <c r="GH130" i="5"/>
  <c r="Y133" i="5"/>
  <c r="GT133" i="5"/>
  <c r="GS133" i="5"/>
  <c r="GR133" i="5"/>
  <c r="GQ133" i="5"/>
  <c r="GP133" i="5"/>
  <c r="GO133" i="5"/>
  <c r="GN133" i="5"/>
  <c r="GM133" i="5"/>
  <c r="GL133" i="5"/>
  <c r="GK133" i="5"/>
  <c r="GJ133" i="5"/>
  <c r="GI133" i="5"/>
  <c r="GH133" i="5"/>
  <c r="Y131" i="5"/>
  <c r="GT131" i="5"/>
  <c r="GS131" i="5"/>
  <c r="GR131" i="5"/>
  <c r="GQ131" i="5"/>
  <c r="GP131" i="5"/>
  <c r="GO131" i="5"/>
  <c r="GN131" i="5"/>
  <c r="GM131" i="5"/>
  <c r="GL131" i="5"/>
  <c r="GK131" i="5"/>
  <c r="GJ131" i="5"/>
  <c r="GI131" i="5"/>
  <c r="GH131" i="5"/>
  <c r="AA129" i="5"/>
  <c r="ES129" i="5"/>
  <c r="EW129" i="5"/>
  <c r="EU129" i="5"/>
  <c r="EY129" i="5"/>
  <c r="FC129" i="5"/>
  <c r="II129" i="5" s="1"/>
  <c r="ER129" i="5"/>
  <c r="ET129" i="5"/>
  <c r="EV129" i="5"/>
  <c r="EX129" i="5"/>
  <c r="FA129" i="5"/>
  <c r="EZ129" i="5"/>
  <c r="FD129" i="5"/>
  <c r="FB129" i="5"/>
  <c r="AA126" i="5"/>
  <c r="ER126" i="5"/>
  <c r="ES126" i="5"/>
  <c r="EX126" i="5"/>
  <c r="EW126" i="5"/>
  <c r="EY126" i="5"/>
  <c r="EV126" i="5"/>
  <c r="EZ126" i="5"/>
  <c r="EU126" i="5"/>
  <c r="FA126" i="5"/>
  <c r="ET126" i="5"/>
  <c r="FB126" i="5"/>
  <c r="FD126" i="5"/>
  <c r="FC126" i="5"/>
  <c r="II126" i="5" s="1"/>
  <c r="AA123" i="5"/>
  <c r="ER123" i="5"/>
  <c r="ES123" i="5"/>
  <c r="EU123" i="5"/>
  <c r="ET123" i="5"/>
  <c r="EV123" i="5"/>
  <c r="FB123" i="5"/>
  <c r="FA123" i="5"/>
  <c r="EW123" i="5"/>
  <c r="FC123" i="5"/>
  <c r="II123" i="5" s="1"/>
  <c r="EY123" i="5"/>
  <c r="FD123" i="5"/>
  <c r="EZ123" i="5"/>
  <c r="EX123" i="5"/>
  <c r="AA125" i="5"/>
  <c r="ER125" i="5"/>
  <c r="ES125" i="5"/>
  <c r="ET125" i="5"/>
  <c r="EZ125" i="5"/>
  <c r="EX125" i="5"/>
  <c r="FC125" i="5"/>
  <c r="II125" i="5" s="1"/>
  <c r="EY125" i="5"/>
  <c r="EU125" i="5"/>
  <c r="EV125" i="5"/>
  <c r="FB125" i="5"/>
  <c r="FA125" i="5"/>
  <c r="EW125" i="5"/>
  <c r="FD125" i="5"/>
  <c r="AA121" i="5"/>
  <c r="ES121" i="5"/>
  <c r="ER121" i="5"/>
  <c r="EW121" i="5"/>
  <c r="EU121" i="5"/>
  <c r="ET121" i="5"/>
  <c r="EV121" i="5"/>
  <c r="EX121" i="5"/>
  <c r="FA121" i="5"/>
  <c r="FC121" i="5"/>
  <c r="II121" i="5" s="1"/>
  <c r="EY121" i="5"/>
  <c r="FD121" i="5"/>
  <c r="EZ121" i="5"/>
  <c r="FB121" i="5"/>
  <c r="AA86" i="5"/>
  <c r="EQ86" i="5"/>
  <c r="EU86" i="5"/>
  <c r="EY86" i="5"/>
  <c r="ES86" i="5"/>
  <c r="EW86" i="5"/>
  <c r="FA86" i="5"/>
  <c r="EP86" i="5"/>
  <c r="ER86" i="5"/>
  <c r="ET86" i="5"/>
  <c r="EV86" i="5"/>
  <c r="EZ86" i="5"/>
  <c r="EX86" i="5"/>
  <c r="FC86" i="5"/>
  <c r="II86" i="5" s="1"/>
  <c r="FB86" i="5"/>
  <c r="FD86" i="5"/>
  <c r="AA90" i="5"/>
  <c r="EL90" i="5"/>
  <c r="EN90" i="5"/>
  <c r="EP90" i="5"/>
  <c r="ER90" i="5"/>
  <c r="EM90" i="5"/>
  <c r="EU90" i="5"/>
  <c r="EO90" i="5"/>
  <c r="EW90" i="5"/>
  <c r="EQ90" i="5"/>
  <c r="ES90" i="5"/>
  <c r="FA90" i="5"/>
  <c r="ET90" i="5"/>
  <c r="EV90" i="5"/>
  <c r="FC90" i="5"/>
  <c r="II90" i="5" s="1"/>
  <c r="EY90" i="5"/>
  <c r="EX90" i="5"/>
  <c r="EZ90" i="5"/>
  <c r="FB90" i="5"/>
  <c r="FD90" i="5"/>
  <c r="AA98" i="5"/>
  <c r="EU98" i="5"/>
  <c r="ER98" i="5"/>
  <c r="ES98" i="5"/>
  <c r="ET98" i="5"/>
  <c r="EV98" i="5"/>
  <c r="EW98" i="5"/>
  <c r="EY98" i="5"/>
  <c r="EX98" i="5"/>
  <c r="EZ98" i="5"/>
  <c r="FB98" i="5"/>
  <c r="FC98" i="5"/>
  <c r="II98" i="5" s="1"/>
  <c r="FA98" i="5"/>
  <c r="FD98" i="5"/>
  <c r="AA113" i="5"/>
  <c r="ER113" i="5"/>
  <c r="ES113" i="5"/>
  <c r="EZ113" i="5"/>
  <c r="EX113" i="5"/>
  <c r="EV113" i="5"/>
  <c r="ET113" i="5"/>
  <c r="EU113" i="5"/>
  <c r="EW113" i="5"/>
  <c r="FA113" i="5"/>
  <c r="EY113" i="5"/>
  <c r="FD113" i="5"/>
  <c r="EU110" i="5"/>
  <c r="ES110" i="5"/>
  <c r="ER110" i="5"/>
  <c r="ET110" i="5"/>
  <c r="EV110" i="5"/>
  <c r="EW110" i="5"/>
  <c r="EY110" i="5"/>
  <c r="FA110" i="5"/>
  <c r="FC110" i="5"/>
  <c r="EX110" i="5"/>
  <c r="EZ110" i="5"/>
  <c r="FB110" i="5"/>
  <c r="AA88" i="5"/>
  <c r="EU88" i="5"/>
  <c r="ES88" i="5"/>
  <c r="FC88" i="5"/>
  <c r="II88" i="5" s="1"/>
  <c r="EO88" i="5"/>
  <c r="EY88" i="5"/>
  <c r="EW88" i="5"/>
  <c r="EQ88" i="5"/>
  <c r="EN88" i="5"/>
  <c r="ET88" i="5"/>
  <c r="EP88" i="5"/>
  <c r="ER88" i="5"/>
  <c r="EX88" i="5"/>
  <c r="EV88" i="5"/>
  <c r="FA88" i="5"/>
  <c r="EZ88" i="5"/>
  <c r="FB88" i="5"/>
  <c r="FD88" i="5"/>
  <c r="AA97" i="5"/>
  <c r="ER97" i="5"/>
  <c r="EV97" i="5"/>
  <c r="ET97" i="5"/>
  <c r="ES97" i="5"/>
  <c r="EU97" i="5"/>
  <c r="EX97" i="5"/>
  <c r="EW97" i="5"/>
  <c r="EY97" i="5"/>
  <c r="EZ97" i="5"/>
  <c r="FA97" i="5"/>
  <c r="FC97" i="5"/>
  <c r="II97" i="5" s="1"/>
  <c r="FD97" i="5"/>
  <c r="FB97" i="5"/>
  <c r="AA91" i="5"/>
  <c r="EO91" i="5"/>
  <c r="EL91" i="5"/>
  <c r="ET91" i="5"/>
  <c r="EM91" i="5"/>
  <c r="EQ91" i="5"/>
  <c r="EP91" i="5"/>
  <c r="EU91" i="5"/>
  <c r="ES91" i="5"/>
  <c r="EX91" i="5"/>
  <c r="FB91" i="5"/>
  <c r="EW91" i="5"/>
  <c r="EY91" i="5"/>
  <c r="FA91" i="5"/>
  <c r="FD91" i="5"/>
  <c r="FC91" i="5"/>
  <c r="II91" i="5" s="1"/>
  <c r="EN91" i="5"/>
  <c r="ER91" i="5"/>
  <c r="EV91" i="5"/>
  <c r="EZ91" i="5"/>
  <c r="AA80" i="5"/>
  <c r="EY80" i="5"/>
  <c r="FC80" i="5"/>
  <c r="II80" i="5" s="1"/>
  <c r="EW80" i="5"/>
  <c r="FA80" i="5"/>
  <c r="EV80" i="5"/>
  <c r="EX80" i="5"/>
  <c r="EZ80" i="5"/>
  <c r="FB80" i="5"/>
  <c r="FD80" i="5"/>
  <c r="AA100" i="5"/>
  <c r="ER100" i="5"/>
  <c r="ES100" i="5"/>
  <c r="ET100" i="5"/>
  <c r="EU100" i="5"/>
  <c r="EW100" i="5"/>
  <c r="EV100" i="5"/>
  <c r="EZ100" i="5"/>
  <c r="EX100" i="5"/>
  <c r="EY100" i="5"/>
  <c r="FA100" i="5"/>
  <c r="FC100" i="5"/>
  <c r="II100" i="5" s="1"/>
  <c r="FB100" i="5"/>
  <c r="FD100" i="5"/>
  <c r="AA94" i="5"/>
  <c r="EU94" i="5"/>
  <c r="EY94" i="5"/>
  <c r="ER94" i="5"/>
  <c r="ES94" i="5"/>
  <c r="EW94" i="5"/>
  <c r="ET94" i="5"/>
  <c r="EV94" i="5"/>
  <c r="EX94" i="5"/>
  <c r="EZ94" i="5"/>
  <c r="FA94" i="5"/>
  <c r="FC94" i="5"/>
  <c r="II94" i="5" s="1"/>
  <c r="FB94" i="5"/>
  <c r="FD94" i="5"/>
  <c r="AA93" i="5"/>
  <c r="EX93" i="5"/>
  <c r="ES93" i="5"/>
  <c r="ER93" i="5"/>
  <c r="EZ93" i="5"/>
  <c r="ET93" i="5"/>
  <c r="EV93" i="5"/>
  <c r="EU93" i="5"/>
  <c r="EW93" i="5"/>
  <c r="EY93" i="5"/>
  <c r="FA93" i="5"/>
  <c r="FB93" i="5"/>
  <c r="FC93" i="5"/>
  <c r="II93" i="5" s="1"/>
  <c r="FD93" i="5"/>
  <c r="AA82" i="5"/>
  <c r="EY82" i="5"/>
  <c r="FC82" i="5"/>
  <c r="II82" i="5" s="1"/>
  <c r="EW82" i="5"/>
  <c r="EU82" i="5"/>
  <c r="FA82" i="5"/>
  <c r="ET82" i="5"/>
  <c r="EV82" i="5"/>
  <c r="EX82" i="5"/>
  <c r="EZ82" i="5"/>
  <c r="FD82" i="5"/>
  <c r="FB82" i="5"/>
  <c r="AA77" i="5"/>
  <c r="FD77" i="5"/>
  <c r="EZ77" i="5"/>
  <c r="FB77" i="5"/>
  <c r="FC77" i="5"/>
  <c r="II77" i="5" s="1"/>
  <c r="EY77" i="5"/>
  <c r="FA77" i="5"/>
  <c r="AA116" i="5"/>
  <c r="EU116" i="5"/>
  <c r="EX116" i="5"/>
  <c r="ES116" i="5"/>
  <c r="EW116" i="5"/>
  <c r="ER116" i="5"/>
  <c r="FB116" i="5"/>
  <c r="ET116" i="5"/>
  <c r="EV116" i="5"/>
  <c r="EZ116" i="5"/>
  <c r="EY116" i="5"/>
  <c r="FA116" i="5"/>
  <c r="FC116" i="5"/>
  <c r="II116" i="5" s="1"/>
  <c r="FD116" i="5"/>
  <c r="AA101" i="5"/>
  <c r="ER101" i="5"/>
  <c r="ET101" i="5"/>
  <c r="ES101" i="5"/>
  <c r="EU101" i="5"/>
  <c r="EV101" i="5"/>
  <c r="EW101" i="5"/>
  <c r="EY101" i="5"/>
  <c r="EZ101" i="5"/>
  <c r="EX101" i="5"/>
  <c r="FB101" i="5"/>
  <c r="FD101" i="5"/>
  <c r="FA101" i="5"/>
  <c r="FC101" i="5"/>
  <c r="II101" i="5" s="1"/>
  <c r="AA74" i="5"/>
  <c r="FD74" i="5"/>
  <c r="FB74" i="5"/>
  <c r="FC74" i="5"/>
  <c r="II74" i="5" s="1"/>
  <c r="EZ85" i="5"/>
  <c r="EV85" i="5"/>
  <c r="ER85" i="5"/>
  <c r="EX85" i="5"/>
  <c r="EW85" i="5"/>
  <c r="EU85" i="5"/>
  <c r="ES85" i="5"/>
  <c r="EQ85" i="5"/>
  <c r="FA85" i="5"/>
  <c r="EY85" i="5"/>
  <c r="FD85" i="5"/>
  <c r="FC85" i="5"/>
  <c r="II85" i="5" s="1"/>
  <c r="ET85" i="5"/>
  <c r="FB85" i="5"/>
  <c r="AA78" i="5"/>
  <c r="EY78" i="5"/>
  <c r="FA78" i="5"/>
  <c r="FC78" i="5"/>
  <c r="II78" i="5" s="1"/>
  <c r="FD78" i="5"/>
  <c r="EX78" i="5"/>
  <c r="FB78" i="5"/>
  <c r="EZ78" i="5"/>
  <c r="AB33" i="5"/>
  <c r="AA124" i="5"/>
  <c r="ET124" i="5"/>
  <c r="ER124" i="5"/>
  <c r="ES124" i="5"/>
  <c r="EU124" i="5"/>
  <c r="FD124" i="5"/>
  <c r="FA124" i="5"/>
  <c r="EX124" i="5"/>
  <c r="FB124" i="5"/>
  <c r="FC124" i="5"/>
  <c r="II124" i="5" s="1"/>
  <c r="EW124" i="5"/>
  <c r="EV124" i="5"/>
  <c r="EZ124" i="5"/>
  <c r="EY124" i="5"/>
  <c r="AA122" i="5"/>
  <c r="ER122" i="5"/>
  <c r="ET122" i="5"/>
  <c r="EV122" i="5"/>
  <c r="ES122" i="5"/>
  <c r="EU122" i="5"/>
  <c r="EW122" i="5"/>
  <c r="FD122" i="5"/>
  <c r="FA122" i="5"/>
  <c r="EY122" i="5"/>
  <c r="FC122" i="5"/>
  <c r="II122" i="5" s="1"/>
  <c r="EZ122" i="5"/>
  <c r="EX122" i="5"/>
  <c r="FB122" i="5"/>
  <c r="AA127" i="5"/>
  <c r="ER127" i="5"/>
  <c r="EX127" i="5"/>
  <c r="ET127" i="5"/>
  <c r="FA127" i="5"/>
  <c r="EW127" i="5"/>
  <c r="ES127" i="5"/>
  <c r="EY127" i="5"/>
  <c r="EU127" i="5"/>
  <c r="EZ127" i="5"/>
  <c r="EV127" i="5"/>
  <c r="FC127" i="5"/>
  <c r="II127" i="5" s="1"/>
  <c r="FB127" i="5"/>
  <c r="FD127" i="5"/>
  <c r="AA119" i="5"/>
  <c r="ER119" i="5"/>
  <c r="ET119" i="5"/>
  <c r="EY119" i="5"/>
  <c r="EU119" i="5"/>
  <c r="ES119" i="5"/>
  <c r="EW119" i="5"/>
  <c r="EV119" i="5"/>
  <c r="EX119" i="5"/>
  <c r="EZ119" i="5"/>
  <c r="FA119" i="5"/>
  <c r="FC119" i="5"/>
  <c r="II119" i="5" s="1"/>
  <c r="FD119" i="5"/>
  <c r="FB119" i="5"/>
  <c r="AA128" i="5"/>
  <c r="ET128" i="5"/>
  <c r="EX128" i="5"/>
  <c r="FD128" i="5"/>
  <c r="ER128" i="5"/>
  <c r="EV128" i="5"/>
  <c r="EZ128" i="5"/>
  <c r="EU128" i="5"/>
  <c r="EY128" i="5"/>
  <c r="ES128" i="5"/>
  <c r="EW128" i="5"/>
  <c r="FB128" i="5"/>
  <c r="FC128" i="5"/>
  <c r="II128" i="5" s="1"/>
  <c r="FA128" i="5"/>
  <c r="AA81" i="5"/>
  <c r="EZ81" i="5"/>
  <c r="EV81" i="5"/>
  <c r="FD81" i="5"/>
  <c r="FA81" i="5"/>
  <c r="EY81" i="5"/>
  <c r="EW81" i="5"/>
  <c r="EU81" i="5"/>
  <c r="FC81" i="5"/>
  <c r="II81" i="5" s="1"/>
  <c r="FB81" i="5"/>
  <c r="EX81" i="5"/>
  <c r="AA73" i="5"/>
  <c r="FD73" i="5"/>
  <c r="FC73" i="5"/>
  <c r="II73" i="5" s="1"/>
  <c r="AA117" i="5"/>
  <c r="ER117" i="5"/>
  <c r="EV117" i="5"/>
  <c r="ET117" i="5"/>
  <c r="ES117" i="5"/>
  <c r="EW117" i="5"/>
  <c r="FA117" i="5"/>
  <c r="EU117" i="5"/>
  <c r="EY117" i="5"/>
  <c r="EX117" i="5"/>
  <c r="EZ117" i="5"/>
  <c r="FB117" i="5"/>
  <c r="FD117" i="5"/>
  <c r="FC117" i="5"/>
  <c r="II117" i="5" s="1"/>
  <c r="AA103" i="5"/>
  <c r="ER103" i="5"/>
  <c r="ET103" i="5"/>
  <c r="ES103" i="5"/>
  <c r="EU103" i="5"/>
  <c r="EW103" i="5"/>
  <c r="EV103" i="5"/>
  <c r="EX103" i="5"/>
  <c r="FB103" i="5"/>
  <c r="EZ103" i="5"/>
  <c r="EY103" i="5"/>
  <c r="FA103" i="5"/>
  <c r="FD103" i="5"/>
  <c r="FC103" i="5"/>
  <c r="II103" i="5" s="1"/>
  <c r="AA83" i="5"/>
  <c r="FD83" i="5"/>
  <c r="FB83" i="5"/>
  <c r="EX83" i="5"/>
  <c r="ET83" i="5"/>
  <c r="EZ83" i="5"/>
  <c r="EV83" i="5"/>
  <c r="EY83" i="5"/>
  <c r="EW83" i="5"/>
  <c r="ES83" i="5"/>
  <c r="EU83" i="5"/>
  <c r="FA83" i="5"/>
  <c r="FC83" i="5"/>
  <c r="II83" i="5" s="1"/>
  <c r="AA104" i="5"/>
  <c r="ES104" i="5"/>
  <c r="ER104" i="5"/>
  <c r="EV104" i="5"/>
  <c r="ET104" i="5"/>
  <c r="EU104" i="5"/>
  <c r="EW104" i="5"/>
  <c r="FA104" i="5"/>
  <c r="EY104" i="5"/>
  <c r="EX104" i="5"/>
  <c r="EZ104" i="5"/>
  <c r="FC104" i="5"/>
  <c r="II104" i="5" s="1"/>
  <c r="FB104" i="5"/>
  <c r="FD104" i="5"/>
  <c r="AA92" i="5"/>
  <c r="ER92" i="5"/>
  <c r="EU92" i="5"/>
  <c r="ES92" i="5"/>
  <c r="ET92" i="5"/>
  <c r="EY92" i="5"/>
  <c r="FA92" i="5"/>
  <c r="EW92" i="5"/>
  <c r="EV92" i="5"/>
  <c r="EX92" i="5"/>
  <c r="EZ92" i="5"/>
  <c r="FC92" i="5"/>
  <c r="II92" i="5" s="1"/>
  <c r="FB92" i="5"/>
  <c r="FD92" i="5"/>
  <c r="AA105" i="5"/>
  <c r="ER105" i="5"/>
  <c r="EU105" i="5"/>
  <c r="ES105" i="5"/>
  <c r="EV105" i="5"/>
  <c r="ET105" i="5"/>
  <c r="EX105" i="5"/>
  <c r="EZ105" i="5"/>
  <c r="EW105" i="5"/>
  <c r="EY105" i="5"/>
  <c r="FA105" i="5"/>
  <c r="FD105" i="5"/>
  <c r="FB105" i="5"/>
  <c r="FC105" i="5"/>
  <c r="II105" i="5" s="1"/>
  <c r="AA118" i="5"/>
  <c r="EU118" i="5"/>
  <c r="ES118" i="5"/>
  <c r="ER118" i="5"/>
  <c r="EZ118" i="5"/>
  <c r="EV118" i="5"/>
  <c r="ET118" i="5"/>
  <c r="EX118" i="5"/>
  <c r="EW118" i="5"/>
  <c r="EY118" i="5"/>
  <c r="FA118" i="5"/>
  <c r="FD118" i="5"/>
  <c r="FB118" i="5"/>
  <c r="FC118" i="5"/>
  <c r="II118" i="5" s="1"/>
  <c r="AA106" i="5"/>
  <c r="ER106" i="5"/>
  <c r="EU106" i="5"/>
  <c r="ES106" i="5"/>
  <c r="ET106" i="5"/>
  <c r="EW106" i="5"/>
  <c r="EY106" i="5"/>
  <c r="EV106" i="5"/>
  <c r="EX106" i="5"/>
  <c r="FA106" i="5"/>
  <c r="FC106" i="5"/>
  <c r="II106" i="5" s="1"/>
  <c r="EZ106" i="5"/>
  <c r="FD106" i="5"/>
  <c r="FB106" i="5"/>
  <c r="AA111" i="5"/>
  <c r="ET111" i="5"/>
  <c r="ER111" i="5"/>
  <c r="ES111" i="5"/>
  <c r="FB111" i="5"/>
  <c r="EZ111" i="5"/>
  <c r="EX111" i="5"/>
  <c r="EV111" i="5"/>
  <c r="EU111" i="5"/>
  <c r="FC111" i="5"/>
  <c r="EW111" i="5"/>
  <c r="EY111" i="5"/>
  <c r="FA111" i="5"/>
  <c r="AA99" i="5"/>
  <c r="ET99" i="5"/>
  <c r="ER99" i="5"/>
  <c r="ES99" i="5"/>
  <c r="EV99" i="5"/>
  <c r="EU99" i="5"/>
  <c r="EW99" i="5"/>
  <c r="EX99" i="5"/>
  <c r="EY99" i="5"/>
  <c r="FA99" i="5"/>
  <c r="FB99" i="5"/>
  <c r="EZ99" i="5"/>
  <c r="FD99" i="5"/>
  <c r="FC99" i="5"/>
  <c r="II99" i="5" s="1"/>
  <c r="AA115" i="5"/>
  <c r="ET115" i="5"/>
  <c r="EX115" i="5"/>
  <c r="ER115" i="5"/>
  <c r="EV115" i="5"/>
  <c r="ES115" i="5"/>
  <c r="EY115" i="5"/>
  <c r="FC115" i="5"/>
  <c r="II115" i="5" s="1"/>
  <c r="EU115" i="5"/>
  <c r="EW115" i="5"/>
  <c r="FA115" i="5"/>
  <c r="EZ115" i="5"/>
  <c r="FB115" i="5"/>
  <c r="FD115" i="5"/>
  <c r="AA107" i="5"/>
  <c r="ET107" i="5"/>
  <c r="ER107" i="5"/>
  <c r="ES107" i="5"/>
  <c r="EX107" i="5"/>
  <c r="EV107" i="5"/>
  <c r="EU107" i="5"/>
  <c r="EW107" i="5"/>
  <c r="FB107" i="5"/>
  <c r="EZ107" i="5"/>
  <c r="EY107" i="5"/>
  <c r="FD107" i="5"/>
  <c r="FC107" i="5"/>
  <c r="II107" i="5" s="1"/>
  <c r="FA107" i="5"/>
  <c r="AA112" i="5"/>
  <c r="ES112" i="5"/>
  <c r="ER112" i="5"/>
  <c r="EU112" i="5"/>
  <c r="EW112" i="5"/>
  <c r="EY112" i="5"/>
  <c r="FA112" i="5"/>
  <c r="ET112" i="5"/>
  <c r="EX112" i="5"/>
  <c r="FB112" i="5"/>
  <c r="EV112" i="5"/>
  <c r="EZ112" i="5"/>
  <c r="AA87" i="5"/>
  <c r="FD87" i="5"/>
  <c r="EX87" i="5"/>
  <c r="ET87" i="5"/>
  <c r="EP87" i="5"/>
  <c r="ER87" i="5"/>
  <c r="EZ87" i="5"/>
  <c r="EV87" i="5"/>
  <c r="EU87" i="5"/>
  <c r="ES87" i="5"/>
  <c r="EQ87" i="5"/>
  <c r="EO87" i="5"/>
  <c r="EY87" i="5"/>
  <c r="EW87" i="5"/>
  <c r="FB87" i="5"/>
  <c r="FA87" i="5"/>
  <c r="FC87" i="5"/>
  <c r="II87" i="5" s="1"/>
  <c r="AA79" i="5"/>
  <c r="FD79" i="5"/>
  <c r="FC79" i="5"/>
  <c r="II79" i="5" s="1"/>
  <c r="FA79" i="5"/>
  <c r="EY79" i="5"/>
  <c r="EW79" i="5"/>
  <c r="FB79" i="5"/>
  <c r="EX79" i="5"/>
  <c r="EZ79" i="5"/>
  <c r="ES114" i="5"/>
  <c r="EU114" i="5"/>
  <c r="EW114" i="5"/>
  <c r="EY114" i="5"/>
  <c r="ER114" i="5"/>
  <c r="EV114" i="5"/>
  <c r="FD114" i="5"/>
  <c r="ET114" i="5"/>
  <c r="EZ114" i="5"/>
  <c r="EX114" i="5"/>
  <c r="FA114" i="5"/>
  <c r="FC114" i="5"/>
  <c r="II114" i="5" s="1"/>
  <c r="AA109" i="5"/>
  <c r="ER109" i="5"/>
  <c r="EV109" i="5"/>
  <c r="ET109" i="5"/>
  <c r="ES109" i="5"/>
  <c r="EU109" i="5"/>
  <c r="FB109" i="5"/>
  <c r="EZ109" i="5"/>
  <c r="EX109" i="5"/>
  <c r="EW109" i="5"/>
  <c r="EY109" i="5"/>
  <c r="FA109" i="5"/>
  <c r="FC109" i="5"/>
  <c r="II109" i="5" s="1"/>
  <c r="ES120" i="5"/>
  <c r="ER120" i="5"/>
  <c r="ET120" i="5"/>
  <c r="EX120" i="5"/>
  <c r="EV120" i="5"/>
  <c r="EU120" i="5"/>
  <c r="EW120" i="5"/>
  <c r="EY120" i="5"/>
  <c r="FD120" i="5"/>
  <c r="EZ120" i="5"/>
  <c r="FC120" i="5"/>
  <c r="II120" i="5" s="1"/>
  <c r="FB120" i="5"/>
  <c r="FA120" i="5"/>
  <c r="CZ130" i="5"/>
  <c r="DB127" i="5"/>
  <c r="AA75" i="5"/>
  <c r="FB75" i="5"/>
  <c r="FD75" i="5"/>
  <c r="FA75" i="5"/>
  <c r="FC75" i="5"/>
  <c r="II75" i="5" s="1"/>
  <c r="DE121" i="5"/>
  <c r="DC125" i="5"/>
  <c r="DD123" i="5"/>
  <c r="ER102" i="5"/>
  <c r="ES102" i="5"/>
  <c r="ET102" i="5"/>
  <c r="EU102" i="5"/>
  <c r="EX102" i="5"/>
  <c r="EV102" i="5"/>
  <c r="EW102" i="5"/>
  <c r="EY102" i="5"/>
  <c r="FC102" i="5"/>
  <c r="II102" i="5" s="1"/>
  <c r="FA102" i="5"/>
  <c r="EZ102" i="5"/>
  <c r="FB102" i="5"/>
  <c r="FD102" i="5"/>
  <c r="ET95" i="5"/>
  <c r="EX95" i="5"/>
  <c r="ES95" i="5"/>
  <c r="ER95" i="5"/>
  <c r="EV95" i="5"/>
  <c r="EU95" i="5"/>
  <c r="EW95" i="5"/>
  <c r="EZ95" i="5"/>
  <c r="EY95" i="5"/>
  <c r="FB95" i="5"/>
  <c r="FA95" i="5"/>
  <c r="FC95" i="5"/>
  <c r="II95" i="5" s="1"/>
  <c r="FD95" i="5"/>
  <c r="EU84" i="5"/>
  <c r="EY84" i="5"/>
  <c r="FC84" i="5"/>
  <c r="II84" i="5" s="1"/>
  <c r="FA84" i="5"/>
  <c r="ES84" i="5"/>
  <c r="EW84" i="5"/>
  <c r="ER84" i="5"/>
  <c r="ET84" i="5"/>
  <c r="EV84" i="5"/>
  <c r="EX84" i="5"/>
  <c r="FB84" i="5"/>
  <c r="EZ84" i="5"/>
  <c r="FD84" i="5"/>
  <c r="F4" i="5"/>
  <c r="F6" i="5"/>
  <c r="F7" i="5"/>
  <c r="V126" i="5"/>
  <c r="AB132" i="5"/>
  <c r="V125" i="5"/>
  <c r="AB131" i="5"/>
  <c r="Z130" i="5"/>
  <c r="V123" i="5"/>
  <c r="AB129" i="5"/>
  <c r="V116" i="5"/>
  <c r="AB122" i="5"/>
  <c r="V112" i="5"/>
  <c r="HC112" i="5" s="1"/>
  <c r="AB118" i="5"/>
  <c r="V104" i="5"/>
  <c r="HC104" i="5" s="1"/>
  <c r="AB110" i="5"/>
  <c r="V100" i="5"/>
  <c r="HC100" i="5" s="1"/>
  <c r="AB106" i="5"/>
  <c r="V96" i="5"/>
  <c r="HC96" i="5" s="1"/>
  <c r="AB102" i="5"/>
  <c r="V92" i="5"/>
  <c r="HC92" i="5" s="1"/>
  <c r="AB98" i="5"/>
  <c r="V87" i="5"/>
  <c r="GU87" i="5" s="1"/>
  <c r="AB93" i="5"/>
  <c r="V80" i="5"/>
  <c r="GU80" i="5" s="1"/>
  <c r="AB86" i="5"/>
  <c r="V77" i="5"/>
  <c r="GU77" i="5" s="1"/>
  <c r="AB83" i="5"/>
  <c r="V71" i="5"/>
  <c r="GU71" i="5" s="1"/>
  <c r="AB77" i="5"/>
  <c r="V65" i="5"/>
  <c r="GU65" i="5" s="1"/>
  <c r="AB71" i="5"/>
  <c r="V63" i="5"/>
  <c r="GU63" i="5" s="1"/>
  <c r="AB69" i="5"/>
  <c r="V58" i="5"/>
  <c r="GU58" i="5" s="1"/>
  <c r="AB64" i="5"/>
  <c r="V52" i="5"/>
  <c r="GU52" i="5" s="1"/>
  <c r="AB58" i="5"/>
  <c r="V49" i="5"/>
  <c r="GU49" i="5" s="1"/>
  <c r="AB55" i="5"/>
  <c r="V43" i="5"/>
  <c r="GU43" i="5" s="1"/>
  <c r="AB49" i="5"/>
  <c r="V40" i="5"/>
  <c r="GU40" i="5" s="1"/>
  <c r="AB46" i="5"/>
  <c r="V36" i="5"/>
  <c r="GU36" i="5" s="1"/>
  <c r="AB42" i="5"/>
  <c r="V35" i="5"/>
  <c r="GU35" i="5" s="1"/>
  <c r="AB41" i="5"/>
  <c r="V32" i="5"/>
  <c r="GU32" i="5" s="1"/>
  <c r="AB38" i="5"/>
  <c r="V30" i="5"/>
  <c r="GU30" i="5" s="1"/>
  <c r="AB36" i="5"/>
  <c r="V29" i="5"/>
  <c r="GU29" i="5" s="1"/>
  <c r="AB35" i="5"/>
  <c r="AB32" i="5"/>
  <c r="AB28" i="5"/>
  <c r="Z131" i="5"/>
  <c r="Z132" i="5"/>
  <c r="Z133" i="5"/>
  <c r="V129" i="5"/>
  <c r="V122" i="5"/>
  <c r="AB128" i="5"/>
  <c r="V120" i="5"/>
  <c r="AB126" i="5"/>
  <c r="V118" i="5"/>
  <c r="AB124" i="5"/>
  <c r="V115" i="5"/>
  <c r="AB121" i="5"/>
  <c r="V110" i="5"/>
  <c r="HC110" i="5" s="1"/>
  <c r="AB116" i="5"/>
  <c r="V109" i="5"/>
  <c r="HC109" i="5" s="1"/>
  <c r="AB115" i="5"/>
  <c r="V106" i="5"/>
  <c r="HC106" i="5" s="1"/>
  <c r="AB112" i="5"/>
  <c r="V103" i="5"/>
  <c r="HC103" i="5" s="1"/>
  <c r="AB109" i="5"/>
  <c r="V98" i="5"/>
  <c r="HC98" i="5" s="1"/>
  <c r="AB104" i="5"/>
  <c r="V93" i="5"/>
  <c r="HC93" i="5" s="1"/>
  <c r="AB99" i="5"/>
  <c r="V91" i="5"/>
  <c r="HA91" i="5" s="1"/>
  <c r="AB97" i="5"/>
  <c r="V89" i="5"/>
  <c r="GU89" i="5" s="1"/>
  <c r="AB95" i="5"/>
  <c r="V83" i="5"/>
  <c r="GU83" i="5" s="1"/>
  <c r="AB89" i="5"/>
  <c r="V82" i="5"/>
  <c r="GU82" i="5" s="1"/>
  <c r="AB88" i="5"/>
  <c r="V79" i="5"/>
  <c r="GU79" i="5" s="1"/>
  <c r="AB85" i="5"/>
  <c r="V75" i="5"/>
  <c r="GU75" i="5" s="1"/>
  <c r="AB81" i="5"/>
  <c r="V72" i="5"/>
  <c r="GU72" i="5" s="1"/>
  <c r="AB78" i="5"/>
  <c r="V67" i="5"/>
  <c r="GU67" i="5" s="1"/>
  <c r="AB73" i="5"/>
  <c r="V64" i="5"/>
  <c r="GU64" i="5" s="1"/>
  <c r="AB70" i="5"/>
  <c r="V61" i="5"/>
  <c r="GU61" i="5" s="1"/>
  <c r="AB67" i="5"/>
  <c r="V56" i="5"/>
  <c r="GU56" i="5" s="1"/>
  <c r="AB62" i="5"/>
  <c r="V54" i="5"/>
  <c r="GU54" i="5" s="1"/>
  <c r="AB60" i="5"/>
  <c r="V50" i="5"/>
  <c r="GU50" i="5" s="1"/>
  <c r="AB56" i="5"/>
  <c r="V45" i="5"/>
  <c r="GU45" i="5" s="1"/>
  <c r="AB51" i="5"/>
  <c r="V41" i="5"/>
  <c r="GU41" i="5" s="1"/>
  <c r="AB47" i="5"/>
  <c r="V39" i="5"/>
  <c r="GU39" i="5" s="1"/>
  <c r="AB45" i="5"/>
  <c r="V127" i="5"/>
  <c r="AB133" i="5"/>
  <c r="V130" i="5"/>
  <c r="V128" i="5"/>
  <c r="V124" i="5"/>
  <c r="AB130" i="5"/>
  <c r="AB127" i="5"/>
  <c r="V121" i="5"/>
  <c r="V119" i="5"/>
  <c r="X126" i="5"/>
  <c r="AB125" i="5"/>
  <c r="V117" i="5"/>
  <c r="HC117" i="5" s="1"/>
  <c r="AB123" i="5"/>
  <c r="V113" i="5"/>
  <c r="HO113" i="5" s="1"/>
  <c r="AB119" i="5"/>
  <c r="V114" i="5"/>
  <c r="AB120" i="5"/>
  <c r="V111" i="5"/>
  <c r="HC111" i="5" s="1"/>
  <c r="AB117" i="5"/>
  <c r="V108" i="5"/>
  <c r="HC108" i="5" s="1"/>
  <c r="AB114" i="5"/>
  <c r="V107" i="5"/>
  <c r="HC107" i="5" s="1"/>
  <c r="AB113" i="5"/>
  <c r="V105" i="5"/>
  <c r="HC105" i="5" s="1"/>
  <c r="AB111" i="5"/>
  <c r="V102" i="5"/>
  <c r="HC102" i="5" s="1"/>
  <c r="AB108" i="5"/>
  <c r="V101" i="5"/>
  <c r="HC101" i="5" s="1"/>
  <c r="AB107" i="5"/>
  <c r="V99" i="5"/>
  <c r="HC99" i="5" s="1"/>
  <c r="AB105" i="5"/>
  <c r="V95" i="5"/>
  <c r="HC95" i="5" s="1"/>
  <c r="AB101" i="5"/>
  <c r="V97" i="5"/>
  <c r="HC97" i="5" s="1"/>
  <c r="AB103" i="5"/>
  <c r="V94" i="5"/>
  <c r="HC94" i="5" s="1"/>
  <c r="AB100" i="5"/>
  <c r="V90" i="5"/>
  <c r="GU90" i="5" s="1"/>
  <c r="AB96" i="5"/>
  <c r="V88" i="5"/>
  <c r="GU88" i="5" s="1"/>
  <c r="AB94" i="5"/>
  <c r="V86" i="5"/>
  <c r="GU86" i="5" s="1"/>
  <c r="AB92" i="5"/>
  <c r="V85" i="5"/>
  <c r="GU85" i="5" s="1"/>
  <c r="AB91" i="5"/>
  <c r="V84" i="5"/>
  <c r="GU84" i="5" s="1"/>
  <c r="AB90" i="5"/>
  <c r="V81" i="5"/>
  <c r="GU81" i="5" s="1"/>
  <c r="AB87" i="5"/>
  <c r="V78" i="5"/>
  <c r="GU78" i="5" s="1"/>
  <c r="AB84" i="5"/>
  <c r="V76" i="5"/>
  <c r="GU76" i="5" s="1"/>
  <c r="AB82" i="5"/>
  <c r="V73" i="5"/>
  <c r="GU73" i="5" s="1"/>
  <c r="AB79" i="5"/>
  <c r="V74" i="5"/>
  <c r="GU74" i="5" s="1"/>
  <c r="AB80" i="5"/>
  <c r="V70" i="5"/>
  <c r="GU70" i="5" s="1"/>
  <c r="AB76" i="5"/>
  <c r="V69" i="5"/>
  <c r="GU69" i="5" s="1"/>
  <c r="AB75" i="5"/>
  <c r="V66" i="5"/>
  <c r="GU66" i="5" s="1"/>
  <c r="AB72" i="5"/>
  <c r="V68" i="5"/>
  <c r="GU68" i="5" s="1"/>
  <c r="AB74" i="5"/>
  <c r="V62" i="5"/>
  <c r="GU62" i="5" s="1"/>
  <c r="AB68" i="5"/>
  <c r="V60" i="5"/>
  <c r="GU60" i="5" s="1"/>
  <c r="AB66" i="5"/>
  <c r="V59" i="5"/>
  <c r="GU59" i="5" s="1"/>
  <c r="AB65" i="5"/>
  <c r="V57" i="5"/>
  <c r="GU57" i="5" s="1"/>
  <c r="AB63" i="5"/>
  <c r="V55" i="5"/>
  <c r="GU55" i="5" s="1"/>
  <c r="AB61" i="5"/>
  <c r="V53" i="5"/>
  <c r="GU53" i="5" s="1"/>
  <c r="AB59" i="5"/>
  <c r="V51" i="5"/>
  <c r="GU51" i="5" s="1"/>
  <c r="AB57" i="5"/>
  <c r="V48" i="5"/>
  <c r="GU48" i="5" s="1"/>
  <c r="AB54" i="5"/>
  <c r="V47" i="5"/>
  <c r="GU47" i="5" s="1"/>
  <c r="AB53" i="5"/>
  <c r="V46" i="5"/>
  <c r="GU46" i="5" s="1"/>
  <c r="AB52" i="5"/>
  <c r="V44" i="5"/>
  <c r="GU44" i="5" s="1"/>
  <c r="AB50" i="5"/>
  <c r="V42" i="5"/>
  <c r="GU42" i="5" s="1"/>
  <c r="AB48" i="5"/>
  <c r="V37" i="5"/>
  <c r="GU37" i="5" s="1"/>
  <c r="AB43" i="5"/>
  <c r="V38" i="5"/>
  <c r="GU38" i="5" s="1"/>
  <c r="AB44" i="5"/>
  <c r="V33" i="5"/>
  <c r="GU33" i="5" s="1"/>
  <c r="AB39" i="5"/>
  <c r="V34" i="5"/>
  <c r="GU34" i="5" s="1"/>
  <c r="AB40" i="5"/>
  <c r="V31" i="5"/>
  <c r="GU31" i="5" s="1"/>
  <c r="AB37" i="5"/>
  <c r="V28" i="5"/>
  <c r="GU28" i="5" s="1"/>
  <c r="AB34" i="5"/>
  <c r="AB31" i="5"/>
  <c r="AB30" i="5"/>
  <c r="AB29" i="5"/>
  <c r="V131" i="5"/>
  <c r="V133" i="5"/>
  <c r="AC133" i="5"/>
  <c r="V132" i="5"/>
  <c r="M97" i="7"/>
  <c r="N97" i="7"/>
  <c r="D98" i="7"/>
  <c r="B97" i="7"/>
  <c r="F97" i="7" s="1"/>
  <c r="C97" i="7"/>
  <c r="I97" i="7" s="1"/>
  <c r="E97" i="7"/>
  <c r="H97" i="7" s="1"/>
  <c r="G97" i="7"/>
  <c r="K98" i="7"/>
  <c r="L98" i="7" s="1"/>
  <c r="J99" i="7"/>
  <c r="II110" i="5" l="1"/>
  <c r="CC28" i="5"/>
  <c r="DG28" i="5" s="1"/>
  <c r="GV28" i="5"/>
  <c r="FD109" i="5"/>
  <c r="HM131" i="5"/>
  <c r="HL131" i="5"/>
  <c r="HI131" i="5"/>
  <c r="HH131" i="5"/>
  <c r="HE131" i="5"/>
  <c r="HD131" i="5"/>
  <c r="HO131" i="5"/>
  <c r="HN131" i="5"/>
  <c r="HK131" i="5"/>
  <c r="HJ131" i="5"/>
  <c r="HG131" i="5"/>
  <c r="HF131" i="5"/>
  <c r="HC131" i="5"/>
  <c r="HM119" i="5"/>
  <c r="HL119" i="5"/>
  <c r="HO119" i="5"/>
  <c r="HN119" i="5"/>
  <c r="JC119" i="5" s="1"/>
  <c r="HI119" i="5"/>
  <c r="HK119" i="5"/>
  <c r="HJ119" i="5"/>
  <c r="HO124" i="5"/>
  <c r="HN124" i="5"/>
  <c r="JC124" i="5" s="1"/>
  <c r="HK124" i="5"/>
  <c r="HJ124" i="5"/>
  <c r="HG124" i="5"/>
  <c r="HM124" i="5"/>
  <c r="HL124" i="5"/>
  <c r="HI124" i="5"/>
  <c r="HH124" i="5"/>
  <c r="HD124" i="5"/>
  <c r="HF124" i="5"/>
  <c r="HE124" i="5"/>
  <c r="HO130" i="5"/>
  <c r="HN130" i="5"/>
  <c r="HK130" i="5"/>
  <c r="HJ130" i="5"/>
  <c r="HG130" i="5"/>
  <c r="HF130" i="5"/>
  <c r="HC130" i="5"/>
  <c r="HM130" i="5"/>
  <c r="HL130" i="5"/>
  <c r="HI130" i="5"/>
  <c r="HH130" i="5"/>
  <c r="HE130" i="5"/>
  <c r="HD130" i="5"/>
  <c r="HM127" i="5"/>
  <c r="HL127" i="5"/>
  <c r="HI127" i="5"/>
  <c r="HH127" i="5"/>
  <c r="HE127" i="5"/>
  <c r="HD127" i="5"/>
  <c r="HO127" i="5"/>
  <c r="HN127" i="5"/>
  <c r="JC127" i="5" s="1"/>
  <c r="HK127" i="5"/>
  <c r="HJ127" i="5"/>
  <c r="HG127" i="5"/>
  <c r="HF127" i="5"/>
  <c r="HC127" i="5"/>
  <c r="HM115" i="5"/>
  <c r="HO115" i="5"/>
  <c r="HN115" i="5"/>
  <c r="JC115" i="5" s="1"/>
  <c r="HO118" i="5"/>
  <c r="HN118" i="5"/>
  <c r="JC118" i="5" s="1"/>
  <c r="HM118" i="5"/>
  <c r="HJ118" i="5"/>
  <c r="HL118" i="5"/>
  <c r="HK118" i="5"/>
  <c r="HO120" i="5"/>
  <c r="HN120" i="5"/>
  <c r="JC120" i="5" s="1"/>
  <c r="HK120" i="5"/>
  <c r="HM120" i="5"/>
  <c r="HL120" i="5"/>
  <c r="HH120" i="5"/>
  <c r="HJ120" i="5"/>
  <c r="HI120" i="5"/>
  <c r="HO122" i="5"/>
  <c r="HN122" i="5"/>
  <c r="JC122" i="5" s="1"/>
  <c r="HK122" i="5"/>
  <c r="HJ122" i="5"/>
  <c r="HM122" i="5"/>
  <c r="HL122" i="5"/>
  <c r="HI122" i="5"/>
  <c r="HF122" i="5"/>
  <c r="HH122" i="5"/>
  <c r="HG122" i="5"/>
  <c r="HO116" i="5"/>
  <c r="HL116" i="5"/>
  <c r="HN116" i="5"/>
  <c r="JC116" i="5" s="1"/>
  <c r="HM116" i="5"/>
  <c r="HM123" i="5"/>
  <c r="HL123" i="5"/>
  <c r="HI123" i="5"/>
  <c r="HH123" i="5"/>
  <c r="HO123" i="5"/>
  <c r="HN123" i="5"/>
  <c r="JC123" i="5" s="1"/>
  <c r="HK123" i="5"/>
  <c r="HJ123" i="5"/>
  <c r="HE123" i="5"/>
  <c r="HG123" i="5"/>
  <c r="HF123" i="5"/>
  <c r="GV29" i="5"/>
  <c r="AO28" i="5"/>
  <c r="AO29" i="5"/>
  <c r="CE29" i="5" s="1"/>
  <c r="DI29" i="5" s="1"/>
  <c r="GV30" i="5"/>
  <c r="AO31" i="5"/>
  <c r="CE31" i="5" s="1"/>
  <c r="DI31" i="5" s="1"/>
  <c r="GV32" i="5"/>
  <c r="AO32" i="5"/>
  <c r="CE32" i="5" s="1"/>
  <c r="DI32" i="5" s="1"/>
  <c r="GV33" i="5"/>
  <c r="AO35" i="5"/>
  <c r="CE35" i="5" s="1"/>
  <c r="DI35" i="5" s="1"/>
  <c r="GV36" i="5"/>
  <c r="GV39" i="5"/>
  <c r="AO38" i="5"/>
  <c r="AO37" i="5"/>
  <c r="CE37" i="5" s="1"/>
  <c r="DI37" i="5" s="1"/>
  <c r="GV38" i="5"/>
  <c r="GV43" i="5"/>
  <c r="AO42" i="5"/>
  <c r="CE42" i="5" s="1"/>
  <c r="DI42" i="5" s="1"/>
  <c r="AO41" i="5"/>
  <c r="CE41" i="5" s="1"/>
  <c r="DI41" i="5" s="1"/>
  <c r="GV42" i="5"/>
  <c r="GV47" i="5"/>
  <c r="AO46" i="5"/>
  <c r="CE46" i="5" s="1"/>
  <c r="DI46" i="5" s="1"/>
  <c r="GV49" i="5"/>
  <c r="AO48" i="5"/>
  <c r="GV51" i="5"/>
  <c r="AO50" i="5"/>
  <c r="AO51" i="5"/>
  <c r="CE51" i="5" s="1"/>
  <c r="DI51" i="5" s="1"/>
  <c r="GV52" i="5"/>
  <c r="GV53" i="5"/>
  <c r="AO52" i="5"/>
  <c r="AO55" i="5"/>
  <c r="CE55" i="5" s="1"/>
  <c r="DI55" i="5" s="1"/>
  <c r="GV56" i="5"/>
  <c r="AO57" i="5"/>
  <c r="CE57" i="5" s="1"/>
  <c r="DI57" i="5" s="1"/>
  <c r="GV58" i="5"/>
  <c r="AO59" i="5"/>
  <c r="CE59" i="5" s="1"/>
  <c r="DI59" i="5" s="1"/>
  <c r="GV60" i="5"/>
  <c r="AO61" i="5"/>
  <c r="CE61" i="5" s="1"/>
  <c r="DI61" i="5" s="1"/>
  <c r="GV62" i="5"/>
  <c r="AO63" i="5"/>
  <c r="CE63" i="5" s="1"/>
  <c r="DI63" i="5" s="1"/>
  <c r="GV64" i="5"/>
  <c r="GV65" i="5"/>
  <c r="AO64" i="5"/>
  <c r="CE64" i="5" s="1"/>
  <c r="DI64" i="5" s="1"/>
  <c r="GV67" i="5"/>
  <c r="AO66" i="5"/>
  <c r="GV73" i="5"/>
  <c r="AO72" i="5"/>
  <c r="GV71" i="5"/>
  <c r="AO70" i="5"/>
  <c r="AO73" i="5"/>
  <c r="CE73" i="5" s="1"/>
  <c r="DI73" i="5" s="1"/>
  <c r="GV74" i="5"/>
  <c r="GV75" i="5"/>
  <c r="AO74" i="5"/>
  <c r="GV79" i="5"/>
  <c r="AO78" i="5"/>
  <c r="AO77" i="5"/>
  <c r="CE77" i="5" s="1"/>
  <c r="DI77" i="5" s="1"/>
  <c r="GV78" i="5"/>
  <c r="GV81" i="5"/>
  <c r="AO80" i="5"/>
  <c r="CE80" i="5" s="1"/>
  <c r="DI80" i="5" s="1"/>
  <c r="GV83" i="5"/>
  <c r="AO82" i="5"/>
  <c r="CE82" i="5" s="1"/>
  <c r="DI82" i="5" s="1"/>
  <c r="AO85" i="5"/>
  <c r="CE85" i="5" s="1"/>
  <c r="DI85" i="5" s="1"/>
  <c r="GV86" i="5"/>
  <c r="GV89" i="5"/>
  <c r="AO88" i="5"/>
  <c r="CE88" i="5" s="1"/>
  <c r="DI88" i="5" s="1"/>
  <c r="AO89" i="5"/>
  <c r="CE89" i="5" s="1"/>
  <c r="DI89" i="5" s="1"/>
  <c r="GV90" i="5"/>
  <c r="GV91" i="5"/>
  <c r="GX91" i="5"/>
  <c r="GZ91" i="5"/>
  <c r="HC115" i="5"/>
  <c r="HC119" i="5"/>
  <c r="HC122" i="5"/>
  <c r="HD123" i="5"/>
  <c r="AW122" i="5"/>
  <c r="GV31" i="5"/>
  <c r="AO30" i="5"/>
  <c r="AO33" i="5"/>
  <c r="CE33" i="5" s="1"/>
  <c r="DI33" i="5" s="1"/>
  <c r="GV34" i="5"/>
  <c r="GV35" i="5"/>
  <c r="AO34" i="5"/>
  <c r="GV37" i="5"/>
  <c r="AO36" i="5"/>
  <c r="AO39" i="5"/>
  <c r="CE39" i="5" s="1"/>
  <c r="DI39" i="5" s="1"/>
  <c r="GV40" i="5"/>
  <c r="GV41" i="5"/>
  <c r="AO40" i="5"/>
  <c r="AO43" i="5"/>
  <c r="CE43" i="5" s="1"/>
  <c r="DI43" i="5" s="1"/>
  <c r="GV44" i="5"/>
  <c r="GV45" i="5"/>
  <c r="AO44" i="5"/>
  <c r="AO45" i="5"/>
  <c r="CE45" i="5" s="1"/>
  <c r="DI45" i="5" s="1"/>
  <c r="GV46" i="5"/>
  <c r="AO47" i="5"/>
  <c r="CE47" i="5" s="1"/>
  <c r="DI47" i="5" s="1"/>
  <c r="GV48" i="5"/>
  <c r="AO49" i="5"/>
  <c r="CE49" i="5" s="1"/>
  <c r="DI49" i="5" s="1"/>
  <c r="GV50" i="5"/>
  <c r="AO53" i="5"/>
  <c r="CE53" i="5" s="1"/>
  <c r="DI53" i="5" s="1"/>
  <c r="GV54" i="5"/>
  <c r="GV55" i="5"/>
  <c r="AO54" i="5"/>
  <c r="GV57" i="5"/>
  <c r="AO56" i="5"/>
  <c r="GV59" i="5"/>
  <c r="AO58" i="5"/>
  <c r="GV61" i="5"/>
  <c r="AO60" i="5"/>
  <c r="GV63" i="5"/>
  <c r="AO62" i="5"/>
  <c r="AO65" i="5"/>
  <c r="CE65" i="5" s="1"/>
  <c r="DI65" i="5" s="1"/>
  <c r="GV66" i="5"/>
  <c r="AO67" i="5"/>
  <c r="CE67" i="5" s="1"/>
  <c r="DI67" i="5" s="1"/>
  <c r="GV68" i="5"/>
  <c r="GV69" i="5"/>
  <c r="AO68" i="5"/>
  <c r="AO69" i="5"/>
  <c r="CE69" i="5" s="1"/>
  <c r="DI69" i="5" s="1"/>
  <c r="GV70" i="5"/>
  <c r="AO71" i="5"/>
  <c r="CE71" i="5" s="1"/>
  <c r="DI71" i="5" s="1"/>
  <c r="GV72" i="5"/>
  <c r="GV77" i="5"/>
  <c r="AO76" i="5"/>
  <c r="CE76" i="5" s="1"/>
  <c r="DI76" i="5" s="1"/>
  <c r="AO75" i="5"/>
  <c r="CE75" i="5" s="1"/>
  <c r="DI75" i="5" s="1"/>
  <c r="GV76" i="5"/>
  <c r="AO79" i="5"/>
  <c r="CE79" i="5" s="1"/>
  <c r="DI79" i="5" s="1"/>
  <c r="GV80" i="5"/>
  <c r="AO81" i="5"/>
  <c r="CE81" i="5" s="1"/>
  <c r="DI81" i="5" s="1"/>
  <c r="GV82" i="5"/>
  <c r="AO83" i="5"/>
  <c r="CE83" i="5" s="1"/>
  <c r="DI83" i="5" s="1"/>
  <c r="GV84" i="5"/>
  <c r="GV85" i="5"/>
  <c r="AO84" i="5"/>
  <c r="GV87" i="5"/>
  <c r="AO86" i="5"/>
  <c r="CE86" i="5" s="1"/>
  <c r="DI86" i="5" s="1"/>
  <c r="AO87" i="5"/>
  <c r="CE87" i="5" s="1"/>
  <c r="DI87" i="5" s="1"/>
  <c r="GV88" i="5"/>
  <c r="GW91" i="5"/>
  <c r="GY91" i="5"/>
  <c r="HC90" i="5"/>
  <c r="AV89" i="5"/>
  <c r="CL89" i="5" s="1"/>
  <c r="HB90" i="5"/>
  <c r="AU89" i="5"/>
  <c r="FX89" i="5"/>
  <c r="HC91" i="5"/>
  <c r="AV90" i="5"/>
  <c r="CL90" i="5" s="1"/>
  <c r="HD93" i="5"/>
  <c r="AW92" i="5"/>
  <c r="CM92" i="5" s="1"/>
  <c r="HD95" i="5"/>
  <c r="AW94" i="5"/>
  <c r="CM94" i="5" s="1"/>
  <c r="HD97" i="5"/>
  <c r="AW96" i="5"/>
  <c r="CM96" i="5" s="1"/>
  <c r="HD100" i="5"/>
  <c r="AW99" i="5"/>
  <c r="CM99" i="5" s="1"/>
  <c r="HD101" i="5"/>
  <c r="AW100" i="5"/>
  <c r="CM100" i="5" s="1"/>
  <c r="HD103" i="5"/>
  <c r="AW102" i="5"/>
  <c r="CM102" i="5" s="1"/>
  <c r="HD106" i="5"/>
  <c r="AW105" i="5"/>
  <c r="CM105" i="5" s="1"/>
  <c r="HD109" i="5"/>
  <c r="AW108" i="5"/>
  <c r="CM108" i="5" s="1"/>
  <c r="HD107" i="5"/>
  <c r="AW106" i="5"/>
  <c r="CM106" i="5" s="1"/>
  <c r="HD112" i="5"/>
  <c r="AW111" i="5"/>
  <c r="CM111" i="5" s="1"/>
  <c r="HD113" i="5"/>
  <c r="AW112" i="5"/>
  <c r="CM112" i="5" s="1"/>
  <c r="HD115" i="5"/>
  <c r="AW114" i="5"/>
  <c r="CM114" i="5" s="1"/>
  <c r="HD117" i="5"/>
  <c r="AW116" i="5"/>
  <c r="CM116" i="5" s="1"/>
  <c r="HD120" i="5"/>
  <c r="AW119" i="5"/>
  <c r="CM119" i="5" s="1"/>
  <c r="HD119" i="5"/>
  <c r="AW118" i="5"/>
  <c r="CM118" i="5" s="1"/>
  <c r="HD122" i="5"/>
  <c r="AW121" i="5"/>
  <c r="CM121" i="5" s="1"/>
  <c r="HO132" i="5"/>
  <c r="HN132" i="5"/>
  <c r="HK132" i="5"/>
  <c r="HJ132" i="5"/>
  <c r="HG132" i="5"/>
  <c r="HF132" i="5"/>
  <c r="HC132" i="5"/>
  <c r="HM132" i="5"/>
  <c r="HL132" i="5"/>
  <c r="HI132" i="5"/>
  <c r="HH132" i="5"/>
  <c r="HE132" i="5"/>
  <c r="HD132" i="5"/>
  <c r="HM133" i="5"/>
  <c r="HL133" i="5"/>
  <c r="HI133" i="5"/>
  <c r="HH133" i="5"/>
  <c r="HE133" i="5"/>
  <c r="HD133" i="5"/>
  <c r="HO133" i="5"/>
  <c r="HN133" i="5"/>
  <c r="HK133" i="5"/>
  <c r="HJ133" i="5"/>
  <c r="HG133" i="5"/>
  <c r="HF133" i="5"/>
  <c r="HC133" i="5"/>
  <c r="HN114" i="5"/>
  <c r="JC114" i="5" s="1"/>
  <c r="HO114" i="5"/>
  <c r="HO117" i="5"/>
  <c r="HN117" i="5"/>
  <c r="JC117" i="5" s="1"/>
  <c r="HK117" i="5"/>
  <c r="HM117" i="5"/>
  <c r="HL117" i="5"/>
  <c r="HM121" i="5"/>
  <c r="HL121" i="5"/>
  <c r="HO121" i="5"/>
  <c r="HN121" i="5"/>
  <c r="JC121" i="5" s="1"/>
  <c r="HK121" i="5"/>
  <c r="HJ121" i="5"/>
  <c r="HG121" i="5"/>
  <c r="HI121" i="5"/>
  <c r="HH121" i="5"/>
  <c r="HO128" i="5"/>
  <c r="HN128" i="5"/>
  <c r="JC128" i="5" s="1"/>
  <c r="HK128" i="5"/>
  <c r="HJ128" i="5"/>
  <c r="HG128" i="5"/>
  <c r="HF128" i="5"/>
  <c r="HC128" i="5"/>
  <c r="HM128" i="5"/>
  <c r="HL128" i="5"/>
  <c r="HI128" i="5"/>
  <c r="HH128" i="5"/>
  <c r="HE128" i="5"/>
  <c r="HD128" i="5"/>
  <c r="HM129" i="5"/>
  <c r="HL129" i="5"/>
  <c r="HI129" i="5"/>
  <c r="HH129" i="5"/>
  <c r="HE129" i="5"/>
  <c r="HD129" i="5"/>
  <c r="HO129" i="5"/>
  <c r="HN129" i="5"/>
  <c r="JC129" i="5" s="1"/>
  <c r="HK129" i="5"/>
  <c r="HJ129" i="5"/>
  <c r="HG129" i="5"/>
  <c r="HF129" i="5"/>
  <c r="HC129" i="5"/>
  <c r="HM125" i="5"/>
  <c r="HL125" i="5"/>
  <c r="HI125" i="5"/>
  <c r="HH125" i="5"/>
  <c r="HO125" i="5"/>
  <c r="HN125" i="5"/>
  <c r="JC125" i="5" s="1"/>
  <c r="HK125" i="5"/>
  <c r="HJ125" i="5"/>
  <c r="HG125" i="5"/>
  <c r="HF125" i="5"/>
  <c r="HC125" i="5"/>
  <c r="HE125" i="5"/>
  <c r="HD125" i="5"/>
  <c r="HO126" i="5"/>
  <c r="HN126" i="5"/>
  <c r="JC126" i="5" s="1"/>
  <c r="HK126" i="5"/>
  <c r="HJ126" i="5"/>
  <c r="HG126" i="5"/>
  <c r="HF126" i="5"/>
  <c r="HM126" i="5"/>
  <c r="HL126" i="5"/>
  <c r="HI126" i="5"/>
  <c r="HH126" i="5"/>
  <c r="HE126" i="5"/>
  <c r="HD126" i="5"/>
  <c r="HC126" i="5"/>
  <c r="GU91" i="5"/>
  <c r="GW90" i="5"/>
  <c r="AP89" i="5"/>
  <c r="GY90" i="5"/>
  <c r="AR89" i="5"/>
  <c r="HA90" i="5"/>
  <c r="AT89" i="5"/>
  <c r="HD91" i="5"/>
  <c r="AW90" i="5"/>
  <c r="HD94" i="5"/>
  <c r="AW93" i="5"/>
  <c r="HD92" i="5"/>
  <c r="AW91" i="5"/>
  <c r="HD96" i="5"/>
  <c r="AW95" i="5"/>
  <c r="HD98" i="5"/>
  <c r="AW97" i="5"/>
  <c r="HD99" i="5"/>
  <c r="AW98" i="5"/>
  <c r="CM98" i="5" s="1"/>
  <c r="HD102" i="5"/>
  <c r="AW101" i="5"/>
  <c r="HD104" i="5"/>
  <c r="AW103" i="5"/>
  <c r="HD105" i="5"/>
  <c r="AW104" i="5"/>
  <c r="CM104" i="5" s="1"/>
  <c r="HD108" i="5"/>
  <c r="AW107" i="5"/>
  <c r="HD111" i="5"/>
  <c r="AW110" i="5"/>
  <c r="HD110" i="5"/>
  <c r="AW109" i="5"/>
  <c r="HD114" i="5"/>
  <c r="AW113" i="5"/>
  <c r="HD116" i="5"/>
  <c r="AW115" i="5"/>
  <c r="HD118" i="5"/>
  <c r="AW117" i="5"/>
  <c r="HD121" i="5"/>
  <c r="AW120" i="5"/>
  <c r="CM120" i="5" s="1"/>
  <c r="CA112" i="5"/>
  <c r="GR113" i="5"/>
  <c r="BZ114" i="5"/>
  <c r="GQ115" i="5"/>
  <c r="CB110" i="5"/>
  <c r="GS111" i="5"/>
  <c r="II111" i="5" s="1"/>
  <c r="HC124" i="5"/>
  <c r="GX90" i="5"/>
  <c r="AQ89" i="5"/>
  <c r="CG89" i="5" s="1"/>
  <c r="DK89" i="5" s="1"/>
  <c r="GZ90" i="5"/>
  <c r="AS89" i="5"/>
  <c r="HB91" i="5"/>
  <c r="HC113" i="5"/>
  <c r="HC114" i="5"/>
  <c r="HC116" i="5"/>
  <c r="HC118" i="5"/>
  <c r="HC121" i="5"/>
  <c r="HC120" i="5"/>
  <c r="HC123" i="5"/>
  <c r="AC131" i="5"/>
  <c r="AD131" i="5" s="1"/>
  <c r="CW132" i="5"/>
  <c r="CC132" i="5"/>
  <c r="DG132" i="5" s="1"/>
  <c r="CV132" i="5"/>
  <c r="CU132" i="5"/>
  <c r="CT132" i="5"/>
  <c r="CS132" i="5"/>
  <c r="CR132" i="5"/>
  <c r="CQ132" i="5"/>
  <c r="CP132" i="5"/>
  <c r="CO132" i="5"/>
  <c r="CN132" i="5"/>
  <c r="CM132" i="5"/>
  <c r="CL132" i="5"/>
  <c r="CK132" i="5"/>
  <c r="CJ132" i="5"/>
  <c r="CI132" i="5"/>
  <c r="DM132" i="5" s="1"/>
  <c r="CG132" i="5"/>
  <c r="DK132" i="5" s="1"/>
  <c r="CE132" i="5"/>
  <c r="DI132" i="5" s="1"/>
  <c r="CH132" i="5"/>
  <c r="DL132" i="5" s="1"/>
  <c r="CF132" i="5"/>
  <c r="DJ132" i="5" s="1"/>
  <c r="CD132" i="5"/>
  <c r="DH132" i="5" s="1"/>
  <c r="X28" i="5"/>
  <c r="CD28" i="5"/>
  <c r="DH28" i="5" s="1"/>
  <c r="CC34" i="5"/>
  <c r="DG34" i="5" s="1"/>
  <c r="CD34" i="5"/>
  <c r="DH34" i="5" s="1"/>
  <c r="AC37" i="5"/>
  <c r="AD37" i="5" s="1"/>
  <c r="AE37" i="5" s="1"/>
  <c r="CC38" i="5"/>
  <c r="DG38" i="5" s="1"/>
  <c r="CD38" i="5"/>
  <c r="DH38" i="5" s="1"/>
  <c r="AC36" i="5"/>
  <c r="AD36" i="5" s="1"/>
  <c r="AE36" i="5" s="1"/>
  <c r="CD37" i="5"/>
  <c r="DH37" i="5" s="1"/>
  <c r="CC37" i="5"/>
  <c r="DG37" i="5" s="1"/>
  <c r="AC43" i="5"/>
  <c r="AD43" i="5" s="1"/>
  <c r="AE43" i="5" s="1"/>
  <c r="CC44" i="5"/>
  <c r="DG44" i="5" s="1"/>
  <c r="CD44" i="5"/>
  <c r="DH44" i="5" s="1"/>
  <c r="AC46" i="5"/>
  <c r="AD46" i="5" s="1"/>
  <c r="AE46" i="5" s="1"/>
  <c r="CD47" i="5"/>
  <c r="DH47" i="5" s="1"/>
  <c r="CC47" i="5"/>
  <c r="DG47" i="5" s="1"/>
  <c r="AC50" i="5"/>
  <c r="AD50" i="5" s="1"/>
  <c r="AE50" i="5" s="1"/>
  <c r="CD51" i="5"/>
  <c r="DH51" i="5" s="1"/>
  <c r="CC51" i="5"/>
  <c r="DG51" i="5" s="1"/>
  <c r="AC52" i="5"/>
  <c r="AD52" i="5" s="1"/>
  <c r="AE52" i="5" s="1"/>
  <c r="CD53" i="5"/>
  <c r="DH53" i="5" s="1"/>
  <c r="CC53" i="5"/>
  <c r="DG53" i="5" s="1"/>
  <c r="AC56" i="5"/>
  <c r="AD56" i="5" s="1"/>
  <c r="AE56" i="5" s="1"/>
  <c r="CD57" i="5"/>
  <c r="DH57" i="5" s="1"/>
  <c r="CC57" i="5"/>
  <c r="DG57" i="5" s="1"/>
  <c r="AC59" i="5"/>
  <c r="AD59" i="5" s="1"/>
  <c r="AE59" i="5" s="1"/>
  <c r="CC60" i="5"/>
  <c r="DG60" i="5" s="1"/>
  <c r="CD60" i="5"/>
  <c r="DH60" i="5" s="1"/>
  <c r="CC68" i="5"/>
  <c r="DG68" i="5" s="1"/>
  <c r="CD68" i="5"/>
  <c r="DH68" i="5" s="1"/>
  <c r="AC68" i="5"/>
  <c r="AD68" i="5" s="1"/>
  <c r="AE68" i="5" s="1"/>
  <c r="CD69" i="5"/>
  <c r="DH69" i="5" s="1"/>
  <c r="CC69" i="5"/>
  <c r="DG69" i="5" s="1"/>
  <c r="CC74" i="5"/>
  <c r="DG74" i="5" s="1"/>
  <c r="CD74" i="5"/>
  <c r="DH74" i="5" s="1"/>
  <c r="AC75" i="5"/>
  <c r="AD75" i="5" s="1"/>
  <c r="AE75" i="5" s="1"/>
  <c r="CC76" i="5"/>
  <c r="DG76" i="5" s="1"/>
  <c r="CD76" i="5"/>
  <c r="DH76" i="5" s="1"/>
  <c r="AC80" i="5"/>
  <c r="AD80" i="5" s="1"/>
  <c r="AE80" i="5" s="1"/>
  <c r="CD81" i="5"/>
  <c r="DH81" i="5" s="1"/>
  <c r="CC81" i="5"/>
  <c r="DG81" i="5" s="1"/>
  <c r="AC84" i="5"/>
  <c r="AD84" i="5" s="1"/>
  <c r="AE84" i="5" s="1"/>
  <c r="CD85" i="5"/>
  <c r="DH85" i="5" s="1"/>
  <c r="CC85" i="5"/>
  <c r="DG85" i="5" s="1"/>
  <c r="AC87" i="5"/>
  <c r="AD87" i="5" s="1"/>
  <c r="AE87" i="5" s="1"/>
  <c r="CC88" i="5"/>
  <c r="DG88" i="5" s="1"/>
  <c r="CD88" i="5"/>
  <c r="DH88" i="5" s="1"/>
  <c r="CC90" i="5"/>
  <c r="DG90" i="5" s="1"/>
  <c r="CK90" i="5"/>
  <c r="CJ90" i="5"/>
  <c r="CH90" i="5"/>
  <c r="DL90" i="5" s="1"/>
  <c r="CF90" i="5"/>
  <c r="DJ90" i="5" s="1"/>
  <c r="CD90" i="5"/>
  <c r="DH90" i="5" s="1"/>
  <c r="CI90" i="5"/>
  <c r="DM90" i="5" s="1"/>
  <c r="CG90" i="5"/>
  <c r="DK90" i="5" s="1"/>
  <c r="CE90" i="5"/>
  <c r="DI90" i="5" s="1"/>
  <c r="AC96" i="5"/>
  <c r="AD96" i="5" s="1"/>
  <c r="AE96" i="5" s="1"/>
  <c r="CL97" i="5"/>
  <c r="CK97" i="5"/>
  <c r="CJ97" i="5"/>
  <c r="CI97" i="5"/>
  <c r="DM97" i="5" s="1"/>
  <c r="CH97" i="5"/>
  <c r="DL97" i="5" s="1"/>
  <c r="CG97" i="5"/>
  <c r="DK97" i="5" s="1"/>
  <c r="CF97" i="5"/>
  <c r="DJ97" i="5" s="1"/>
  <c r="CE97" i="5"/>
  <c r="DI97" i="5" s="1"/>
  <c r="CD97" i="5"/>
  <c r="DH97" i="5" s="1"/>
  <c r="CC97" i="5"/>
  <c r="DG97" i="5" s="1"/>
  <c r="AC98" i="5"/>
  <c r="AD98" i="5" s="1"/>
  <c r="AE98" i="5" s="1"/>
  <c r="CL99" i="5"/>
  <c r="CK99" i="5"/>
  <c r="CJ99" i="5"/>
  <c r="CI99" i="5"/>
  <c r="DM99" i="5" s="1"/>
  <c r="CH99" i="5"/>
  <c r="DL99" i="5" s="1"/>
  <c r="CG99" i="5"/>
  <c r="DK99" i="5" s="1"/>
  <c r="CF99" i="5"/>
  <c r="DJ99" i="5" s="1"/>
  <c r="CE99" i="5"/>
  <c r="DI99" i="5" s="1"/>
  <c r="CD99" i="5"/>
  <c r="DH99" i="5" s="1"/>
  <c r="CC99" i="5"/>
  <c r="DG99" i="5" s="1"/>
  <c r="AC101" i="5"/>
  <c r="AD101" i="5" s="1"/>
  <c r="AE101" i="5" s="1"/>
  <c r="CC102" i="5"/>
  <c r="DG102" i="5" s="1"/>
  <c r="CL102" i="5"/>
  <c r="CK102" i="5"/>
  <c r="CJ102" i="5"/>
  <c r="CH102" i="5"/>
  <c r="DL102" i="5" s="1"/>
  <c r="CF102" i="5"/>
  <c r="DJ102" i="5" s="1"/>
  <c r="CD102" i="5"/>
  <c r="DH102" i="5" s="1"/>
  <c r="CI102" i="5"/>
  <c r="DM102" i="5" s="1"/>
  <c r="CG102" i="5"/>
  <c r="DK102" i="5" s="1"/>
  <c r="CE102" i="5"/>
  <c r="DI102" i="5" s="1"/>
  <c r="AC104" i="5"/>
  <c r="AD104" i="5" s="1"/>
  <c r="AE104" i="5" s="1"/>
  <c r="CL105" i="5"/>
  <c r="CK105" i="5"/>
  <c r="CJ105" i="5"/>
  <c r="CI105" i="5"/>
  <c r="DM105" i="5" s="1"/>
  <c r="CH105" i="5"/>
  <c r="DL105" i="5" s="1"/>
  <c r="CG105" i="5"/>
  <c r="DK105" i="5" s="1"/>
  <c r="CF105" i="5"/>
  <c r="DJ105" i="5" s="1"/>
  <c r="CE105" i="5"/>
  <c r="DI105" i="5" s="1"/>
  <c r="CD105" i="5"/>
  <c r="DH105" i="5" s="1"/>
  <c r="CC105" i="5"/>
  <c r="DG105" i="5" s="1"/>
  <c r="CC108" i="5"/>
  <c r="DG108" i="5" s="1"/>
  <c r="CL108" i="5"/>
  <c r="CK108" i="5"/>
  <c r="CJ108" i="5"/>
  <c r="CI108" i="5"/>
  <c r="DM108" i="5" s="1"/>
  <c r="CG108" i="5"/>
  <c r="DK108" i="5" s="1"/>
  <c r="CE108" i="5"/>
  <c r="DI108" i="5" s="1"/>
  <c r="CH108" i="5"/>
  <c r="DL108" i="5" s="1"/>
  <c r="CF108" i="5"/>
  <c r="DJ108" i="5" s="1"/>
  <c r="CD108" i="5"/>
  <c r="DH108" i="5" s="1"/>
  <c r="CW114" i="5"/>
  <c r="CC114" i="5"/>
  <c r="DG114" i="5" s="1"/>
  <c r="CV114" i="5"/>
  <c r="CL114" i="5"/>
  <c r="CK114" i="5"/>
  <c r="CJ114" i="5"/>
  <c r="CH114" i="5"/>
  <c r="DL114" i="5" s="1"/>
  <c r="CF114" i="5"/>
  <c r="DJ114" i="5" s="1"/>
  <c r="CD114" i="5"/>
  <c r="DH114" i="5" s="1"/>
  <c r="CI114" i="5"/>
  <c r="DM114" i="5" s="1"/>
  <c r="CG114" i="5"/>
  <c r="DK114" i="5" s="1"/>
  <c r="CE114" i="5"/>
  <c r="DI114" i="5" s="1"/>
  <c r="AC112" i="5"/>
  <c r="AD112" i="5" s="1"/>
  <c r="AE112" i="5" s="1"/>
  <c r="CL113" i="5"/>
  <c r="CK113" i="5"/>
  <c r="CJ113" i="5"/>
  <c r="CI113" i="5"/>
  <c r="DM113" i="5" s="1"/>
  <c r="CH113" i="5"/>
  <c r="DL113" i="5" s="1"/>
  <c r="CG113" i="5"/>
  <c r="DK113" i="5" s="1"/>
  <c r="CF113" i="5"/>
  <c r="DJ113" i="5" s="1"/>
  <c r="CE113" i="5"/>
  <c r="DI113" i="5" s="1"/>
  <c r="CD113" i="5"/>
  <c r="DH113" i="5" s="1"/>
  <c r="CW113" i="5"/>
  <c r="CC113" i="5"/>
  <c r="DG113" i="5" s="1"/>
  <c r="AC116" i="5"/>
  <c r="AD116" i="5" s="1"/>
  <c r="AE116" i="5" s="1"/>
  <c r="CV117" i="5"/>
  <c r="CU117" i="5"/>
  <c r="CT117" i="5"/>
  <c r="CS117" i="5"/>
  <c r="CL117" i="5"/>
  <c r="CK117" i="5"/>
  <c r="CJ117" i="5"/>
  <c r="CI117" i="5"/>
  <c r="DM117" i="5" s="1"/>
  <c r="CH117" i="5"/>
  <c r="DL117" i="5" s="1"/>
  <c r="CG117" i="5"/>
  <c r="DK117" i="5" s="1"/>
  <c r="CF117" i="5"/>
  <c r="DJ117" i="5" s="1"/>
  <c r="CE117" i="5"/>
  <c r="DI117" i="5" s="1"/>
  <c r="CD117" i="5"/>
  <c r="DH117" i="5" s="1"/>
  <c r="CW117" i="5"/>
  <c r="CC117" i="5"/>
  <c r="DG117" i="5" s="1"/>
  <c r="CV121" i="5"/>
  <c r="CU121" i="5"/>
  <c r="CT121" i="5"/>
  <c r="CS121" i="5"/>
  <c r="CR121" i="5"/>
  <c r="CQ121" i="5"/>
  <c r="CP121" i="5"/>
  <c r="CO121" i="5"/>
  <c r="CL121" i="5"/>
  <c r="CK121" i="5"/>
  <c r="CJ121" i="5"/>
  <c r="CI121" i="5"/>
  <c r="DM121" i="5" s="1"/>
  <c r="CH121" i="5"/>
  <c r="DL121" i="5" s="1"/>
  <c r="CG121" i="5"/>
  <c r="DK121" i="5" s="1"/>
  <c r="CF121" i="5"/>
  <c r="DJ121" i="5" s="1"/>
  <c r="CE121" i="5"/>
  <c r="DI121" i="5" s="1"/>
  <c r="CD121" i="5"/>
  <c r="DH121" i="5" s="1"/>
  <c r="CW121" i="5"/>
  <c r="CC121" i="5"/>
  <c r="DG121" i="5" s="1"/>
  <c r="AC127" i="5"/>
  <c r="AD127" i="5" s="1"/>
  <c r="AE127" i="5" s="1"/>
  <c r="CW128" i="5"/>
  <c r="CC128" i="5"/>
  <c r="DG128" i="5" s="1"/>
  <c r="CV128" i="5"/>
  <c r="CU128" i="5"/>
  <c r="CT128" i="5"/>
  <c r="CS128" i="5"/>
  <c r="CR128" i="5"/>
  <c r="CQ128" i="5"/>
  <c r="CP128" i="5"/>
  <c r="CO128" i="5"/>
  <c r="CN128" i="5"/>
  <c r="CM128" i="5"/>
  <c r="CL128" i="5"/>
  <c r="CK128" i="5"/>
  <c r="CJ128" i="5"/>
  <c r="CI128" i="5"/>
  <c r="DM128" i="5" s="1"/>
  <c r="CG128" i="5"/>
  <c r="CE128" i="5"/>
  <c r="DI128" i="5" s="1"/>
  <c r="CH128" i="5"/>
  <c r="DL128" i="5" s="1"/>
  <c r="CF128" i="5"/>
  <c r="DJ128" i="5" s="1"/>
  <c r="CD128" i="5"/>
  <c r="DH128" i="5" s="1"/>
  <c r="CV125" i="5"/>
  <c r="CU125" i="5"/>
  <c r="CT125" i="5"/>
  <c r="CS125" i="5"/>
  <c r="CR125" i="5"/>
  <c r="CQ125" i="5"/>
  <c r="CP125" i="5"/>
  <c r="CO125" i="5"/>
  <c r="CN125" i="5"/>
  <c r="CM125" i="5"/>
  <c r="CL125" i="5"/>
  <c r="CK125" i="5"/>
  <c r="CJ125" i="5"/>
  <c r="CI125" i="5"/>
  <c r="CH125" i="5"/>
  <c r="DL125" i="5" s="1"/>
  <c r="CG125" i="5"/>
  <c r="DK125" i="5" s="1"/>
  <c r="CF125" i="5"/>
  <c r="DJ125" i="5" s="1"/>
  <c r="CE125" i="5"/>
  <c r="DI125" i="5" s="1"/>
  <c r="CD125" i="5"/>
  <c r="DH125" i="5" s="1"/>
  <c r="CW125" i="5"/>
  <c r="CC125" i="5"/>
  <c r="DG125" i="5" s="1"/>
  <c r="CV133" i="5"/>
  <c r="CU133" i="5"/>
  <c r="CT133" i="5"/>
  <c r="CS133" i="5"/>
  <c r="CR133" i="5"/>
  <c r="CQ133" i="5"/>
  <c r="CP133" i="5"/>
  <c r="CO133" i="5"/>
  <c r="CN133" i="5"/>
  <c r="CM133" i="5"/>
  <c r="CL133" i="5"/>
  <c r="CK133" i="5"/>
  <c r="CJ133" i="5"/>
  <c r="CI133" i="5"/>
  <c r="DM133" i="5" s="1"/>
  <c r="CH133" i="5"/>
  <c r="DL133" i="5" s="1"/>
  <c r="CG133" i="5"/>
  <c r="DK133" i="5" s="1"/>
  <c r="CF133" i="5"/>
  <c r="DJ133" i="5" s="1"/>
  <c r="CE133" i="5"/>
  <c r="DI133" i="5" s="1"/>
  <c r="CD133" i="5"/>
  <c r="DH133" i="5" s="1"/>
  <c r="CW133" i="5"/>
  <c r="CC133" i="5"/>
  <c r="DG133" i="5" s="1"/>
  <c r="AC30" i="5"/>
  <c r="AD30" i="5" s="1"/>
  <c r="AE30" i="5" s="1"/>
  <c r="CD31" i="5"/>
  <c r="DH31" i="5" s="1"/>
  <c r="CC31" i="5"/>
  <c r="DG31" i="5" s="1"/>
  <c r="AC32" i="5"/>
  <c r="AD32" i="5" s="1"/>
  <c r="AE32" i="5" s="1"/>
  <c r="CD33" i="5"/>
  <c r="DH33" i="5" s="1"/>
  <c r="CC33" i="5"/>
  <c r="DG33" i="5" s="1"/>
  <c r="CC42" i="5"/>
  <c r="DG42" i="5" s="1"/>
  <c r="CD42" i="5"/>
  <c r="DH42" i="5" s="1"/>
  <c r="AC45" i="5"/>
  <c r="AD45" i="5" s="1"/>
  <c r="AE45" i="5" s="1"/>
  <c r="CC46" i="5"/>
  <c r="DG46" i="5" s="1"/>
  <c r="CD46" i="5"/>
  <c r="DH46" i="5" s="1"/>
  <c r="AC47" i="5"/>
  <c r="AD47" i="5" s="1"/>
  <c r="AE47" i="5" s="1"/>
  <c r="CC48" i="5"/>
  <c r="DG48" i="5" s="1"/>
  <c r="CD48" i="5"/>
  <c r="DH48" i="5" s="1"/>
  <c r="AC54" i="5"/>
  <c r="AD54" i="5" s="1"/>
  <c r="AE54" i="5" s="1"/>
  <c r="CD55" i="5"/>
  <c r="DH55" i="5" s="1"/>
  <c r="CC55" i="5"/>
  <c r="DG55" i="5" s="1"/>
  <c r="AC58" i="5"/>
  <c r="AD58" i="5" s="1"/>
  <c r="AE58" i="5" s="1"/>
  <c r="CD59" i="5"/>
  <c r="DH59" i="5" s="1"/>
  <c r="CC59" i="5"/>
  <c r="DG59" i="5" s="1"/>
  <c r="AC61" i="5"/>
  <c r="AD61" i="5" s="1"/>
  <c r="AE61" i="5" s="1"/>
  <c r="CC62" i="5"/>
  <c r="DG62" i="5" s="1"/>
  <c r="CD62" i="5"/>
  <c r="DH62" i="5" s="1"/>
  <c r="CC66" i="5"/>
  <c r="DG66" i="5" s="1"/>
  <c r="CD66" i="5"/>
  <c r="DH66" i="5" s="1"/>
  <c r="AC69" i="5"/>
  <c r="AD69" i="5" s="1"/>
  <c r="AE69" i="5" s="1"/>
  <c r="CC70" i="5"/>
  <c r="DG70" i="5" s="1"/>
  <c r="CD70" i="5"/>
  <c r="DH70" i="5" s="1"/>
  <c r="AC72" i="5"/>
  <c r="AD72" i="5" s="1"/>
  <c r="AE72" i="5" s="1"/>
  <c r="CD73" i="5"/>
  <c r="DH73" i="5" s="1"/>
  <c r="CC73" i="5"/>
  <c r="DG73" i="5" s="1"/>
  <c r="AC77" i="5"/>
  <c r="AD77" i="5" s="1"/>
  <c r="AE77" i="5" s="1"/>
  <c r="CC78" i="5"/>
  <c r="DG78" i="5" s="1"/>
  <c r="CD78" i="5"/>
  <c r="DH78" i="5" s="1"/>
  <c r="CC84" i="5"/>
  <c r="DG84" i="5" s="1"/>
  <c r="CD84" i="5"/>
  <c r="DH84" i="5" s="1"/>
  <c r="AC85" i="5"/>
  <c r="AD85" i="5" s="1"/>
  <c r="AE85" i="5" s="1"/>
  <c r="CC86" i="5"/>
  <c r="DG86" i="5" s="1"/>
  <c r="CD86" i="5"/>
  <c r="DH86" i="5" s="1"/>
  <c r="AC93" i="5"/>
  <c r="AD93" i="5" s="1"/>
  <c r="AE93" i="5" s="1"/>
  <c r="CC94" i="5"/>
  <c r="DG94" i="5" s="1"/>
  <c r="CL94" i="5"/>
  <c r="CK94" i="5"/>
  <c r="CJ94" i="5"/>
  <c r="CH94" i="5"/>
  <c r="DL94" i="5" s="1"/>
  <c r="CF94" i="5"/>
  <c r="DJ94" i="5" s="1"/>
  <c r="CD94" i="5"/>
  <c r="DH94" i="5" s="1"/>
  <c r="CI94" i="5"/>
  <c r="DM94" i="5" s="1"/>
  <c r="CG94" i="5"/>
  <c r="DK94" i="5" s="1"/>
  <c r="CE94" i="5"/>
  <c r="DI94" i="5" s="1"/>
  <c r="AC94" i="5"/>
  <c r="AD94" i="5" s="1"/>
  <c r="AE94" i="5" s="1"/>
  <c r="CL95" i="5"/>
  <c r="CK95" i="5"/>
  <c r="CJ95" i="5"/>
  <c r="CI95" i="5"/>
  <c r="DM95" i="5" s="1"/>
  <c r="CH95" i="5"/>
  <c r="DL95" i="5" s="1"/>
  <c r="CG95" i="5"/>
  <c r="DK95" i="5" s="1"/>
  <c r="CF95" i="5"/>
  <c r="DJ95" i="5" s="1"/>
  <c r="CE95" i="5"/>
  <c r="DI95" i="5" s="1"/>
  <c r="CD95" i="5"/>
  <c r="DH95" i="5" s="1"/>
  <c r="CC95" i="5"/>
  <c r="DG95" i="5" s="1"/>
  <c r="AC100" i="5"/>
  <c r="AD100" i="5" s="1"/>
  <c r="AE100" i="5" s="1"/>
  <c r="CL101" i="5"/>
  <c r="CK101" i="5"/>
  <c r="CJ101" i="5"/>
  <c r="CI101" i="5"/>
  <c r="DM101" i="5" s="1"/>
  <c r="CH101" i="5"/>
  <c r="DL101" i="5" s="1"/>
  <c r="CG101" i="5"/>
  <c r="DK101" i="5" s="1"/>
  <c r="CF101" i="5"/>
  <c r="DJ101" i="5" s="1"/>
  <c r="CE101" i="5"/>
  <c r="DI101" i="5" s="1"/>
  <c r="CD101" i="5"/>
  <c r="DH101" i="5" s="1"/>
  <c r="CC101" i="5"/>
  <c r="DG101" i="5" s="1"/>
  <c r="AC106" i="5"/>
  <c r="AD106" i="5" s="1"/>
  <c r="AE106" i="5" s="1"/>
  <c r="CL107" i="5"/>
  <c r="CK107" i="5"/>
  <c r="CJ107" i="5"/>
  <c r="CI107" i="5"/>
  <c r="DM107" i="5" s="1"/>
  <c r="CH107" i="5"/>
  <c r="DL107" i="5" s="1"/>
  <c r="CG107" i="5"/>
  <c r="DK107" i="5" s="1"/>
  <c r="CF107" i="5"/>
  <c r="DJ107" i="5" s="1"/>
  <c r="CE107" i="5"/>
  <c r="DI107" i="5" s="1"/>
  <c r="CD107" i="5"/>
  <c r="DH107" i="5" s="1"/>
  <c r="CC107" i="5"/>
  <c r="DG107" i="5" s="1"/>
  <c r="AC110" i="5"/>
  <c r="AD110" i="5" s="1"/>
  <c r="AE110" i="5" s="1"/>
  <c r="CL111" i="5"/>
  <c r="CK111" i="5"/>
  <c r="CJ111" i="5"/>
  <c r="CI111" i="5"/>
  <c r="DM111" i="5" s="1"/>
  <c r="CH111" i="5"/>
  <c r="DL111" i="5" s="1"/>
  <c r="CG111" i="5"/>
  <c r="DK111" i="5" s="1"/>
  <c r="CF111" i="5"/>
  <c r="DJ111" i="5" s="1"/>
  <c r="CE111" i="5"/>
  <c r="DI111" i="5" s="1"/>
  <c r="CD111" i="5"/>
  <c r="DH111" i="5" s="1"/>
  <c r="CC111" i="5"/>
  <c r="DG111" i="5" s="1"/>
  <c r="AC128" i="5"/>
  <c r="AD128" i="5" s="1"/>
  <c r="AE128" i="5" s="1"/>
  <c r="CV129" i="5"/>
  <c r="CU129" i="5"/>
  <c r="CT129" i="5"/>
  <c r="CS129" i="5"/>
  <c r="CR129" i="5"/>
  <c r="CQ129" i="5"/>
  <c r="CP129" i="5"/>
  <c r="CO129" i="5"/>
  <c r="CN129" i="5"/>
  <c r="CM129" i="5"/>
  <c r="CL129" i="5"/>
  <c r="CK129" i="5"/>
  <c r="CJ129" i="5"/>
  <c r="CI129" i="5"/>
  <c r="DM129" i="5" s="1"/>
  <c r="CH129" i="5"/>
  <c r="DL129" i="5" s="1"/>
  <c r="CG129" i="5"/>
  <c r="DK129" i="5" s="1"/>
  <c r="CF129" i="5"/>
  <c r="CE129" i="5"/>
  <c r="DI129" i="5" s="1"/>
  <c r="CD129" i="5"/>
  <c r="DH129" i="5" s="1"/>
  <c r="CW129" i="5"/>
  <c r="CC129" i="5"/>
  <c r="DG129" i="5" s="1"/>
  <c r="AC125" i="5"/>
  <c r="AD125" i="5" s="1"/>
  <c r="AE125" i="5" s="1"/>
  <c r="CW126" i="5"/>
  <c r="CC126" i="5"/>
  <c r="DG126" i="5" s="1"/>
  <c r="CV126" i="5"/>
  <c r="CU126" i="5"/>
  <c r="CT126" i="5"/>
  <c r="CS126" i="5"/>
  <c r="CR126" i="5"/>
  <c r="CQ126" i="5"/>
  <c r="CP126" i="5"/>
  <c r="CO126" i="5"/>
  <c r="CN126" i="5"/>
  <c r="CM126" i="5"/>
  <c r="CL126" i="5"/>
  <c r="CK126" i="5"/>
  <c r="CJ126" i="5"/>
  <c r="CH126" i="5"/>
  <c r="CF126" i="5"/>
  <c r="DJ126" i="5" s="1"/>
  <c r="CD126" i="5"/>
  <c r="DH126" i="5" s="1"/>
  <c r="CI126" i="5"/>
  <c r="CG126" i="5"/>
  <c r="DK126" i="5" s="1"/>
  <c r="CE126" i="5"/>
  <c r="DI126" i="5" s="1"/>
  <c r="AC130" i="5"/>
  <c r="AD130" i="5" s="1"/>
  <c r="CV131" i="5"/>
  <c r="CU131" i="5"/>
  <c r="CT131" i="5"/>
  <c r="CS131" i="5"/>
  <c r="CR131" i="5"/>
  <c r="CQ131" i="5"/>
  <c r="CP131" i="5"/>
  <c r="CO131" i="5"/>
  <c r="CN131" i="5"/>
  <c r="CM131" i="5"/>
  <c r="CL131" i="5"/>
  <c r="CK131" i="5"/>
  <c r="CJ131" i="5"/>
  <c r="CI131" i="5"/>
  <c r="DM131" i="5" s="1"/>
  <c r="CH131" i="5"/>
  <c r="DL131" i="5" s="1"/>
  <c r="CG131" i="5"/>
  <c r="DK131" i="5" s="1"/>
  <c r="CF131" i="5"/>
  <c r="DJ131" i="5" s="1"/>
  <c r="CE131" i="5"/>
  <c r="DI131" i="5" s="1"/>
  <c r="CD131" i="5"/>
  <c r="DH131" i="5" s="1"/>
  <c r="CW131" i="5"/>
  <c r="CC131" i="5"/>
  <c r="DG131" i="5" s="1"/>
  <c r="CV119" i="5"/>
  <c r="CU119" i="5"/>
  <c r="CT119" i="5"/>
  <c r="CS119" i="5"/>
  <c r="CR119" i="5"/>
  <c r="CQ119" i="5"/>
  <c r="CL119" i="5"/>
  <c r="CK119" i="5"/>
  <c r="CJ119" i="5"/>
  <c r="CI119" i="5"/>
  <c r="DM119" i="5" s="1"/>
  <c r="CH119" i="5"/>
  <c r="DL119" i="5" s="1"/>
  <c r="CG119" i="5"/>
  <c r="DK119" i="5" s="1"/>
  <c r="CF119" i="5"/>
  <c r="DJ119" i="5" s="1"/>
  <c r="CE119" i="5"/>
  <c r="DI119" i="5" s="1"/>
  <c r="CD119" i="5"/>
  <c r="DH119" i="5" s="1"/>
  <c r="CW119" i="5"/>
  <c r="CC119" i="5"/>
  <c r="DG119" i="5" s="1"/>
  <c r="CW124" i="5"/>
  <c r="CC124" i="5"/>
  <c r="DG124" i="5" s="1"/>
  <c r="CV124" i="5"/>
  <c r="CU124" i="5"/>
  <c r="CT124" i="5"/>
  <c r="CS124" i="5"/>
  <c r="CR124" i="5"/>
  <c r="CQ124" i="5"/>
  <c r="CP124" i="5"/>
  <c r="CO124" i="5"/>
  <c r="CN124" i="5"/>
  <c r="CM124" i="5"/>
  <c r="CL124" i="5"/>
  <c r="CK124" i="5"/>
  <c r="CJ124" i="5"/>
  <c r="CI124" i="5"/>
  <c r="CG124" i="5"/>
  <c r="DK124" i="5" s="1"/>
  <c r="CE124" i="5"/>
  <c r="DI124" i="5" s="1"/>
  <c r="CH124" i="5"/>
  <c r="DL124" i="5" s="1"/>
  <c r="CF124" i="5"/>
  <c r="DJ124" i="5" s="1"/>
  <c r="CD124" i="5"/>
  <c r="DH124" i="5" s="1"/>
  <c r="AC129" i="5"/>
  <c r="AD129" i="5" s="1"/>
  <c r="AE129" i="5" s="1"/>
  <c r="CW130" i="5"/>
  <c r="CC130" i="5"/>
  <c r="DG130" i="5" s="1"/>
  <c r="CV130" i="5"/>
  <c r="CU130" i="5"/>
  <c r="CT130" i="5"/>
  <c r="CS130" i="5"/>
  <c r="CR130" i="5"/>
  <c r="CQ130" i="5"/>
  <c r="CP130" i="5"/>
  <c r="CO130" i="5"/>
  <c r="CN130" i="5"/>
  <c r="CM130" i="5"/>
  <c r="CL130" i="5"/>
  <c r="CK130" i="5"/>
  <c r="CJ130" i="5"/>
  <c r="CH130" i="5"/>
  <c r="DL130" i="5" s="1"/>
  <c r="CF130" i="5"/>
  <c r="DJ130" i="5" s="1"/>
  <c r="CD130" i="5"/>
  <c r="DH130" i="5" s="1"/>
  <c r="CI130" i="5"/>
  <c r="DM130" i="5" s="1"/>
  <c r="CG130" i="5"/>
  <c r="DK130" i="5" s="1"/>
  <c r="CE130" i="5"/>
  <c r="DI130" i="5" s="1"/>
  <c r="AC126" i="5"/>
  <c r="AD126" i="5" s="1"/>
  <c r="AE126" i="5" s="1"/>
  <c r="AG126" i="5" s="1"/>
  <c r="CV127" i="5"/>
  <c r="CU127" i="5"/>
  <c r="CT127" i="5"/>
  <c r="CS127" i="5"/>
  <c r="CR127" i="5"/>
  <c r="CQ127" i="5"/>
  <c r="CP127" i="5"/>
  <c r="CO127" i="5"/>
  <c r="CN127" i="5"/>
  <c r="CM127" i="5"/>
  <c r="CL127" i="5"/>
  <c r="CK127" i="5"/>
  <c r="CJ127" i="5"/>
  <c r="CI127" i="5"/>
  <c r="DM127" i="5" s="1"/>
  <c r="CH127" i="5"/>
  <c r="CG127" i="5"/>
  <c r="DK127" i="5" s="1"/>
  <c r="CF127" i="5"/>
  <c r="DJ127" i="5" s="1"/>
  <c r="CE127" i="5"/>
  <c r="DI127" i="5" s="1"/>
  <c r="CD127" i="5"/>
  <c r="DH127" i="5" s="1"/>
  <c r="CW127" i="5"/>
  <c r="CC127" i="5"/>
  <c r="DG127" i="5" s="1"/>
  <c r="AC38" i="5"/>
  <c r="AD38" i="5" s="1"/>
  <c r="AE38" i="5" s="1"/>
  <c r="CD39" i="5"/>
  <c r="DH39" i="5" s="1"/>
  <c r="CC39" i="5"/>
  <c r="DG39" i="5" s="1"/>
  <c r="AC40" i="5"/>
  <c r="AD40" i="5" s="1"/>
  <c r="AE40" i="5" s="1"/>
  <c r="CD41" i="5"/>
  <c r="DH41" i="5" s="1"/>
  <c r="CC41" i="5"/>
  <c r="DG41" i="5" s="1"/>
  <c r="AC44" i="5"/>
  <c r="AD44" i="5" s="1"/>
  <c r="AE44" i="5" s="1"/>
  <c r="CD45" i="5"/>
  <c r="DH45" i="5" s="1"/>
  <c r="CC45" i="5"/>
  <c r="DG45" i="5" s="1"/>
  <c r="CC50" i="5"/>
  <c r="DG50" i="5" s="1"/>
  <c r="CD50" i="5"/>
  <c r="DH50" i="5" s="1"/>
  <c r="AC53" i="5"/>
  <c r="AD53" i="5" s="1"/>
  <c r="AE53" i="5" s="1"/>
  <c r="CC54" i="5"/>
  <c r="DG54" i="5" s="1"/>
  <c r="CD54" i="5"/>
  <c r="DH54" i="5" s="1"/>
  <c r="AC55" i="5"/>
  <c r="AD55" i="5" s="1"/>
  <c r="AE55" i="5" s="1"/>
  <c r="CC56" i="5"/>
  <c r="DG56" i="5" s="1"/>
  <c r="CD56" i="5"/>
  <c r="DH56" i="5" s="1"/>
  <c r="AC60" i="5"/>
  <c r="AD60" i="5" s="1"/>
  <c r="AE60" i="5" s="1"/>
  <c r="CD61" i="5"/>
  <c r="DH61" i="5" s="1"/>
  <c r="CC61" i="5"/>
  <c r="DG61" i="5" s="1"/>
  <c r="AC63" i="5"/>
  <c r="AD63" i="5" s="1"/>
  <c r="AE63" i="5" s="1"/>
  <c r="CC64" i="5"/>
  <c r="DG64" i="5" s="1"/>
  <c r="CD64" i="5"/>
  <c r="DH64" i="5" s="1"/>
  <c r="AC66" i="5"/>
  <c r="AD66" i="5" s="1"/>
  <c r="AE66" i="5" s="1"/>
  <c r="CD67" i="5"/>
  <c r="DH67" i="5" s="1"/>
  <c r="CC67" i="5"/>
  <c r="DG67" i="5" s="1"/>
  <c r="AC71" i="5"/>
  <c r="AD71" i="5" s="1"/>
  <c r="AE71" i="5" s="1"/>
  <c r="CC72" i="5"/>
  <c r="DG72" i="5" s="1"/>
  <c r="CD72" i="5"/>
  <c r="DH72" i="5" s="1"/>
  <c r="AC74" i="5"/>
  <c r="AD74" i="5" s="1"/>
  <c r="AE74" i="5" s="1"/>
  <c r="CD75" i="5"/>
  <c r="DH75" i="5" s="1"/>
  <c r="CC75" i="5"/>
  <c r="DG75" i="5" s="1"/>
  <c r="AC78" i="5"/>
  <c r="AD78" i="5" s="1"/>
  <c r="AE78" i="5" s="1"/>
  <c r="CD79" i="5"/>
  <c r="DH79" i="5" s="1"/>
  <c r="CC79" i="5"/>
  <c r="DG79" i="5" s="1"/>
  <c r="CC82" i="5"/>
  <c r="DG82" i="5" s="1"/>
  <c r="CD82" i="5"/>
  <c r="DH82" i="5" s="1"/>
  <c r="AC82" i="5"/>
  <c r="AD82" i="5" s="1"/>
  <c r="AE82" i="5" s="1"/>
  <c r="CD83" i="5"/>
  <c r="DH83" i="5" s="1"/>
  <c r="CC83" i="5"/>
  <c r="DG83" i="5" s="1"/>
  <c r="AC88" i="5"/>
  <c r="AD88" i="5" s="1"/>
  <c r="AE88" i="5" s="1"/>
  <c r="CI89" i="5"/>
  <c r="DM89" i="5" s="1"/>
  <c r="CD89" i="5"/>
  <c r="DH89" i="5" s="1"/>
  <c r="CC89" i="5"/>
  <c r="DG89" i="5" s="1"/>
  <c r="AC90" i="5"/>
  <c r="AD90" i="5" s="1"/>
  <c r="AE90" i="5" s="1"/>
  <c r="CL91" i="5"/>
  <c r="CK91" i="5"/>
  <c r="CJ91" i="5"/>
  <c r="CI91" i="5"/>
  <c r="DM91" i="5" s="1"/>
  <c r="CH91" i="5"/>
  <c r="DL91" i="5" s="1"/>
  <c r="CG91" i="5"/>
  <c r="DK91" i="5" s="1"/>
  <c r="CF91" i="5"/>
  <c r="DJ91" i="5" s="1"/>
  <c r="CE91" i="5"/>
  <c r="DI91" i="5" s="1"/>
  <c r="CD91" i="5"/>
  <c r="DH91" i="5" s="1"/>
  <c r="CC91" i="5"/>
  <c r="DG91" i="5" s="1"/>
  <c r="AC92" i="5"/>
  <c r="AD92" i="5" s="1"/>
  <c r="AE92" i="5" s="1"/>
  <c r="CL93" i="5"/>
  <c r="CK93" i="5"/>
  <c r="CJ93" i="5"/>
  <c r="CI93" i="5"/>
  <c r="DM93" i="5" s="1"/>
  <c r="CH93" i="5"/>
  <c r="DL93" i="5" s="1"/>
  <c r="CG93" i="5"/>
  <c r="DK93" i="5" s="1"/>
  <c r="CF93" i="5"/>
  <c r="DJ93" i="5" s="1"/>
  <c r="CE93" i="5"/>
  <c r="DI93" i="5" s="1"/>
  <c r="CD93" i="5"/>
  <c r="DH93" i="5" s="1"/>
  <c r="CC93" i="5"/>
  <c r="DG93" i="5" s="1"/>
  <c r="CC98" i="5"/>
  <c r="DG98" i="5" s="1"/>
  <c r="CL98" i="5"/>
  <c r="CK98" i="5"/>
  <c r="CJ98" i="5"/>
  <c r="CH98" i="5"/>
  <c r="DL98" i="5" s="1"/>
  <c r="CF98" i="5"/>
  <c r="DJ98" i="5" s="1"/>
  <c r="CD98" i="5"/>
  <c r="DH98" i="5" s="1"/>
  <c r="CI98" i="5"/>
  <c r="DM98" i="5" s="1"/>
  <c r="CG98" i="5"/>
  <c r="DK98" i="5" s="1"/>
  <c r="CE98" i="5"/>
  <c r="DI98" i="5" s="1"/>
  <c r="CL103" i="5"/>
  <c r="CK103" i="5"/>
  <c r="CJ103" i="5"/>
  <c r="CI103" i="5"/>
  <c r="DM103" i="5" s="1"/>
  <c r="CH103" i="5"/>
  <c r="DL103" i="5" s="1"/>
  <c r="CG103" i="5"/>
  <c r="DK103" i="5" s="1"/>
  <c r="CF103" i="5"/>
  <c r="DJ103" i="5" s="1"/>
  <c r="CE103" i="5"/>
  <c r="DI103" i="5" s="1"/>
  <c r="CD103" i="5"/>
  <c r="DH103" i="5" s="1"/>
  <c r="CC103" i="5"/>
  <c r="DG103" i="5" s="1"/>
  <c r="CC106" i="5"/>
  <c r="DG106" i="5" s="1"/>
  <c r="CL106" i="5"/>
  <c r="CK106" i="5"/>
  <c r="CJ106" i="5"/>
  <c r="CH106" i="5"/>
  <c r="DL106" i="5" s="1"/>
  <c r="CF106" i="5"/>
  <c r="DJ106" i="5" s="1"/>
  <c r="CD106" i="5"/>
  <c r="DH106" i="5" s="1"/>
  <c r="CI106" i="5"/>
  <c r="DM106" i="5" s="1"/>
  <c r="CG106" i="5"/>
  <c r="DK106" i="5" s="1"/>
  <c r="CE106" i="5"/>
  <c r="DI106" i="5" s="1"/>
  <c r="AC108" i="5"/>
  <c r="AD108" i="5" s="1"/>
  <c r="AE108" i="5" s="1"/>
  <c r="CL109" i="5"/>
  <c r="CK109" i="5"/>
  <c r="CJ109" i="5"/>
  <c r="CI109" i="5"/>
  <c r="DM109" i="5" s="1"/>
  <c r="CH109" i="5"/>
  <c r="DL109" i="5" s="1"/>
  <c r="CG109" i="5"/>
  <c r="DK109" i="5" s="1"/>
  <c r="CF109" i="5"/>
  <c r="DJ109" i="5" s="1"/>
  <c r="CE109" i="5"/>
  <c r="DI109" i="5" s="1"/>
  <c r="CD109" i="5"/>
  <c r="DH109" i="5" s="1"/>
  <c r="CC109" i="5"/>
  <c r="DG109" i="5" s="1"/>
  <c r="AC109" i="5"/>
  <c r="AD109" i="5" s="1"/>
  <c r="AE109" i="5" s="1"/>
  <c r="CC110" i="5"/>
  <c r="DG110" i="5" s="1"/>
  <c r="CL110" i="5"/>
  <c r="CK110" i="5"/>
  <c r="CJ110" i="5"/>
  <c r="CH110" i="5"/>
  <c r="DL110" i="5" s="1"/>
  <c r="CF110" i="5"/>
  <c r="DJ110" i="5" s="1"/>
  <c r="CD110" i="5"/>
  <c r="DH110" i="5" s="1"/>
  <c r="CI110" i="5"/>
  <c r="DM110" i="5" s="1"/>
  <c r="CG110" i="5"/>
  <c r="DK110" i="5" s="1"/>
  <c r="CE110" i="5"/>
  <c r="DI110" i="5" s="1"/>
  <c r="AC114" i="5"/>
  <c r="AD114" i="5" s="1"/>
  <c r="AE114" i="5" s="1"/>
  <c r="CV115" i="5"/>
  <c r="CU115" i="5"/>
  <c r="CL115" i="5"/>
  <c r="CK115" i="5"/>
  <c r="CJ115" i="5"/>
  <c r="CI115" i="5"/>
  <c r="DM115" i="5" s="1"/>
  <c r="CH115" i="5"/>
  <c r="DL115" i="5" s="1"/>
  <c r="CG115" i="5"/>
  <c r="DK115" i="5" s="1"/>
  <c r="CF115" i="5"/>
  <c r="DJ115" i="5" s="1"/>
  <c r="CE115" i="5"/>
  <c r="DI115" i="5" s="1"/>
  <c r="CD115" i="5"/>
  <c r="DH115" i="5" s="1"/>
  <c r="CW115" i="5"/>
  <c r="CC115" i="5"/>
  <c r="DG115" i="5" s="1"/>
  <c r="AC117" i="5"/>
  <c r="AD117" i="5" s="1"/>
  <c r="AE117" i="5" s="1"/>
  <c r="CW118" i="5"/>
  <c r="CC118" i="5"/>
  <c r="DG118" i="5" s="1"/>
  <c r="CV118" i="5"/>
  <c r="CU118" i="5"/>
  <c r="CT118" i="5"/>
  <c r="CS118" i="5"/>
  <c r="CR118" i="5"/>
  <c r="CL118" i="5"/>
  <c r="CK118" i="5"/>
  <c r="CJ118" i="5"/>
  <c r="CH118" i="5"/>
  <c r="DL118" i="5" s="1"/>
  <c r="CF118" i="5"/>
  <c r="DJ118" i="5" s="1"/>
  <c r="CD118" i="5"/>
  <c r="DH118" i="5" s="1"/>
  <c r="CI118" i="5"/>
  <c r="DM118" i="5" s="1"/>
  <c r="CG118" i="5"/>
  <c r="DK118" i="5" s="1"/>
  <c r="CE118" i="5"/>
  <c r="DI118" i="5" s="1"/>
  <c r="AC119" i="5"/>
  <c r="AD119" i="5" s="1"/>
  <c r="AE119" i="5" s="1"/>
  <c r="CW120" i="5"/>
  <c r="CC120" i="5"/>
  <c r="DG120" i="5" s="1"/>
  <c r="CV120" i="5"/>
  <c r="CU120" i="5"/>
  <c r="CT120" i="5"/>
  <c r="CS120" i="5"/>
  <c r="CR120" i="5"/>
  <c r="CQ120" i="5"/>
  <c r="CP120" i="5"/>
  <c r="CL120" i="5"/>
  <c r="CK120" i="5"/>
  <c r="CJ120" i="5"/>
  <c r="CI120" i="5"/>
  <c r="DM120" i="5" s="1"/>
  <c r="CG120" i="5"/>
  <c r="DK120" i="5" s="1"/>
  <c r="CE120" i="5"/>
  <c r="DI120" i="5" s="1"/>
  <c r="CH120" i="5"/>
  <c r="DL120" i="5" s="1"/>
  <c r="CF120" i="5"/>
  <c r="DJ120" i="5" s="1"/>
  <c r="CD120" i="5"/>
  <c r="DH120" i="5" s="1"/>
  <c r="CW122" i="5"/>
  <c r="CC122" i="5"/>
  <c r="DG122" i="5" s="1"/>
  <c r="CV122" i="5"/>
  <c r="CU122" i="5"/>
  <c r="CT122" i="5"/>
  <c r="CS122" i="5"/>
  <c r="CR122" i="5"/>
  <c r="CQ122" i="5"/>
  <c r="CP122" i="5"/>
  <c r="CO122" i="5"/>
  <c r="CN122" i="5"/>
  <c r="CL122" i="5"/>
  <c r="CK122" i="5"/>
  <c r="CJ122" i="5"/>
  <c r="CH122" i="5"/>
  <c r="DL122" i="5" s="1"/>
  <c r="CF122" i="5"/>
  <c r="DJ122" i="5" s="1"/>
  <c r="CD122" i="5"/>
  <c r="DH122" i="5" s="1"/>
  <c r="CI122" i="5"/>
  <c r="DM122" i="5" s="1"/>
  <c r="CG122" i="5"/>
  <c r="DK122" i="5" s="1"/>
  <c r="CE122" i="5"/>
  <c r="DI122" i="5" s="1"/>
  <c r="AC28" i="5"/>
  <c r="CD29" i="5"/>
  <c r="DH29" i="5" s="1"/>
  <c r="CC29" i="5"/>
  <c r="DG29" i="5" s="1"/>
  <c r="AC29" i="5"/>
  <c r="AD29" i="5" s="1"/>
  <c r="AE29" i="5" s="1"/>
  <c r="CC30" i="5"/>
  <c r="DG30" i="5" s="1"/>
  <c r="CD30" i="5"/>
  <c r="DH30" i="5" s="1"/>
  <c r="AC31" i="5"/>
  <c r="AD31" i="5" s="1"/>
  <c r="AE31" i="5" s="1"/>
  <c r="CC32" i="5"/>
  <c r="DG32" i="5" s="1"/>
  <c r="CD32" i="5"/>
  <c r="DH32" i="5" s="1"/>
  <c r="AC34" i="5"/>
  <c r="AD34" i="5" s="1"/>
  <c r="AE34" i="5" s="1"/>
  <c r="CD35" i="5"/>
  <c r="DH35" i="5" s="1"/>
  <c r="CC35" i="5"/>
  <c r="DG35" i="5" s="1"/>
  <c r="CC36" i="5"/>
  <c r="DG36" i="5" s="1"/>
  <c r="CD36" i="5"/>
  <c r="DH36" i="5" s="1"/>
  <c r="AC39" i="5"/>
  <c r="AD39" i="5" s="1"/>
  <c r="AE39" i="5" s="1"/>
  <c r="CC40" i="5"/>
  <c r="DG40" i="5" s="1"/>
  <c r="CD40" i="5"/>
  <c r="DH40" i="5" s="1"/>
  <c r="AC42" i="5"/>
  <c r="AD42" i="5" s="1"/>
  <c r="AE42" i="5" s="1"/>
  <c r="CD43" i="5"/>
  <c r="DH43" i="5" s="1"/>
  <c r="CC43" i="5"/>
  <c r="DG43" i="5" s="1"/>
  <c r="AC48" i="5"/>
  <c r="AD48" i="5" s="1"/>
  <c r="AE48" i="5" s="1"/>
  <c r="CD49" i="5"/>
  <c r="DH49" i="5" s="1"/>
  <c r="CC49" i="5"/>
  <c r="DG49" i="5" s="1"/>
  <c r="AC51" i="5"/>
  <c r="AD51" i="5" s="1"/>
  <c r="AE51" i="5" s="1"/>
  <c r="CC52" i="5"/>
  <c r="DG52" i="5" s="1"/>
  <c r="CD52" i="5"/>
  <c r="DH52" i="5" s="1"/>
  <c r="CC58" i="5"/>
  <c r="DG58" i="5" s="1"/>
  <c r="CD58" i="5"/>
  <c r="DH58" i="5" s="1"/>
  <c r="AC62" i="5"/>
  <c r="AD62" i="5" s="1"/>
  <c r="AE62" i="5" s="1"/>
  <c r="CD63" i="5"/>
  <c r="DH63" i="5" s="1"/>
  <c r="CC63" i="5"/>
  <c r="DG63" i="5" s="1"/>
  <c r="AC64" i="5"/>
  <c r="AD64" i="5" s="1"/>
  <c r="AE64" i="5" s="1"/>
  <c r="CD65" i="5"/>
  <c r="DH65" i="5" s="1"/>
  <c r="CC65" i="5"/>
  <c r="DG65" i="5" s="1"/>
  <c r="AC70" i="5"/>
  <c r="AD70" i="5" s="1"/>
  <c r="AE70" i="5" s="1"/>
  <c r="CD71" i="5"/>
  <c r="DH71" i="5" s="1"/>
  <c r="CC71" i="5"/>
  <c r="DG71" i="5" s="1"/>
  <c r="AC76" i="5"/>
  <c r="AD76" i="5" s="1"/>
  <c r="AE76" i="5" s="1"/>
  <c r="CD77" i="5"/>
  <c r="DH77" i="5" s="1"/>
  <c r="CC77" i="5"/>
  <c r="DG77" i="5" s="1"/>
  <c r="AC79" i="5"/>
  <c r="AD79" i="5" s="1"/>
  <c r="AE79" i="5" s="1"/>
  <c r="CC80" i="5"/>
  <c r="DG80" i="5" s="1"/>
  <c r="CD80" i="5"/>
  <c r="DH80" i="5" s="1"/>
  <c r="AC86" i="5"/>
  <c r="AD86" i="5" s="1"/>
  <c r="AE86" i="5" s="1"/>
  <c r="CD87" i="5"/>
  <c r="DH87" i="5" s="1"/>
  <c r="CC87" i="5"/>
  <c r="DG87" i="5" s="1"/>
  <c r="CC92" i="5"/>
  <c r="DG92" i="5" s="1"/>
  <c r="CL92" i="5"/>
  <c r="CK92" i="5"/>
  <c r="CJ92" i="5"/>
  <c r="CI92" i="5"/>
  <c r="DM92" i="5" s="1"/>
  <c r="CG92" i="5"/>
  <c r="DK92" i="5" s="1"/>
  <c r="CE92" i="5"/>
  <c r="DI92" i="5" s="1"/>
  <c r="CH92" i="5"/>
  <c r="DL92" i="5" s="1"/>
  <c r="CF92" i="5"/>
  <c r="DJ92" i="5" s="1"/>
  <c r="CD92" i="5"/>
  <c r="DH92" i="5" s="1"/>
  <c r="AC95" i="5"/>
  <c r="AD95" i="5" s="1"/>
  <c r="AE95" i="5" s="1"/>
  <c r="CC96" i="5"/>
  <c r="DG96" i="5" s="1"/>
  <c r="CL96" i="5"/>
  <c r="CK96" i="5"/>
  <c r="CJ96" i="5"/>
  <c r="CI96" i="5"/>
  <c r="DM96" i="5" s="1"/>
  <c r="CG96" i="5"/>
  <c r="DK96" i="5" s="1"/>
  <c r="CE96" i="5"/>
  <c r="DI96" i="5" s="1"/>
  <c r="CH96" i="5"/>
  <c r="DL96" i="5" s="1"/>
  <c r="CF96" i="5"/>
  <c r="DJ96" i="5" s="1"/>
  <c r="CD96" i="5"/>
  <c r="DH96" i="5" s="1"/>
  <c r="CC100" i="5"/>
  <c r="DG100" i="5" s="1"/>
  <c r="CL100" i="5"/>
  <c r="CK100" i="5"/>
  <c r="CJ100" i="5"/>
  <c r="CI100" i="5"/>
  <c r="DM100" i="5" s="1"/>
  <c r="CG100" i="5"/>
  <c r="DK100" i="5" s="1"/>
  <c r="CE100" i="5"/>
  <c r="DI100" i="5" s="1"/>
  <c r="CH100" i="5"/>
  <c r="DL100" i="5" s="1"/>
  <c r="CF100" i="5"/>
  <c r="DJ100" i="5" s="1"/>
  <c r="CD100" i="5"/>
  <c r="DH100" i="5" s="1"/>
  <c r="AC103" i="5"/>
  <c r="AD103" i="5" s="1"/>
  <c r="AE103" i="5" s="1"/>
  <c r="CC104" i="5"/>
  <c r="DG104" i="5" s="1"/>
  <c r="CL104" i="5"/>
  <c r="CK104" i="5"/>
  <c r="CJ104" i="5"/>
  <c r="CI104" i="5"/>
  <c r="DM104" i="5" s="1"/>
  <c r="CG104" i="5"/>
  <c r="DK104" i="5" s="1"/>
  <c r="CE104" i="5"/>
  <c r="DI104" i="5" s="1"/>
  <c r="CH104" i="5"/>
  <c r="DL104" i="5" s="1"/>
  <c r="CF104" i="5"/>
  <c r="DJ104" i="5" s="1"/>
  <c r="CD104" i="5"/>
  <c r="DH104" i="5" s="1"/>
  <c r="AC111" i="5"/>
  <c r="AD111" i="5" s="1"/>
  <c r="AE111" i="5" s="1"/>
  <c r="CC112" i="5"/>
  <c r="DG112" i="5" s="1"/>
  <c r="CL112" i="5"/>
  <c r="CK112" i="5"/>
  <c r="CJ112" i="5"/>
  <c r="CI112" i="5"/>
  <c r="DM112" i="5" s="1"/>
  <c r="CG112" i="5"/>
  <c r="DK112" i="5" s="1"/>
  <c r="CE112" i="5"/>
  <c r="DI112" i="5" s="1"/>
  <c r="CH112" i="5"/>
  <c r="DL112" i="5" s="1"/>
  <c r="CF112" i="5"/>
  <c r="DJ112" i="5" s="1"/>
  <c r="CD112" i="5"/>
  <c r="DH112" i="5" s="1"/>
  <c r="CW116" i="5"/>
  <c r="CC116" i="5"/>
  <c r="DG116" i="5" s="1"/>
  <c r="CV116" i="5"/>
  <c r="CU116" i="5"/>
  <c r="CT116" i="5"/>
  <c r="CL116" i="5"/>
  <c r="CK116" i="5"/>
  <c r="CJ116" i="5"/>
  <c r="CI116" i="5"/>
  <c r="DM116" i="5" s="1"/>
  <c r="CG116" i="5"/>
  <c r="DK116" i="5" s="1"/>
  <c r="CE116" i="5"/>
  <c r="DI116" i="5" s="1"/>
  <c r="CH116" i="5"/>
  <c r="DL116" i="5" s="1"/>
  <c r="CF116" i="5"/>
  <c r="DJ116" i="5" s="1"/>
  <c r="CD116" i="5"/>
  <c r="DH116" i="5" s="1"/>
  <c r="CV123" i="5"/>
  <c r="CU123" i="5"/>
  <c r="CT123" i="5"/>
  <c r="CS123" i="5"/>
  <c r="CR123" i="5"/>
  <c r="CQ123" i="5"/>
  <c r="CP123" i="5"/>
  <c r="CO123" i="5"/>
  <c r="CN123" i="5"/>
  <c r="CM123" i="5"/>
  <c r="CL123" i="5"/>
  <c r="CK123" i="5"/>
  <c r="CJ123" i="5"/>
  <c r="CI123" i="5"/>
  <c r="DM123" i="5" s="1"/>
  <c r="CH123" i="5"/>
  <c r="DL123" i="5" s="1"/>
  <c r="CG123" i="5"/>
  <c r="DK123" i="5" s="1"/>
  <c r="CF123" i="5"/>
  <c r="DJ123" i="5" s="1"/>
  <c r="CE123" i="5"/>
  <c r="DI123" i="5" s="1"/>
  <c r="CD123" i="5"/>
  <c r="DH123" i="5" s="1"/>
  <c r="CW123" i="5"/>
  <c r="CC123" i="5"/>
  <c r="DG123" i="5" s="1"/>
  <c r="DP28" i="5"/>
  <c r="EK28" i="5" s="1"/>
  <c r="DP30" i="5"/>
  <c r="EK30" i="5" s="1"/>
  <c r="DP34" i="5"/>
  <c r="EK34" i="5" s="1"/>
  <c r="DP41" i="5"/>
  <c r="EK41" i="5" s="1"/>
  <c r="DP48" i="5"/>
  <c r="EK48" i="5" s="1"/>
  <c r="DP50" i="5"/>
  <c r="EK50" i="5" s="1"/>
  <c r="DP54" i="5"/>
  <c r="EK54" i="5" s="1"/>
  <c r="DP57" i="5"/>
  <c r="EK57" i="5" s="1"/>
  <c r="DP73" i="5"/>
  <c r="EK73" i="5" s="1"/>
  <c r="DP78" i="5"/>
  <c r="EK78" i="5" s="1"/>
  <c r="DP82" i="5"/>
  <c r="EK82" i="5" s="1"/>
  <c r="DP85" i="5"/>
  <c r="EK85" i="5" s="1"/>
  <c r="AA132" i="5"/>
  <c r="ER132" i="5"/>
  <c r="EV132" i="5"/>
  <c r="EZ132" i="5"/>
  <c r="ET132" i="5"/>
  <c r="FD132" i="5"/>
  <c r="EU132" i="5"/>
  <c r="ES132" i="5"/>
  <c r="EX132" i="5"/>
  <c r="FB132" i="5"/>
  <c r="EW132" i="5"/>
  <c r="FA132" i="5"/>
  <c r="EY132" i="5"/>
  <c r="FC132" i="5"/>
  <c r="II132" i="5" s="1"/>
  <c r="AA130" i="5"/>
  <c r="AE130" i="5" s="1"/>
  <c r="ER130" i="5"/>
  <c r="EV130" i="5"/>
  <c r="ET130" i="5"/>
  <c r="EX130" i="5"/>
  <c r="FB130" i="5"/>
  <c r="EU130" i="5"/>
  <c r="ES130" i="5"/>
  <c r="EW130" i="5"/>
  <c r="EZ130" i="5"/>
  <c r="FD130" i="5"/>
  <c r="EY130" i="5"/>
  <c r="FC130" i="5"/>
  <c r="II130" i="5" s="1"/>
  <c r="FA130" i="5"/>
  <c r="AD133" i="5"/>
  <c r="DP36" i="5"/>
  <c r="EK36" i="5" s="1"/>
  <c r="DP38" i="5"/>
  <c r="EK38" i="5" s="1"/>
  <c r="DP42" i="5"/>
  <c r="EK42" i="5" s="1"/>
  <c r="DP51" i="5"/>
  <c r="EK51" i="5" s="1"/>
  <c r="DP53" i="5"/>
  <c r="EK53" i="5" s="1"/>
  <c r="DP58" i="5"/>
  <c r="EK58" i="5" s="1"/>
  <c r="DP61" i="5"/>
  <c r="EK61" i="5" s="1"/>
  <c r="DP64" i="5"/>
  <c r="EK64" i="5" s="1"/>
  <c r="DP69" i="5"/>
  <c r="EK69" i="5" s="1"/>
  <c r="DP72" i="5"/>
  <c r="EK72" i="5" s="1"/>
  <c r="DP76" i="5"/>
  <c r="EK76" i="5" s="1"/>
  <c r="DP80" i="5"/>
  <c r="EK80" i="5" s="1"/>
  <c r="DP86" i="5"/>
  <c r="EK86" i="5" s="1"/>
  <c r="DP88" i="5"/>
  <c r="EK88" i="5" s="1"/>
  <c r="DP90" i="5"/>
  <c r="EK90" i="5" s="1"/>
  <c r="AA133" i="5"/>
  <c r="AE133" i="5" s="1"/>
  <c r="ET133" i="5"/>
  <c r="HZ133" i="5" s="1"/>
  <c r="ER133" i="5"/>
  <c r="HX133" i="5" s="1"/>
  <c r="EU133" i="5"/>
  <c r="IA133" i="5" s="1"/>
  <c r="IU133" i="5" s="1"/>
  <c r="FC133" i="5"/>
  <c r="II133" i="5" s="1"/>
  <c r="ES133" i="5"/>
  <c r="HY133" i="5" s="1"/>
  <c r="IS133" i="5" s="1"/>
  <c r="EY133" i="5"/>
  <c r="IE133" i="5" s="1"/>
  <c r="FA133" i="5"/>
  <c r="IG133" i="5" s="1"/>
  <c r="JA133" i="5" s="1"/>
  <c r="EW133" i="5"/>
  <c r="IC133" i="5" s="1"/>
  <c r="FD133" i="5"/>
  <c r="EZ133" i="5"/>
  <c r="IF133" i="5" s="1"/>
  <c r="IZ133" i="5" s="1"/>
  <c r="EV133" i="5"/>
  <c r="IB133" i="5" s="1"/>
  <c r="FB133" i="5"/>
  <c r="IH133" i="5" s="1"/>
  <c r="JB133" i="5" s="1"/>
  <c r="EX133" i="5"/>
  <c r="ID133" i="5" s="1"/>
  <c r="AA131" i="5"/>
  <c r="FA131" i="5"/>
  <c r="ES131" i="5"/>
  <c r="EW131" i="5"/>
  <c r="EU131" i="5"/>
  <c r="ER131" i="5"/>
  <c r="EV131" i="5"/>
  <c r="ET131" i="5"/>
  <c r="FC131" i="5"/>
  <c r="II131" i="5" s="1"/>
  <c r="EY131" i="5"/>
  <c r="EZ131" i="5"/>
  <c r="FB131" i="5"/>
  <c r="EX131" i="5"/>
  <c r="FD131" i="5"/>
  <c r="DP29" i="5"/>
  <c r="EK29" i="5" s="1"/>
  <c r="DP32" i="5"/>
  <c r="EK32" i="5" s="1"/>
  <c r="DP37" i="5"/>
  <c r="EK37" i="5" s="1"/>
  <c r="DP40" i="5"/>
  <c r="EK40" i="5" s="1"/>
  <c r="DP46" i="5"/>
  <c r="EK46" i="5" s="1"/>
  <c r="DP49" i="5"/>
  <c r="EK49" i="5" s="1"/>
  <c r="DP60" i="5"/>
  <c r="EK60" i="5" s="1"/>
  <c r="DP62" i="5"/>
  <c r="EK62" i="5" s="1"/>
  <c r="DP68" i="5"/>
  <c r="EK68" i="5" s="1"/>
  <c r="DP74" i="5"/>
  <c r="EK74" i="5" s="1"/>
  <c r="DP77" i="5"/>
  <c r="EK77" i="5" s="1"/>
  <c r="DP84" i="5"/>
  <c r="EK84" i="5" s="1"/>
  <c r="DP35" i="5"/>
  <c r="EK35" i="5" s="1"/>
  <c r="DP43" i="5"/>
  <c r="EK43" i="5" s="1"/>
  <c r="DP45" i="5"/>
  <c r="EK45" i="5" s="1"/>
  <c r="DP52" i="5"/>
  <c r="EK52" i="5" s="1"/>
  <c r="DP56" i="5"/>
  <c r="EK56" i="5" s="1"/>
  <c r="DP59" i="5"/>
  <c r="EK59" i="5" s="1"/>
  <c r="DP66" i="5"/>
  <c r="EK66" i="5" s="1"/>
  <c r="DP70" i="5"/>
  <c r="EK70" i="5" s="1"/>
  <c r="DP75" i="5"/>
  <c r="EK75" i="5" s="1"/>
  <c r="DP83" i="5"/>
  <c r="EK83" i="5" s="1"/>
  <c r="DE122" i="5"/>
  <c r="DD124" i="5"/>
  <c r="DC126" i="5"/>
  <c r="DA129" i="5"/>
  <c r="F8" i="5"/>
  <c r="F1" i="5"/>
  <c r="X83" i="5"/>
  <c r="X89" i="5"/>
  <c r="X29" i="5"/>
  <c r="X49" i="5"/>
  <c r="X112" i="5"/>
  <c r="X96" i="5"/>
  <c r="X32" i="5"/>
  <c r="X35" i="5"/>
  <c r="X102" i="5"/>
  <c r="X61" i="5"/>
  <c r="X30" i="5"/>
  <c r="X40" i="5"/>
  <c r="X80" i="5"/>
  <c r="X104" i="5"/>
  <c r="X109" i="5"/>
  <c r="X120" i="5"/>
  <c r="X52" i="5"/>
  <c r="X63" i="5"/>
  <c r="X88" i="5"/>
  <c r="X128" i="5"/>
  <c r="X129" i="5"/>
  <c r="X64" i="5"/>
  <c r="X93" i="5"/>
  <c r="X115" i="5"/>
  <c r="X31" i="5"/>
  <c r="X38" i="5"/>
  <c r="X45" i="5"/>
  <c r="X53" i="5"/>
  <c r="X75" i="5"/>
  <c r="X91" i="5"/>
  <c r="X95" i="5"/>
  <c r="X118" i="5"/>
  <c r="X41" i="5"/>
  <c r="X62" i="5"/>
  <c r="X69" i="5"/>
  <c r="X73" i="5"/>
  <c r="X81" i="5"/>
  <c r="X101" i="5"/>
  <c r="X43" i="5"/>
  <c r="X87" i="5"/>
  <c r="X60" i="5"/>
  <c r="X79" i="5"/>
  <c r="X44" i="5"/>
  <c r="X51" i="5"/>
  <c r="X54" i="5"/>
  <c r="X67" i="5"/>
  <c r="X77" i="5"/>
  <c r="X85" i="5"/>
  <c r="X71" i="5"/>
  <c r="X65" i="5"/>
  <c r="X42" i="5"/>
  <c r="AC41" i="5"/>
  <c r="X55" i="5"/>
  <c r="X66" i="5"/>
  <c r="AC65" i="5"/>
  <c r="X76" i="5"/>
  <c r="X84" i="5"/>
  <c r="AC83" i="5"/>
  <c r="X97" i="5"/>
  <c r="X114" i="5"/>
  <c r="AC113" i="5"/>
  <c r="X119" i="5"/>
  <c r="AC118" i="5"/>
  <c r="X131" i="5"/>
  <c r="X46" i="5"/>
  <c r="X50" i="5"/>
  <c r="AC49" i="5"/>
  <c r="X86" i="5"/>
  <c r="X82" i="5"/>
  <c r="AC81" i="5"/>
  <c r="X98" i="5"/>
  <c r="AC97" i="5"/>
  <c r="X110" i="5"/>
  <c r="X106" i="5"/>
  <c r="AC105" i="5"/>
  <c r="X117" i="5"/>
  <c r="X127" i="5"/>
  <c r="X122" i="5"/>
  <c r="AC121" i="5"/>
  <c r="X39" i="5"/>
  <c r="X36" i="5"/>
  <c r="AC35" i="5"/>
  <c r="X47" i="5"/>
  <c r="X59" i="5"/>
  <c r="X58" i="5"/>
  <c r="AC57" i="5"/>
  <c r="X70" i="5"/>
  <c r="X78" i="5"/>
  <c r="X94" i="5"/>
  <c r="X92" i="5"/>
  <c r="AC91" i="5"/>
  <c r="X107" i="5"/>
  <c r="X116" i="5"/>
  <c r="AC115" i="5"/>
  <c r="X123" i="5"/>
  <c r="AC122" i="5"/>
  <c r="X125" i="5"/>
  <c r="AC124" i="5"/>
  <c r="AC132" i="5"/>
  <c r="X133" i="5"/>
  <c r="X34" i="5"/>
  <c r="AC33" i="5"/>
  <c r="X68" i="5"/>
  <c r="AC67" i="5"/>
  <c r="X74" i="5"/>
  <c r="AC73" i="5"/>
  <c r="X90" i="5"/>
  <c r="AC89" i="5"/>
  <c r="X108" i="5"/>
  <c r="AC107" i="5"/>
  <c r="X121" i="5"/>
  <c r="AC120" i="5"/>
  <c r="X124" i="5"/>
  <c r="AC123" i="5"/>
  <c r="X48" i="5"/>
  <c r="X57" i="5"/>
  <c r="X105" i="5"/>
  <c r="X103" i="5"/>
  <c r="AC102" i="5"/>
  <c r="X113" i="5"/>
  <c r="X33" i="5"/>
  <c r="X37" i="5"/>
  <c r="X56" i="5"/>
  <c r="X72" i="5"/>
  <c r="X99" i="5"/>
  <c r="X100" i="5"/>
  <c r="AC99" i="5"/>
  <c r="X111" i="5"/>
  <c r="X130" i="5"/>
  <c r="X132" i="5"/>
  <c r="M98" i="7"/>
  <c r="N98" i="7"/>
  <c r="D99" i="7"/>
  <c r="C98" i="7"/>
  <c r="I98" i="7" s="1"/>
  <c r="B98" i="7"/>
  <c r="F98" i="7" s="1"/>
  <c r="E98" i="7"/>
  <c r="H98" i="7" s="1"/>
  <c r="G98" i="7"/>
  <c r="K99" i="7"/>
  <c r="L99" i="7" s="1"/>
  <c r="J100" i="7"/>
  <c r="IX133" i="5" l="1"/>
  <c r="IV133" i="5"/>
  <c r="IT133" i="5"/>
  <c r="JC132" i="5"/>
  <c r="JC131" i="5"/>
  <c r="IW133" i="5"/>
  <c r="IY133" i="5"/>
  <c r="JC133" i="5"/>
  <c r="JC130" i="5"/>
  <c r="AE131" i="5"/>
  <c r="AG131" i="5" s="1"/>
  <c r="IR133" i="5"/>
  <c r="AG111" i="5"/>
  <c r="AI111" i="5" s="1"/>
  <c r="AG79" i="5"/>
  <c r="AI79" i="5" s="1"/>
  <c r="AG117" i="5"/>
  <c r="AI117" i="5" s="1"/>
  <c r="AG78" i="5"/>
  <c r="AI78" i="5" s="1"/>
  <c r="AG128" i="5"/>
  <c r="AI128" i="5" s="1"/>
  <c r="AG106" i="5"/>
  <c r="AI106" i="5" s="1"/>
  <c r="AG104" i="5"/>
  <c r="AI104" i="5" s="1"/>
  <c r="AG90" i="5"/>
  <c r="AI90" i="5" s="1"/>
  <c r="AG88" i="5"/>
  <c r="AI88" i="5" s="1"/>
  <c r="AG71" i="5"/>
  <c r="AI71" i="5" s="1"/>
  <c r="AG129" i="5"/>
  <c r="AI129" i="5" s="1"/>
  <c r="AG125" i="5"/>
  <c r="AI125" i="5" s="1"/>
  <c r="AG94" i="5"/>
  <c r="AI94" i="5" s="1"/>
  <c r="AG127" i="5"/>
  <c r="AI127" i="5" s="1"/>
  <c r="AG98" i="5"/>
  <c r="AI98" i="5" s="1"/>
  <c r="AG84" i="5"/>
  <c r="AI84" i="5" s="1"/>
  <c r="AG75" i="5"/>
  <c r="AI75" i="5" s="1"/>
  <c r="AG46" i="5"/>
  <c r="AG36" i="5"/>
  <c r="AI36" i="5" s="1"/>
  <c r="AG103" i="5"/>
  <c r="AI103" i="5" s="1"/>
  <c r="AG86" i="5"/>
  <c r="AI86" i="5" s="1"/>
  <c r="AG119" i="5"/>
  <c r="AI119" i="5" s="1"/>
  <c r="AG109" i="5"/>
  <c r="AI109" i="5" s="1"/>
  <c r="AG92" i="5"/>
  <c r="AI92" i="5" s="1"/>
  <c r="AG82" i="5"/>
  <c r="AI82" i="5" s="1"/>
  <c r="AG74" i="5"/>
  <c r="AI74" i="5" s="1"/>
  <c r="AG100" i="5"/>
  <c r="AI100" i="5" s="1"/>
  <c r="AG93" i="5"/>
  <c r="AI93" i="5" s="1"/>
  <c r="AG77" i="5"/>
  <c r="AI77" i="5" s="1"/>
  <c r="AG116" i="5"/>
  <c r="AI116" i="5" s="1"/>
  <c r="AG112" i="5"/>
  <c r="AI112" i="5" s="1"/>
  <c r="AG101" i="5"/>
  <c r="AG87" i="5"/>
  <c r="AI87" i="5" s="1"/>
  <c r="AG80" i="5"/>
  <c r="AI80" i="5" s="1"/>
  <c r="AG133" i="5"/>
  <c r="AI133" i="5" s="1"/>
  <c r="AG130" i="5"/>
  <c r="AI130" i="5" s="1"/>
  <c r="AG95" i="5"/>
  <c r="AI95" i="5" s="1"/>
  <c r="AG70" i="5"/>
  <c r="AI70" i="5" s="1"/>
  <c r="AG62" i="5"/>
  <c r="AG48" i="5"/>
  <c r="AI48" i="5" s="1"/>
  <c r="AG39" i="5"/>
  <c r="AI39" i="5" s="1"/>
  <c r="AG31" i="5"/>
  <c r="AI31" i="5" s="1"/>
  <c r="AG114" i="5"/>
  <c r="AI114" i="5" s="1"/>
  <c r="AG108" i="5"/>
  <c r="AI108" i="5" s="1"/>
  <c r="AG63" i="5"/>
  <c r="AI63" i="5" s="1"/>
  <c r="AG55" i="5"/>
  <c r="AI55" i="5" s="1"/>
  <c r="AG44" i="5"/>
  <c r="AI44" i="5" s="1"/>
  <c r="AG38" i="5"/>
  <c r="AI38" i="5" s="1"/>
  <c r="AG85" i="5"/>
  <c r="AI85" i="5" s="1"/>
  <c r="AG72" i="5"/>
  <c r="AI72" i="5" s="1"/>
  <c r="AG61" i="5"/>
  <c r="AI61" i="5" s="1"/>
  <c r="AG54" i="5"/>
  <c r="AI54" i="5" s="1"/>
  <c r="AG45" i="5"/>
  <c r="AI45" i="5" s="1"/>
  <c r="AG30" i="5"/>
  <c r="AI30" i="5" s="1"/>
  <c r="AG59" i="5"/>
  <c r="AI59" i="5" s="1"/>
  <c r="AG52" i="5"/>
  <c r="AI52" i="5" s="1"/>
  <c r="AG76" i="5"/>
  <c r="AI76" i="5" s="1"/>
  <c r="AG64" i="5"/>
  <c r="AG51" i="5"/>
  <c r="AI51" i="5" s="1"/>
  <c r="AG42" i="5"/>
  <c r="AI42" i="5" s="1"/>
  <c r="AG34" i="5"/>
  <c r="AI34" i="5" s="1"/>
  <c r="AG29" i="5"/>
  <c r="AI29" i="5" s="1"/>
  <c r="AG66" i="5"/>
  <c r="AI66" i="5" s="1"/>
  <c r="AG60" i="5"/>
  <c r="AI60" i="5" s="1"/>
  <c r="AG53" i="5"/>
  <c r="AI53" i="5" s="1"/>
  <c r="AG40" i="5"/>
  <c r="AI40" i="5" s="1"/>
  <c r="AG110" i="5"/>
  <c r="AI110" i="5" s="1"/>
  <c r="AG69" i="5"/>
  <c r="AI69" i="5" s="1"/>
  <c r="AG58" i="5"/>
  <c r="AI58" i="5" s="1"/>
  <c r="AG47" i="5"/>
  <c r="AI47" i="5" s="1"/>
  <c r="AG32" i="5"/>
  <c r="AI32" i="5" s="1"/>
  <c r="AG96" i="5"/>
  <c r="AI96" i="5" s="1"/>
  <c r="AG68" i="5"/>
  <c r="AG56" i="5"/>
  <c r="AI56" i="5" s="1"/>
  <c r="AG50" i="5"/>
  <c r="AI50" i="5" s="1"/>
  <c r="AG43" i="5"/>
  <c r="AI43" i="5" s="1"/>
  <c r="AG37" i="5"/>
  <c r="AI37" i="5" s="1"/>
  <c r="AD28" i="5"/>
  <c r="AE28" i="5" s="1"/>
  <c r="AG28" i="5" s="1"/>
  <c r="AI28" i="5" s="1"/>
  <c r="FE28" i="5"/>
  <c r="HP28" i="5" s="1"/>
  <c r="IJ28" i="5" s="1"/>
  <c r="GW28" i="5"/>
  <c r="FF28" i="5"/>
  <c r="HQ28" i="5" s="1"/>
  <c r="IK28" i="5" s="1"/>
  <c r="DN121" i="5"/>
  <c r="AF80" i="5"/>
  <c r="AF71" i="5"/>
  <c r="AH71" i="5" s="1"/>
  <c r="DN122" i="5"/>
  <c r="AI46" i="5"/>
  <c r="HE120" i="5"/>
  <c r="AX119" i="5"/>
  <c r="FO119" i="5" s="1"/>
  <c r="HZ119" i="5" s="1"/>
  <c r="HE117" i="5"/>
  <c r="AX116" i="5"/>
  <c r="FO116" i="5" s="1"/>
  <c r="HZ116" i="5" s="1"/>
  <c r="CM117" i="5"/>
  <c r="HE115" i="5"/>
  <c r="AX114" i="5"/>
  <c r="FO114" i="5" s="1"/>
  <c r="HZ114" i="5" s="1"/>
  <c r="HE113" i="5"/>
  <c r="AX112" i="5"/>
  <c r="CM113" i="5"/>
  <c r="HE109" i="5"/>
  <c r="AX108" i="5"/>
  <c r="FO108" i="5" s="1"/>
  <c r="HZ108" i="5" s="1"/>
  <c r="HE110" i="5"/>
  <c r="AX109" i="5"/>
  <c r="FO109" i="5" s="1"/>
  <c r="HZ109" i="5" s="1"/>
  <c r="HE107" i="5"/>
  <c r="AX106" i="5"/>
  <c r="FO106" i="5" s="1"/>
  <c r="HZ106" i="5" s="1"/>
  <c r="CM107" i="5"/>
  <c r="HE104" i="5"/>
  <c r="AX103" i="5"/>
  <c r="HE103" i="5"/>
  <c r="AX102" i="5"/>
  <c r="CM103" i="5"/>
  <c r="HE101" i="5"/>
  <c r="AX100" i="5"/>
  <c r="FO100" i="5" s="1"/>
  <c r="HZ100" i="5" s="1"/>
  <c r="CM101" i="5"/>
  <c r="HE98" i="5"/>
  <c r="AX97" i="5"/>
  <c r="FO97" i="5" s="1"/>
  <c r="HZ97" i="5" s="1"/>
  <c r="HE97" i="5"/>
  <c r="AX96" i="5"/>
  <c r="CM97" i="5"/>
  <c r="HE95" i="5"/>
  <c r="AX94" i="5"/>
  <c r="CM95" i="5"/>
  <c r="HE91" i="5"/>
  <c r="AX90" i="5"/>
  <c r="CM91" i="5"/>
  <c r="HE93" i="5"/>
  <c r="AX92" i="5"/>
  <c r="FO92" i="5" s="1"/>
  <c r="HZ92" i="5" s="1"/>
  <c r="CM93" i="5"/>
  <c r="HE90" i="5"/>
  <c r="AX89" i="5"/>
  <c r="FO89" i="5" s="1"/>
  <c r="HZ89" i="5" s="1"/>
  <c r="CM90" i="5"/>
  <c r="HB89" i="5"/>
  <c r="FX88" i="5"/>
  <c r="AU88" i="5"/>
  <c r="GZ89" i="5"/>
  <c r="AS88" i="5"/>
  <c r="FJ88" i="5" s="1"/>
  <c r="HU88" i="5" s="1"/>
  <c r="GX89" i="5"/>
  <c r="AQ88" i="5"/>
  <c r="HC89" i="5"/>
  <c r="AV88" i="5"/>
  <c r="FM88" i="5" s="1"/>
  <c r="HX88" i="5" s="1"/>
  <c r="CK89" i="5"/>
  <c r="HD89" i="5"/>
  <c r="AW88" i="5"/>
  <c r="FN88" i="5" s="1"/>
  <c r="HY88" i="5" s="1"/>
  <c r="GW86" i="5"/>
  <c r="AP85" i="5"/>
  <c r="FG85" i="5" s="1"/>
  <c r="GW84" i="5"/>
  <c r="AP83" i="5"/>
  <c r="FG83" i="5" s="1"/>
  <c r="CE84" i="5"/>
  <c r="DI84" i="5" s="1"/>
  <c r="GW76" i="5"/>
  <c r="AP75" i="5"/>
  <c r="GW68" i="5"/>
  <c r="AP67" i="5"/>
  <c r="CE68" i="5"/>
  <c r="DI68" i="5" s="1"/>
  <c r="GW62" i="5"/>
  <c r="AP61" i="5"/>
  <c r="FG61" i="5" s="1"/>
  <c r="GW60" i="5"/>
  <c r="AP59" i="5"/>
  <c r="FG59" i="5" s="1"/>
  <c r="GW58" i="5"/>
  <c r="AP57" i="5"/>
  <c r="GW56" i="5"/>
  <c r="AP55" i="5"/>
  <c r="FG55" i="5" s="1"/>
  <c r="GW54" i="5"/>
  <c r="AP53" i="5"/>
  <c r="FG53" i="5" s="1"/>
  <c r="CE54" i="5"/>
  <c r="DI54" i="5" s="1"/>
  <c r="GW44" i="5"/>
  <c r="AP43" i="5"/>
  <c r="GW40" i="5"/>
  <c r="AP39" i="5"/>
  <c r="GW36" i="5"/>
  <c r="AP35" i="5"/>
  <c r="GW34" i="5"/>
  <c r="AP33" i="5"/>
  <c r="CE34" i="5"/>
  <c r="DI34" i="5" s="1"/>
  <c r="GW30" i="5"/>
  <c r="AP29" i="5"/>
  <c r="FG29" i="5" s="1"/>
  <c r="HE122" i="5"/>
  <c r="AX121" i="5"/>
  <c r="FO121" i="5" s="1"/>
  <c r="HZ121" i="5" s="1"/>
  <c r="CM122" i="5"/>
  <c r="GW88" i="5"/>
  <c r="AP87" i="5"/>
  <c r="GW82" i="5"/>
  <c r="AP81" i="5"/>
  <c r="GW80" i="5"/>
  <c r="AP79" i="5"/>
  <c r="GW78" i="5"/>
  <c r="AP77" i="5"/>
  <c r="CE78" i="5"/>
  <c r="DI78" i="5" s="1"/>
  <c r="GW74" i="5"/>
  <c r="AP73" i="5"/>
  <c r="FG73" i="5" s="1"/>
  <c r="CE74" i="5"/>
  <c r="DI74" i="5" s="1"/>
  <c r="GW70" i="5"/>
  <c r="AP69" i="5"/>
  <c r="CE70" i="5"/>
  <c r="DI70" i="5" s="1"/>
  <c r="GW72" i="5"/>
  <c r="AP71" i="5"/>
  <c r="FG71" i="5" s="1"/>
  <c r="GW66" i="5"/>
  <c r="AP65" i="5"/>
  <c r="CE66" i="5"/>
  <c r="DI66" i="5" s="1"/>
  <c r="GW64" i="5"/>
  <c r="AP63" i="5"/>
  <c r="GW52" i="5"/>
  <c r="AP51" i="5"/>
  <c r="FG51" i="5" s="1"/>
  <c r="GW50" i="5"/>
  <c r="AP49" i="5"/>
  <c r="CE50" i="5"/>
  <c r="DI50" i="5" s="1"/>
  <c r="GW48" i="5"/>
  <c r="AP47" i="5"/>
  <c r="FG47" i="5" s="1"/>
  <c r="CE48" i="5"/>
  <c r="DI48" i="5" s="1"/>
  <c r="GW46" i="5"/>
  <c r="AP45" i="5"/>
  <c r="GW42" i="5"/>
  <c r="AP41" i="5"/>
  <c r="GW38" i="5"/>
  <c r="AP37" i="5"/>
  <c r="CE38" i="5"/>
  <c r="DI38" i="5" s="1"/>
  <c r="CE58" i="5"/>
  <c r="DI58" i="5" s="1"/>
  <c r="CE52" i="5"/>
  <c r="DI52" i="5" s="1"/>
  <c r="CE40" i="5"/>
  <c r="DI40" i="5" s="1"/>
  <c r="CE36" i="5"/>
  <c r="DI36" i="5" s="1"/>
  <c r="CE30" i="5"/>
  <c r="DI30" i="5" s="1"/>
  <c r="CM115" i="5"/>
  <c r="CM110" i="5"/>
  <c r="CM109" i="5"/>
  <c r="CF89" i="5"/>
  <c r="DJ89" i="5" s="1"/>
  <c r="CH89" i="5"/>
  <c r="DL89" i="5" s="1"/>
  <c r="CJ89" i="5"/>
  <c r="CE72" i="5"/>
  <c r="DI72" i="5" s="1"/>
  <c r="CE56" i="5"/>
  <c r="DI56" i="5" s="1"/>
  <c r="CE62" i="5"/>
  <c r="DI62" i="5" s="1"/>
  <c r="CE60" i="5"/>
  <c r="DI60" i="5" s="1"/>
  <c r="CE44" i="5"/>
  <c r="DI44" i="5" s="1"/>
  <c r="CE28" i="5"/>
  <c r="DI28" i="5" s="1"/>
  <c r="HA89" i="5"/>
  <c r="AT88" i="5"/>
  <c r="FK88" i="5" s="1"/>
  <c r="HV88" i="5" s="1"/>
  <c r="GY89" i="5"/>
  <c r="AR88" i="5"/>
  <c r="FI88" i="5" s="1"/>
  <c r="HT88" i="5" s="1"/>
  <c r="GT110" i="5"/>
  <c r="FD110" i="5"/>
  <c r="CA113" i="5"/>
  <c r="GR114" i="5"/>
  <c r="FB114" i="5"/>
  <c r="CB111" i="5"/>
  <c r="GS112" i="5"/>
  <c r="FC112" i="5"/>
  <c r="HE121" i="5"/>
  <c r="AX120" i="5"/>
  <c r="HE118" i="5"/>
  <c r="AX117" i="5"/>
  <c r="HE119" i="5"/>
  <c r="AX118" i="5"/>
  <c r="FO118" i="5" s="1"/>
  <c r="HZ118" i="5" s="1"/>
  <c r="HE116" i="5"/>
  <c r="AX115" i="5"/>
  <c r="FO115" i="5" s="1"/>
  <c r="HZ115" i="5" s="1"/>
  <c r="HE114" i="5"/>
  <c r="AX113" i="5"/>
  <c r="FO113" i="5" s="1"/>
  <c r="HZ113" i="5" s="1"/>
  <c r="HE112" i="5"/>
  <c r="AX111" i="5"/>
  <c r="FO111" i="5" s="1"/>
  <c r="HZ111" i="5" s="1"/>
  <c r="HE111" i="5"/>
  <c r="AX110" i="5"/>
  <c r="FO110" i="5" s="1"/>
  <c r="HZ110" i="5" s="1"/>
  <c r="IT110" i="5" s="1"/>
  <c r="HE106" i="5"/>
  <c r="AX105" i="5"/>
  <c r="HE108" i="5"/>
  <c r="AX107" i="5"/>
  <c r="HE105" i="5"/>
  <c r="AX104" i="5"/>
  <c r="FO104" i="5" s="1"/>
  <c r="HZ104" i="5" s="1"/>
  <c r="HE102" i="5"/>
  <c r="AX101" i="5"/>
  <c r="HE100" i="5"/>
  <c r="AX99" i="5"/>
  <c r="HE99" i="5"/>
  <c r="AX98" i="5"/>
  <c r="FO98" i="5" s="1"/>
  <c r="HZ98" i="5" s="1"/>
  <c r="HE96" i="5"/>
  <c r="AX95" i="5"/>
  <c r="HE94" i="5"/>
  <c r="AX93" i="5"/>
  <c r="FO93" i="5" s="1"/>
  <c r="HZ93" i="5" s="1"/>
  <c r="IT93" i="5" s="1"/>
  <c r="HE92" i="5"/>
  <c r="AX91" i="5"/>
  <c r="HD90" i="5"/>
  <c r="AW89" i="5"/>
  <c r="GW87" i="5"/>
  <c r="AP86" i="5"/>
  <c r="GW83" i="5"/>
  <c r="AP82" i="5"/>
  <c r="FG82" i="5" s="1"/>
  <c r="GW81" i="5"/>
  <c r="AP80" i="5"/>
  <c r="GW79" i="5"/>
  <c r="AP78" i="5"/>
  <c r="FG78" i="5" s="1"/>
  <c r="GW75" i="5"/>
  <c r="AP74" i="5"/>
  <c r="GW71" i="5"/>
  <c r="AP70" i="5"/>
  <c r="FG70" i="5" s="1"/>
  <c r="GW69" i="5"/>
  <c r="AP68" i="5"/>
  <c r="GW67" i="5"/>
  <c r="AP66" i="5"/>
  <c r="GW65" i="5"/>
  <c r="AP64" i="5"/>
  <c r="GW53" i="5"/>
  <c r="AP52" i="5"/>
  <c r="GW49" i="5"/>
  <c r="AP48" i="5"/>
  <c r="FG48" i="5" s="1"/>
  <c r="GW47" i="5"/>
  <c r="AP46" i="5"/>
  <c r="GW45" i="5"/>
  <c r="AP44" i="5"/>
  <c r="GW43" i="5"/>
  <c r="AP42" i="5"/>
  <c r="GW39" i="5"/>
  <c r="AP38" i="5"/>
  <c r="GW33" i="5"/>
  <c r="AP32" i="5"/>
  <c r="GW89" i="5"/>
  <c r="AP88" i="5"/>
  <c r="GW85" i="5"/>
  <c r="AP84" i="5"/>
  <c r="FG84" i="5" s="1"/>
  <c r="GW77" i="5"/>
  <c r="AP76" i="5"/>
  <c r="GW73" i="5"/>
  <c r="AP72" i="5"/>
  <c r="GW63" i="5"/>
  <c r="AP62" i="5"/>
  <c r="FG62" i="5" s="1"/>
  <c r="GW61" i="5"/>
  <c r="AP60" i="5"/>
  <c r="GW59" i="5"/>
  <c r="AP58" i="5"/>
  <c r="FG58" i="5" s="1"/>
  <c r="GW57" i="5"/>
  <c r="AP56" i="5"/>
  <c r="FG56" i="5" s="1"/>
  <c r="GW55" i="5"/>
  <c r="AP54" i="5"/>
  <c r="GW51" i="5"/>
  <c r="AP50" i="5"/>
  <c r="FG50" i="5" s="1"/>
  <c r="GW41" i="5"/>
  <c r="AP40" i="5"/>
  <c r="FG40" i="5" s="1"/>
  <c r="GW37" i="5"/>
  <c r="AP36" i="5"/>
  <c r="GW35" i="5"/>
  <c r="AP34" i="5"/>
  <c r="GW32" i="5"/>
  <c r="AP31" i="5"/>
  <c r="GW31" i="5"/>
  <c r="AP30" i="5"/>
  <c r="FG30" i="5" s="1"/>
  <c r="GW29" i="5"/>
  <c r="AP28" i="5"/>
  <c r="FG28" i="5" s="1"/>
  <c r="AD99" i="5"/>
  <c r="AE99" i="5" s="1"/>
  <c r="AG99" i="5" s="1"/>
  <c r="FN99" i="5"/>
  <c r="HY99" i="5" s="1"/>
  <c r="IS99" i="5" s="1"/>
  <c r="FM99" i="5"/>
  <c r="HX99" i="5" s="1"/>
  <c r="IR99" i="5" s="1"/>
  <c r="FE73" i="5"/>
  <c r="HP73" i="5" s="1"/>
  <c r="IJ73" i="5" s="1"/>
  <c r="FF73" i="5"/>
  <c r="HQ73" i="5" s="1"/>
  <c r="IK73" i="5" s="1"/>
  <c r="FE67" i="5"/>
  <c r="HP67" i="5" s="1"/>
  <c r="IJ67" i="5" s="1"/>
  <c r="FF67" i="5"/>
  <c r="AD132" i="5"/>
  <c r="AE132" i="5" s="1"/>
  <c r="AG132" i="5" s="1"/>
  <c r="FW132" i="5"/>
  <c r="IH132" i="5" s="1"/>
  <c r="JB132" i="5" s="1"/>
  <c r="FV132" i="5"/>
  <c r="IG132" i="5" s="1"/>
  <c r="JA132" i="5" s="1"/>
  <c r="FU132" i="5"/>
  <c r="IF132" i="5" s="1"/>
  <c r="IZ132" i="5" s="1"/>
  <c r="FT132" i="5"/>
  <c r="IE132" i="5" s="1"/>
  <c r="IY132" i="5" s="1"/>
  <c r="FS132" i="5"/>
  <c r="FR132" i="5"/>
  <c r="FQ132" i="5"/>
  <c r="IB132" i="5" s="1"/>
  <c r="IV132" i="5" s="1"/>
  <c r="FP132" i="5"/>
  <c r="IA132" i="5" s="1"/>
  <c r="IU132" i="5" s="1"/>
  <c r="FO132" i="5"/>
  <c r="HZ132" i="5" s="1"/>
  <c r="IT132" i="5" s="1"/>
  <c r="FN132" i="5"/>
  <c r="HY132" i="5" s="1"/>
  <c r="IS132" i="5" s="1"/>
  <c r="FM132" i="5"/>
  <c r="HX132" i="5" s="1"/>
  <c r="IR132" i="5" s="1"/>
  <c r="FG57" i="5"/>
  <c r="FE57" i="5"/>
  <c r="HP57" i="5" s="1"/>
  <c r="IJ57" i="5" s="1"/>
  <c r="FF57" i="5"/>
  <c r="HQ57" i="5" s="1"/>
  <c r="IK57" i="5" s="1"/>
  <c r="AD105" i="5"/>
  <c r="AE105" i="5" s="1"/>
  <c r="AG105" i="5" s="1"/>
  <c r="FO105" i="5"/>
  <c r="HZ105" i="5" s="1"/>
  <c r="FN105" i="5"/>
  <c r="HY105" i="5" s="1"/>
  <c r="IS105" i="5" s="1"/>
  <c r="FM105" i="5"/>
  <c r="HX105" i="5" s="1"/>
  <c r="IR105" i="5" s="1"/>
  <c r="AD118" i="5"/>
  <c r="AE118" i="5" s="1"/>
  <c r="AG118" i="5" s="1"/>
  <c r="FW118" i="5"/>
  <c r="IH118" i="5" s="1"/>
  <c r="JB118" i="5" s="1"/>
  <c r="FV118" i="5"/>
  <c r="IG118" i="5" s="1"/>
  <c r="JA118" i="5" s="1"/>
  <c r="FU118" i="5"/>
  <c r="IF118" i="5" s="1"/>
  <c r="IZ118" i="5" s="1"/>
  <c r="FT118" i="5"/>
  <c r="IE118" i="5" s="1"/>
  <c r="IY118" i="5" s="1"/>
  <c r="FS118" i="5"/>
  <c r="ID118" i="5" s="1"/>
  <c r="FN118" i="5"/>
  <c r="HY118" i="5" s="1"/>
  <c r="IS118" i="5" s="1"/>
  <c r="FM118" i="5"/>
  <c r="HX118" i="5" s="1"/>
  <c r="IR118" i="5" s="1"/>
  <c r="AD113" i="5"/>
  <c r="AE113" i="5" s="1"/>
  <c r="AG113" i="5" s="1"/>
  <c r="FN113" i="5"/>
  <c r="HY113" i="5" s="1"/>
  <c r="IS113" i="5" s="1"/>
  <c r="FM113" i="5"/>
  <c r="HX113" i="5" s="1"/>
  <c r="IR113" i="5" s="1"/>
  <c r="FE41" i="5"/>
  <c r="HP41" i="5" s="1"/>
  <c r="IJ41" i="5" s="1"/>
  <c r="FF41" i="5"/>
  <c r="HQ41" i="5" s="1"/>
  <c r="IK41" i="5" s="1"/>
  <c r="AD123" i="5"/>
  <c r="AE123" i="5" s="1"/>
  <c r="AG123" i="5" s="1"/>
  <c r="FW123" i="5"/>
  <c r="IH123" i="5" s="1"/>
  <c r="JB123" i="5" s="1"/>
  <c r="FV123" i="5"/>
  <c r="IG123" i="5" s="1"/>
  <c r="JA123" i="5" s="1"/>
  <c r="FU123" i="5"/>
  <c r="IF123" i="5" s="1"/>
  <c r="IZ123" i="5" s="1"/>
  <c r="FT123" i="5"/>
  <c r="IE123" i="5" s="1"/>
  <c r="IY123" i="5" s="1"/>
  <c r="FS123" i="5"/>
  <c r="ID123" i="5" s="1"/>
  <c r="IX123" i="5" s="1"/>
  <c r="FR123" i="5"/>
  <c r="IC123" i="5" s="1"/>
  <c r="IW123" i="5" s="1"/>
  <c r="FQ123" i="5"/>
  <c r="IB123" i="5" s="1"/>
  <c r="IV123" i="5" s="1"/>
  <c r="FP123" i="5"/>
  <c r="IA123" i="5" s="1"/>
  <c r="IU123" i="5" s="1"/>
  <c r="FO123" i="5"/>
  <c r="HZ123" i="5" s="1"/>
  <c r="IT123" i="5" s="1"/>
  <c r="FN123" i="5"/>
  <c r="HY123" i="5" s="1"/>
  <c r="IS123" i="5" s="1"/>
  <c r="FM123" i="5"/>
  <c r="HX123" i="5" s="1"/>
  <c r="IR123" i="5" s="1"/>
  <c r="AD120" i="5"/>
  <c r="AE120" i="5" s="1"/>
  <c r="AG120" i="5" s="1"/>
  <c r="FW120" i="5"/>
  <c r="IH120" i="5" s="1"/>
  <c r="JB120" i="5" s="1"/>
  <c r="FV120" i="5"/>
  <c r="IG120" i="5" s="1"/>
  <c r="JA120" i="5" s="1"/>
  <c r="FU120" i="5"/>
  <c r="IF120" i="5" s="1"/>
  <c r="IZ120" i="5" s="1"/>
  <c r="FT120" i="5"/>
  <c r="IE120" i="5" s="1"/>
  <c r="IY120" i="5" s="1"/>
  <c r="FS120" i="5"/>
  <c r="ID120" i="5" s="1"/>
  <c r="IX120" i="5" s="1"/>
  <c r="FR120" i="5"/>
  <c r="IC120" i="5" s="1"/>
  <c r="IW120" i="5" s="1"/>
  <c r="FQ120" i="5"/>
  <c r="IB120" i="5" s="1"/>
  <c r="FN120" i="5"/>
  <c r="HY120" i="5" s="1"/>
  <c r="IS120" i="5" s="1"/>
  <c r="FM120" i="5"/>
  <c r="HX120" i="5" s="1"/>
  <c r="IR120" i="5" s="1"/>
  <c r="AD107" i="5"/>
  <c r="AE107" i="5" s="1"/>
  <c r="AG107" i="5" s="1"/>
  <c r="FN107" i="5"/>
  <c r="HY107" i="5" s="1"/>
  <c r="IS107" i="5" s="1"/>
  <c r="FM107" i="5"/>
  <c r="HX107" i="5" s="1"/>
  <c r="IR107" i="5" s="1"/>
  <c r="FG33" i="5"/>
  <c r="FE33" i="5"/>
  <c r="HP33" i="5" s="1"/>
  <c r="IJ33" i="5" s="1"/>
  <c r="FF33" i="5"/>
  <c r="AD124" i="5"/>
  <c r="AE124" i="5" s="1"/>
  <c r="AG124" i="5" s="1"/>
  <c r="FW124" i="5"/>
  <c r="IH124" i="5" s="1"/>
  <c r="JB124" i="5" s="1"/>
  <c r="FV124" i="5"/>
  <c r="IG124" i="5" s="1"/>
  <c r="JA124" i="5" s="1"/>
  <c r="FU124" i="5"/>
  <c r="IF124" i="5" s="1"/>
  <c r="IZ124" i="5" s="1"/>
  <c r="FT124" i="5"/>
  <c r="IE124" i="5" s="1"/>
  <c r="IY124" i="5" s="1"/>
  <c r="FS124" i="5"/>
  <c r="ID124" i="5" s="1"/>
  <c r="IX124" i="5" s="1"/>
  <c r="FR124" i="5"/>
  <c r="IC124" i="5" s="1"/>
  <c r="IW124" i="5" s="1"/>
  <c r="FQ124" i="5"/>
  <c r="IB124" i="5" s="1"/>
  <c r="IV124" i="5" s="1"/>
  <c r="FP124" i="5"/>
  <c r="IA124" i="5" s="1"/>
  <c r="IU124" i="5" s="1"/>
  <c r="FO124" i="5"/>
  <c r="HZ124" i="5" s="1"/>
  <c r="IT124" i="5" s="1"/>
  <c r="FN124" i="5"/>
  <c r="HY124" i="5" s="1"/>
  <c r="IS124" i="5" s="1"/>
  <c r="FM124" i="5"/>
  <c r="HX124" i="5" s="1"/>
  <c r="IR124" i="5" s="1"/>
  <c r="AD122" i="5"/>
  <c r="AE122" i="5" s="1"/>
  <c r="AG122" i="5" s="1"/>
  <c r="FW122" i="5"/>
  <c r="IH122" i="5" s="1"/>
  <c r="JB122" i="5" s="1"/>
  <c r="FV122" i="5"/>
  <c r="IG122" i="5" s="1"/>
  <c r="JA122" i="5" s="1"/>
  <c r="FU122" i="5"/>
  <c r="IF122" i="5" s="1"/>
  <c r="IZ122" i="5" s="1"/>
  <c r="FT122" i="5"/>
  <c r="IE122" i="5" s="1"/>
  <c r="IY122" i="5" s="1"/>
  <c r="FS122" i="5"/>
  <c r="ID122" i="5" s="1"/>
  <c r="IX122" i="5" s="1"/>
  <c r="FR122" i="5"/>
  <c r="IC122" i="5" s="1"/>
  <c r="IW122" i="5" s="1"/>
  <c r="FQ122" i="5"/>
  <c r="IB122" i="5" s="1"/>
  <c r="IV122" i="5" s="1"/>
  <c r="FP122" i="5"/>
  <c r="IA122" i="5" s="1"/>
  <c r="IU122" i="5" s="1"/>
  <c r="FO122" i="5"/>
  <c r="HZ122" i="5" s="1"/>
  <c r="FN122" i="5"/>
  <c r="HY122" i="5" s="1"/>
  <c r="IS122" i="5" s="1"/>
  <c r="FM122" i="5"/>
  <c r="HX122" i="5" s="1"/>
  <c r="IR122" i="5" s="1"/>
  <c r="AD115" i="5"/>
  <c r="AE115" i="5" s="1"/>
  <c r="AG115" i="5" s="1"/>
  <c r="FW115" i="5"/>
  <c r="IH115" i="5" s="1"/>
  <c r="JB115" i="5" s="1"/>
  <c r="FV115" i="5"/>
  <c r="IG115" i="5" s="1"/>
  <c r="FN115" i="5"/>
  <c r="HY115" i="5" s="1"/>
  <c r="IS115" i="5" s="1"/>
  <c r="FM115" i="5"/>
  <c r="HX115" i="5" s="1"/>
  <c r="IR115" i="5" s="1"/>
  <c r="FK91" i="5"/>
  <c r="HV91" i="5" s="1"/>
  <c r="IP91" i="5" s="1"/>
  <c r="FI91" i="5"/>
  <c r="HT91" i="5" s="1"/>
  <c r="IN91" i="5" s="1"/>
  <c r="FG91" i="5"/>
  <c r="HR91" i="5" s="1"/>
  <c r="IL91" i="5" s="1"/>
  <c r="FE91" i="5"/>
  <c r="HP91" i="5" s="1"/>
  <c r="IJ91" i="5" s="1"/>
  <c r="FN91" i="5"/>
  <c r="HY91" i="5" s="1"/>
  <c r="IS91" i="5" s="1"/>
  <c r="FM91" i="5"/>
  <c r="HX91" i="5" s="1"/>
  <c r="IR91" i="5" s="1"/>
  <c r="FL91" i="5"/>
  <c r="HW91" i="5" s="1"/>
  <c r="IQ91" i="5" s="1"/>
  <c r="FJ91" i="5"/>
  <c r="HU91" i="5" s="1"/>
  <c r="IO91" i="5" s="1"/>
  <c r="FH91" i="5"/>
  <c r="HS91" i="5" s="1"/>
  <c r="IM91" i="5" s="1"/>
  <c r="FF91" i="5"/>
  <c r="HQ91" i="5" s="1"/>
  <c r="IK91" i="5" s="1"/>
  <c r="FG35" i="5"/>
  <c r="FE35" i="5"/>
  <c r="HP35" i="5" s="1"/>
  <c r="IJ35" i="5" s="1"/>
  <c r="FF35" i="5"/>
  <c r="HQ35" i="5" s="1"/>
  <c r="IK35" i="5" s="1"/>
  <c r="AD121" i="5"/>
  <c r="AE121" i="5" s="1"/>
  <c r="AG121" i="5" s="1"/>
  <c r="FW121" i="5"/>
  <c r="IH121" i="5" s="1"/>
  <c r="JB121" i="5" s="1"/>
  <c r="FV121" i="5"/>
  <c r="IG121" i="5" s="1"/>
  <c r="JA121" i="5" s="1"/>
  <c r="FU121" i="5"/>
  <c r="IF121" i="5" s="1"/>
  <c r="IZ121" i="5" s="1"/>
  <c r="FT121" i="5"/>
  <c r="IE121" i="5" s="1"/>
  <c r="IY121" i="5" s="1"/>
  <c r="FS121" i="5"/>
  <c r="ID121" i="5" s="1"/>
  <c r="IX121" i="5" s="1"/>
  <c r="FR121" i="5"/>
  <c r="IC121" i="5" s="1"/>
  <c r="IW121" i="5" s="1"/>
  <c r="FQ121" i="5"/>
  <c r="IB121" i="5" s="1"/>
  <c r="IV121" i="5" s="1"/>
  <c r="FP121" i="5"/>
  <c r="IA121" i="5" s="1"/>
  <c r="FN121" i="5"/>
  <c r="HY121" i="5" s="1"/>
  <c r="IS121" i="5" s="1"/>
  <c r="FM121" i="5"/>
  <c r="HX121" i="5" s="1"/>
  <c r="IR121" i="5" s="1"/>
  <c r="AD97" i="5"/>
  <c r="AE97" i="5" s="1"/>
  <c r="AG97" i="5" s="1"/>
  <c r="FN97" i="5"/>
  <c r="HY97" i="5" s="1"/>
  <c r="IS97" i="5" s="1"/>
  <c r="FM97" i="5"/>
  <c r="HX97" i="5" s="1"/>
  <c r="IR97" i="5" s="1"/>
  <c r="FE49" i="5"/>
  <c r="HP49" i="5" s="1"/>
  <c r="IJ49" i="5" s="1"/>
  <c r="FF49" i="5"/>
  <c r="HQ49" i="5" s="1"/>
  <c r="IK49" i="5" s="1"/>
  <c r="FE83" i="5"/>
  <c r="HP83" i="5" s="1"/>
  <c r="IJ83" i="5" s="1"/>
  <c r="FF83" i="5"/>
  <c r="HQ83" i="5" s="1"/>
  <c r="IK83" i="5" s="1"/>
  <c r="FG65" i="5"/>
  <c r="FE65" i="5"/>
  <c r="HP65" i="5" s="1"/>
  <c r="IJ65" i="5" s="1"/>
  <c r="FF65" i="5"/>
  <c r="DN112" i="5"/>
  <c r="DN104" i="5"/>
  <c r="DN100" i="5"/>
  <c r="FN95" i="5"/>
  <c r="HY95" i="5" s="1"/>
  <c r="IS95" i="5" s="1"/>
  <c r="FM95" i="5"/>
  <c r="HX95" i="5" s="1"/>
  <c r="IR95" i="5" s="1"/>
  <c r="FE51" i="5"/>
  <c r="HP51" i="5" s="1"/>
  <c r="IJ51" i="5" s="1"/>
  <c r="FF51" i="5"/>
  <c r="HQ51" i="5" s="1"/>
  <c r="IK51" i="5" s="1"/>
  <c r="FF48" i="5"/>
  <c r="HQ48" i="5" s="1"/>
  <c r="IK48" i="5" s="1"/>
  <c r="FE48" i="5"/>
  <c r="HP48" i="5" s="1"/>
  <c r="IJ48" i="5" s="1"/>
  <c r="FF42" i="5"/>
  <c r="HQ42" i="5" s="1"/>
  <c r="IK42" i="5" s="1"/>
  <c r="FE42" i="5"/>
  <c r="HP42" i="5" s="1"/>
  <c r="IJ42" i="5" s="1"/>
  <c r="FE39" i="5"/>
  <c r="HP39" i="5" s="1"/>
  <c r="IJ39" i="5" s="1"/>
  <c r="FF39" i="5"/>
  <c r="FW119" i="5"/>
  <c r="IH119" i="5" s="1"/>
  <c r="JB119" i="5" s="1"/>
  <c r="FV119" i="5"/>
  <c r="IG119" i="5" s="1"/>
  <c r="JA119" i="5" s="1"/>
  <c r="FU119" i="5"/>
  <c r="IF119" i="5" s="1"/>
  <c r="IZ119" i="5" s="1"/>
  <c r="FT119" i="5"/>
  <c r="IE119" i="5" s="1"/>
  <c r="IY119" i="5" s="1"/>
  <c r="FS119" i="5"/>
  <c r="ID119" i="5" s="1"/>
  <c r="IX119" i="5" s="1"/>
  <c r="FR119" i="5"/>
  <c r="IC119" i="5" s="1"/>
  <c r="FN119" i="5"/>
  <c r="HY119" i="5" s="1"/>
  <c r="IS119" i="5" s="1"/>
  <c r="FM119" i="5"/>
  <c r="HX119" i="5" s="1"/>
  <c r="IR119" i="5" s="1"/>
  <c r="FW117" i="5"/>
  <c r="IH117" i="5" s="1"/>
  <c r="JB117" i="5" s="1"/>
  <c r="FV117" i="5"/>
  <c r="IG117" i="5" s="1"/>
  <c r="JA117" i="5" s="1"/>
  <c r="FU117" i="5"/>
  <c r="IF117" i="5" s="1"/>
  <c r="IZ117" i="5" s="1"/>
  <c r="FT117" i="5"/>
  <c r="IE117" i="5" s="1"/>
  <c r="FN117" i="5"/>
  <c r="HY117" i="5" s="1"/>
  <c r="IS117" i="5" s="1"/>
  <c r="FM117" i="5"/>
  <c r="HX117" i="5" s="1"/>
  <c r="IR117" i="5" s="1"/>
  <c r="FW114" i="5"/>
  <c r="FN114" i="5"/>
  <c r="HY114" i="5" s="1"/>
  <c r="IS114" i="5" s="1"/>
  <c r="FM114" i="5"/>
  <c r="HX114" i="5" s="1"/>
  <c r="IR114" i="5" s="1"/>
  <c r="FN109" i="5"/>
  <c r="HY109" i="5" s="1"/>
  <c r="IS109" i="5" s="1"/>
  <c r="FM109" i="5"/>
  <c r="HX109" i="5" s="1"/>
  <c r="IR109" i="5" s="1"/>
  <c r="FN108" i="5"/>
  <c r="HY108" i="5" s="1"/>
  <c r="IS108" i="5" s="1"/>
  <c r="FM108" i="5"/>
  <c r="HX108" i="5" s="1"/>
  <c r="IR108" i="5" s="1"/>
  <c r="DN103" i="5"/>
  <c r="DN93" i="5"/>
  <c r="DN91" i="5"/>
  <c r="FF78" i="5"/>
  <c r="HQ78" i="5" s="1"/>
  <c r="IK78" i="5" s="1"/>
  <c r="FE78" i="5"/>
  <c r="HP78" i="5" s="1"/>
  <c r="IJ78" i="5" s="1"/>
  <c r="FF74" i="5"/>
  <c r="HQ74" i="5" s="1"/>
  <c r="IK74" i="5" s="1"/>
  <c r="FE74" i="5"/>
  <c r="HP74" i="5" s="1"/>
  <c r="IJ74" i="5" s="1"/>
  <c r="FE71" i="5"/>
  <c r="HP71" i="5" s="1"/>
  <c r="IJ71" i="5" s="1"/>
  <c r="FF71" i="5"/>
  <c r="FF66" i="5"/>
  <c r="HQ66" i="5" s="1"/>
  <c r="IK66" i="5" s="1"/>
  <c r="FE66" i="5"/>
  <c r="HP66" i="5" s="1"/>
  <c r="IJ66" i="5" s="1"/>
  <c r="FE63" i="5"/>
  <c r="HP63" i="5" s="1"/>
  <c r="IJ63" i="5" s="1"/>
  <c r="FF63" i="5"/>
  <c r="FF60" i="5"/>
  <c r="HQ60" i="5" s="1"/>
  <c r="IK60" i="5" s="1"/>
  <c r="FE60" i="5"/>
  <c r="HP60" i="5" s="1"/>
  <c r="IJ60" i="5" s="1"/>
  <c r="FE55" i="5"/>
  <c r="HP55" i="5" s="1"/>
  <c r="IJ55" i="5" s="1"/>
  <c r="FF55" i="5"/>
  <c r="FE53" i="5"/>
  <c r="HP53" i="5" s="1"/>
  <c r="IJ53" i="5" s="1"/>
  <c r="FF53" i="5"/>
  <c r="HQ53" i="5" s="1"/>
  <c r="IK53" i="5" s="1"/>
  <c r="DN127" i="5"/>
  <c r="DN130" i="5"/>
  <c r="DN131" i="5"/>
  <c r="DN126" i="5"/>
  <c r="DN129" i="5"/>
  <c r="DN111" i="5"/>
  <c r="DN107" i="5"/>
  <c r="DN101" i="5"/>
  <c r="DN95" i="5"/>
  <c r="DN94" i="5"/>
  <c r="FE77" i="5"/>
  <c r="HP77" i="5" s="1"/>
  <c r="IJ77" i="5" s="1"/>
  <c r="FF77" i="5"/>
  <c r="HQ77" i="5" s="1"/>
  <c r="IK77" i="5" s="1"/>
  <c r="FF72" i="5"/>
  <c r="HQ72" i="5" s="1"/>
  <c r="IK72" i="5" s="1"/>
  <c r="FE72" i="5"/>
  <c r="HP72" i="5" s="1"/>
  <c r="IJ72" i="5" s="1"/>
  <c r="FE69" i="5"/>
  <c r="HP69" i="5" s="1"/>
  <c r="IJ69" i="5" s="1"/>
  <c r="FF69" i="5"/>
  <c r="HQ69" i="5" s="1"/>
  <c r="IK69" i="5" s="1"/>
  <c r="FF32" i="5"/>
  <c r="HQ32" i="5" s="1"/>
  <c r="IK32" i="5" s="1"/>
  <c r="FE32" i="5"/>
  <c r="HP32" i="5" s="1"/>
  <c r="IJ32" i="5" s="1"/>
  <c r="FF30" i="5"/>
  <c r="HQ30" i="5" s="1"/>
  <c r="IK30" i="5" s="1"/>
  <c r="FE30" i="5"/>
  <c r="HP30" i="5" s="1"/>
  <c r="IJ30" i="5" s="1"/>
  <c r="DN128" i="5"/>
  <c r="FW116" i="5"/>
  <c r="IH116" i="5" s="1"/>
  <c r="JB116" i="5" s="1"/>
  <c r="FV116" i="5"/>
  <c r="IG116" i="5" s="1"/>
  <c r="JA116" i="5" s="1"/>
  <c r="FU116" i="5"/>
  <c r="IF116" i="5" s="1"/>
  <c r="FN116" i="5"/>
  <c r="HY116" i="5" s="1"/>
  <c r="IS116" i="5" s="1"/>
  <c r="FM116" i="5"/>
  <c r="HX116" i="5" s="1"/>
  <c r="IR116" i="5" s="1"/>
  <c r="FN112" i="5"/>
  <c r="HY112" i="5" s="1"/>
  <c r="IS112" i="5" s="1"/>
  <c r="FM112" i="5"/>
  <c r="HX112" i="5" s="1"/>
  <c r="IR112" i="5" s="1"/>
  <c r="DN108" i="5"/>
  <c r="FN104" i="5"/>
  <c r="HY104" i="5" s="1"/>
  <c r="IS104" i="5" s="1"/>
  <c r="FM104" i="5"/>
  <c r="HX104" i="5" s="1"/>
  <c r="IR104" i="5" s="1"/>
  <c r="FN101" i="5"/>
  <c r="HY101" i="5" s="1"/>
  <c r="IS101" i="5" s="1"/>
  <c r="FM101" i="5"/>
  <c r="HX101" i="5" s="1"/>
  <c r="IR101" i="5" s="1"/>
  <c r="FN98" i="5"/>
  <c r="HY98" i="5" s="1"/>
  <c r="IS98" i="5" s="1"/>
  <c r="FM98" i="5"/>
  <c r="HX98" i="5" s="1"/>
  <c r="IR98" i="5" s="1"/>
  <c r="FN96" i="5"/>
  <c r="HY96" i="5" s="1"/>
  <c r="IS96" i="5" s="1"/>
  <c r="FM96" i="5"/>
  <c r="HX96" i="5" s="1"/>
  <c r="IR96" i="5" s="1"/>
  <c r="FF68" i="5"/>
  <c r="HQ68" i="5" s="1"/>
  <c r="IK68" i="5" s="1"/>
  <c r="FE68" i="5"/>
  <c r="HP68" i="5" s="1"/>
  <c r="IJ68" i="5" s="1"/>
  <c r="FW131" i="5"/>
  <c r="IH131" i="5" s="1"/>
  <c r="JB131" i="5" s="1"/>
  <c r="FV131" i="5"/>
  <c r="IG131" i="5" s="1"/>
  <c r="JA131" i="5" s="1"/>
  <c r="FU131" i="5"/>
  <c r="FT131" i="5"/>
  <c r="IE131" i="5" s="1"/>
  <c r="IY131" i="5" s="1"/>
  <c r="FS131" i="5"/>
  <c r="ID131" i="5" s="1"/>
  <c r="IX131" i="5" s="1"/>
  <c r="FR131" i="5"/>
  <c r="IC131" i="5" s="1"/>
  <c r="IW131" i="5" s="1"/>
  <c r="FQ131" i="5"/>
  <c r="IB131" i="5" s="1"/>
  <c r="IV131" i="5" s="1"/>
  <c r="FP131" i="5"/>
  <c r="IA131" i="5" s="1"/>
  <c r="IU131" i="5" s="1"/>
  <c r="FO131" i="5"/>
  <c r="HZ131" i="5" s="1"/>
  <c r="IT131" i="5" s="1"/>
  <c r="FN131" i="5"/>
  <c r="HY131" i="5" s="1"/>
  <c r="IS131" i="5" s="1"/>
  <c r="FM131" i="5"/>
  <c r="HX131" i="5" s="1"/>
  <c r="IR131" i="5" s="1"/>
  <c r="AD102" i="5"/>
  <c r="AE102" i="5" s="1"/>
  <c r="AG102" i="5" s="1"/>
  <c r="FN102" i="5"/>
  <c r="HY102" i="5" s="1"/>
  <c r="IS102" i="5" s="1"/>
  <c r="FM102" i="5"/>
  <c r="HX102" i="5" s="1"/>
  <c r="IR102" i="5" s="1"/>
  <c r="FK89" i="5"/>
  <c r="HV89" i="5" s="1"/>
  <c r="IP89" i="5" s="1"/>
  <c r="FI89" i="5"/>
  <c r="HT89" i="5" s="1"/>
  <c r="FG89" i="5"/>
  <c r="FE89" i="5"/>
  <c r="HP89" i="5" s="1"/>
  <c r="IJ89" i="5" s="1"/>
  <c r="FM89" i="5"/>
  <c r="HX89" i="5" s="1"/>
  <c r="FL89" i="5"/>
  <c r="HW89" i="5" s="1"/>
  <c r="IQ89" i="5" s="1"/>
  <c r="FJ89" i="5"/>
  <c r="HU89" i="5" s="1"/>
  <c r="FH89" i="5"/>
  <c r="HS89" i="5" s="1"/>
  <c r="FF89" i="5"/>
  <c r="FE81" i="5"/>
  <c r="HP81" i="5" s="1"/>
  <c r="IJ81" i="5" s="1"/>
  <c r="FF81" i="5"/>
  <c r="DN116" i="5"/>
  <c r="FN111" i="5"/>
  <c r="HY111" i="5" s="1"/>
  <c r="IS111" i="5" s="1"/>
  <c r="FM111" i="5"/>
  <c r="HX111" i="5" s="1"/>
  <c r="IR111" i="5" s="1"/>
  <c r="FN103" i="5"/>
  <c r="HY103" i="5" s="1"/>
  <c r="IS103" i="5" s="1"/>
  <c r="FM103" i="5"/>
  <c r="HX103" i="5" s="1"/>
  <c r="IR103" i="5" s="1"/>
  <c r="DN96" i="5"/>
  <c r="DN92" i="5"/>
  <c r="FF86" i="5"/>
  <c r="HQ86" i="5" s="1"/>
  <c r="IK86" i="5" s="1"/>
  <c r="FE86" i="5"/>
  <c r="HP86" i="5" s="1"/>
  <c r="IJ86" i="5" s="1"/>
  <c r="FE79" i="5"/>
  <c r="HP79" i="5" s="1"/>
  <c r="IJ79" i="5" s="1"/>
  <c r="FF79" i="5"/>
  <c r="FF76" i="5"/>
  <c r="HQ76" i="5" s="1"/>
  <c r="IK76" i="5" s="1"/>
  <c r="FE76" i="5"/>
  <c r="HP76" i="5" s="1"/>
  <c r="IJ76" i="5" s="1"/>
  <c r="FF70" i="5"/>
  <c r="HQ70" i="5" s="1"/>
  <c r="IK70" i="5" s="1"/>
  <c r="FE70" i="5"/>
  <c r="HP70" i="5" s="1"/>
  <c r="IJ70" i="5" s="1"/>
  <c r="FF64" i="5"/>
  <c r="HQ64" i="5" s="1"/>
  <c r="IK64" i="5" s="1"/>
  <c r="FE64" i="5"/>
  <c r="HP64" i="5" s="1"/>
  <c r="IJ64" i="5" s="1"/>
  <c r="FF62" i="5"/>
  <c r="HQ62" i="5" s="1"/>
  <c r="IK62" i="5" s="1"/>
  <c r="FE62" i="5"/>
  <c r="HP62" i="5" s="1"/>
  <c r="IJ62" i="5" s="1"/>
  <c r="FF34" i="5"/>
  <c r="HQ34" i="5" s="1"/>
  <c r="IK34" i="5" s="1"/>
  <c r="FE34" i="5"/>
  <c r="HP34" i="5" s="1"/>
  <c r="IJ34" i="5" s="1"/>
  <c r="FE31" i="5"/>
  <c r="HP31" i="5" s="1"/>
  <c r="IJ31" i="5" s="1"/>
  <c r="FF31" i="5"/>
  <c r="FE29" i="5"/>
  <c r="HP29" i="5" s="1"/>
  <c r="IJ29" i="5" s="1"/>
  <c r="FF29" i="5"/>
  <c r="HQ29" i="5" s="1"/>
  <c r="IK29" i="5" s="1"/>
  <c r="DN120" i="5"/>
  <c r="DN118" i="5"/>
  <c r="DN115" i="5"/>
  <c r="DN110" i="5"/>
  <c r="DN109" i="5"/>
  <c r="DN106" i="5"/>
  <c r="DN98" i="5"/>
  <c r="FN92" i="5"/>
  <c r="HY92" i="5" s="1"/>
  <c r="IS92" i="5" s="1"/>
  <c r="FM92" i="5"/>
  <c r="HX92" i="5" s="1"/>
  <c r="IR92" i="5" s="1"/>
  <c r="FN90" i="5"/>
  <c r="HY90" i="5" s="1"/>
  <c r="FM90" i="5"/>
  <c r="HX90" i="5" s="1"/>
  <c r="IR90" i="5" s="1"/>
  <c r="FL90" i="5"/>
  <c r="HW90" i="5" s="1"/>
  <c r="IQ90" i="5" s="1"/>
  <c r="FJ90" i="5"/>
  <c r="HU90" i="5" s="1"/>
  <c r="IO90" i="5" s="1"/>
  <c r="FH90" i="5"/>
  <c r="HS90" i="5" s="1"/>
  <c r="IM90" i="5" s="1"/>
  <c r="FF90" i="5"/>
  <c r="HQ90" i="5" s="1"/>
  <c r="IK90" i="5" s="1"/>
  <c r="FK90" i="5"/>
  <c r="HV90" i="5" s="1"/>
  <c r="IP90" i="5" s="1"/>
  <c r="FI90" i="5"/>
  <c r="HT90" i="5" s="1"/>
  <c r="IN90" i="5" s="1"/>
  <c r="FG90" i="5"/>
  <c r="HR90" i="5" s="1"/>
  <c r="IL90" i="5" s="1"/>
  <c r="FE90" i="5"/>
  <c r="HP90" i="5" s="1"/>
  <c r="IJ90" i="5" s="1"/>
  <c r="FF88" i="5"/>
  <c r="HQ88" i="5" s="1"/>
  <c r="IK88" i="5" s="1"/>
  <c r="FE88" i="5"/>
  <c r="HP88" i="5" s="1"/>
  <c r="IJ88" i="5" s="1"/>
  <c r="FF82" i="5"/>
  <c r="HQ82" i="5" s="1"/>
  <c r="IK82" i="5" s="1"/>
  <c r="FE82" i="5"/>
  <c r="HP82" i="5" s="1"/>
  <c r="IJ82" i="5" s="1"/>
  <c r="FF44" i="5"/>
  <c r="FE44" i="5"/>
  <c r="HP44" i="5" s="1"/>
  <c r="IJ44" i="5" s="1"/>
  <c r="FF40" i="5"/>
  <c r="HQ40" i="5" s="1"/>
  <c r="IK40" i="5" s="1"/>
  <c r="FE40" i="5"/>
  <c r="HP40" i="5" s="1"/>
  <c r="IJ40" i="5" s="1"/>
  <c r="FF38" i="5"/>
  <c r="HQ38" i="5" s="1"/>
  <c r="IK38" i="5" s="1"/>
  <c r="FE38" i="5"/>
  <c r="HP38" i="5" s="1"/>
  <c r="IJ38" i="5" s="1"/>
  <c r="FW126" i="5"/>
  <c r="IH126" i="5" s="1"/>
  <c r="JB126" i="5" s="1"/>
  <c r="FV126" i="5"/>
  <c r="IG126" i="5" s="1"/>
  <c r="JA126" i="5" s="1"/>
  <c r="FU126" i="5"/>
  <c r="IF126" i="5" s="1"/>
  <c r="IZ126" i="5" s="1"/>
  <c r="FT126" i="5"/>
  <c r="IE126" i="5" s="1"/>
  <c r="IY126" i="5" s="1"/>
  <c r="FS126" i="5"/>
  <c r="ID126" i="5" s="1"/>
  <c r="IX126" i="5" s="1"/>
  <c r="FR126" i="5"/>
  <c r="IC126" i="5" s="1"/>
  <c r="IW126" i="5" s="1"/>
  <c r="FQ126" i="5"/>
  <c r="IB126" i="5" s="1"/>
  <c r="IV126" i="5" s="1"/>
  <c r="FP126" i="5"/>
  <c r="IA126" i="5" s="1"/>
  <c r="IU126" i="5" s="1"/>
  <c r="FO126" i="5"/>
  <c r="HZ126" i="5" s="1"/>
  <c r="IT126" i="5" s="1"/>
  <c r="FN126" i="5"/>
  <c r="HY126" i="5" s="1"/>
  <c r="IS126" i="5" s="1"/>
  <c r="FM126" i="5"/>
  <c r="HX126" i="5" s="1"/>
  <c r="IR126" i="5" s="1"/>
  <c r="FW129" i="5"/>
  <c r="IH129" i="5" s="1"/>
  <c r="JB129" i="5" s="1"/>
  <c r="FV129" i="5"/>
  <c r="IG129" i="5" s="1"/>
  <c r="JA129" i="5" s="1"/>
  <c r="FU129" i="5"/>
  <c r="IF129" i="5" s="1"/>
  <c r="IZ129" i="5" s="1"/>
  <c r="FT129" i="5"/>
  <c r="IE129" i="5" s="1"/>
  <c r="IY129" i="5" s="1"/>
  <c r="FS129" i="5"/>
  <c r="ID129" i="5" s="1"/>
  <c r="IX129" i="5" s="1"/>
  <c r="FR129" i="5"/>
  <c r="IC129" i="5" s="1"/>
  <c r="IW129" i="5" s="1"/>
  <c r="FQ129" i="5"/>
  <c r="IB129" i="5" s="1"/>
  <c r="IV129" i="5" s="1"/>
  <c r="FP129" i="5"/>
  <c r="IA129" i="5" s="1"/>
  <c r="IU129" i="5" s="1"/>
  <c r="FO129" i="5"/>
  <c r="HZ129" i="5" s="1"/>
  <c r="IT129" i="5" s="1"/>
  <c r="FN129" i="5"/>
  <c r="HY129" i="5" s="1"/>
  <c r="IS129" i="5" s="1"/>
  <c r="FM129" i="5"/>
  <c r="HX129" i="5" s="1"/>
  <c r="IR129" i="5" s="1"/>
  <c r="DN119" i="5"/>
  <c r="FW130" i="5"/>
  <c r="IH130" i="5" s="1"/>
  <c r="JB130" i="5" s="1"/>
  <c r="FV130" i="5"/>
  <c r="IG130" i="5" s="1"/>
  <c r="JA130" i="5" s="1"/>
  <c r="FU130" i="5"/>
  <c r="IF130" i="5" s="1"/>
  <c r="IZ130" i="5" s="1"/>
  <c r="FT130" i="5"/>
  <c r="IE130" i="5" s="1"/>
  <c r="IY130" i="5" s="1"/>
  <c r="FS130" i="5"/>
  <c r="ID130" i="5" s="1"/>
  <c r="IX130" i="5" s="1"/>
  <c r="FR130" i="5"/>
  <c r="IC130" i="5" s="1"/>
  <c r="IW130" i="5" s="1"/>
  <c r="FQ130" i="5"/>
  <c r="IB130" i="5" s="1"/>
  <c r="IV130" i="5" s="1"/>
  <c r="FP130" i="5"/>
  <c r="IA130" i="5" s="1"/>
  <c r="IU130" i="5" s="1"/>
  <c r="FO130" i="5"/>
  <c r="HZ130" i="5" s="1"/>
  <c r="IT130" i="5" s="1"/>
  <c r="FN130" i="5"/>
  <c r="HY130" i="5" s="1"/>
  <c r="IS130" i="5" s="1"/>
  <c r="FM130" i="5"/>
  <c r="HX130" i="5" s="1"/>
  <c r="IR130" i="5" s="1"/>
  <c r="FW125" i="5"/>
  <c r="IH125" i="5" s="1"/>
  <c r="JB125" i="5" s="1"/>
  <c r="FV125" i="5"/>
  <c r="IG125" i="5" s="1"/>
  <c r="JA125" i="5" s="1"/>
  <c r="FU125" i="5"/>
  <c r="IF125" i="5" s="1"/>
  <c r="IZ125" i="5" s="1"/>
  <c r="FT125" i="5"/>
  <c r="IE125" i="5" s="1"/>
  <c r="IY125" i="5" s="1"/>
  <c r="FS125" i="5"/>
  <c r="ID125" i="5" s="1"/>
  <c r="IX125" i="5" s="1"/>
  <c r="FR125" i="5"/>
  <c r="IC125" i="5" s="1"/>
  <c r="IW125" i="5" s="1"/>
  <c r="FQ125" i="5"/>
  <c r="IB125" i="5" s="1"/>
  <c r="IV125" i="5" s="1"/>
  <c r="FP125" i="5"/>
  <c r="IA125" i="5" s="1"/>
  <c r="IU125" i="5" s="1"/>
  <c r="FO125" i="5"/>
  <c r="HZ125" i="5" s="1"/>
  <c r="IT125" i="5" s="1"/>
  <c r="FN125" i="5"/>
  <c r="HY125" i="5" s="1"/>
  <c r="IS125" i="5" s="1"/>
  <c r="FM125" i="5"/>
  <c r="HX125" i="5" s="1"/>
  <c r="IR125" i="5" s="1"/>
  <c r="FW128" i="5"/>
  <c r="IH128" i="5" s="1"/>
  <c r="JB128" i="5" s="1"/>
  <c r="FV128" i="5"/>
  <c r="IG128" i="5" s="1"/>
  <c r="JA128" i="5" s="1"/>
  <c r="FU128" i="5"/>
  <c r="IF128" i="5" s="1"/>
  <c r="IZ128" i="5" s="1"/>
  <c r="FT128" i="5"/>
  <c r="IE128" i="5" s="1"/>
  <c r="IY128" i="5" s="1"/>
  <c r="FS128" i="5"/>
  <c r="ID128" i="5" s="1"/>
  <c r="IX128" i="5" s="1"/>
  <c r="FR128" i="5"/>
  <c r="IC128" i="5" s="1"/>
  <c r="IW128" i="5" s="1"/>
  <c r="FQ128" i="5"/>
  <c r="IB128" i="5" s="1"/>
  <c r="IV128" i="5" s="1"/>
  <c r="FP128" i="5"/>
  <c r="IA128" i="5" s="1"/>
  <c r="IU128" i="5" s="1"/>
  <c r="FO128" i="5"/>
  <c r="HZ128" i="5" s="1"/>
  <c r="IT128" i="5" s="1"/>
  <c r="FN128" i="5"/>
  <c r="HY128" i="5" s="1"/>
  <c r="IS128" i="5" s="1"/>
  <c r="FM128" i="5"/>
  <c r="HX128" i="5" s="1"/>
  <c r="IR128" i="5" s="1"/>
  <c r="FN110" i="5"/>
  <c r="HY110" i="5" s="1"/>
  <c r="IS110" i="5" s="1"/>
  <c r="FM110" i="5"/>
  <c r="HX110" i="5" s="1"/>
  <c r="IR110" i="5" s="1"/>
  <c r="FN106" i="5"/>
  <c r="HY106" i="5" s="1"/>
  <c r="IS106" i="5" s="1"/>
  <c r="FM106" i="5"/>
  <c r="HX106" i="5" s="1"/>
  <c r="IR106" i="5" s="1"/>
  <c r="FN100" i="5"/>
  <c r="HY100" i="5" s="1"/>
  <c r="IS100" i="5" s="1"/>
  <c r="FM100" i="5"/>
  <c r="HX100" i="5" s="1"/>
  <c r="IR100" i="5" s="1"/>
  <c r="FO94" i="5"/>
  <c r="HZ94" i="5" s="1"/>
  <c r="FN94" i="5"/>
  <c r="HY94" i="5" s="1"/>
  <c r="IS94" i="5" s="1"/>
  <c r="FM94" i="5"/>
  <c r="HX94" i="5" s="1"/>
  <c r="IR94" i="5" s="1"/>
  <c r="FN93" i="5"/>
  <c r="HY93" i="5" s="1"/>
  <c r="IS93" i="5" s="1"/>
  <c r="FM93" i="5"/>
  <c r="HX93" i="5" s="1"/>
  <c r="IR93" i="5" s="1"/>
  <c r="FE85" i="5"/>
  <c r="HP85" i="5" s="1"/>
  <c r="IJ85" i="5" s="1"/>
  <c r="FF85" i="5"/>
  <c r="HQ85" i="5" s="1"/>
  <c r="IK85" i="5" s="1"/>
  <c r="FE61" i="5"/>
  <c r="HP61" i="5" s="1"/>
  <c r="IJ61" i="5" s="1"/>
  <c r="FF61" i="5"/>
  <c r="HQ61" i="5" s="1"/>
  <c r="IK61" i="5" s="1"/>
  <c r="FF58" i="5"/>
  <c r="HQ58" i="5" s="1"/>
  <c r="IK58" i="5" s="1"/>
  <c r="FE58" i="5"/>
  <c r="HP58" i="5" s="1"/>
  <c r="IJ58" i="5" s="1"/>
  <c r="FF54" i="5"/>
  <c r="HQ54" i="5" s="1"/>
  <c r="IK54" i="5" s="1"/>
  <c r="FE54" i="5"/>
  <c r="HP54" i="5" s="1"/>
  <c r="IJ54" i="5" s="1"/>
  <c r="FE47" i="5"/>
  <c r="HP47" i="5" s="1"/>
  <c r="IJ47" i="5" s="1"/>
  <c r="FF47" i="5"/>
  <c r="FG45" i="5"/>
  <c r="FE45" i="5"/>
  <c r="HP45" i="5" s="1"/>
  <c r="IJ45" i="5" s="1"/>
  <c r="FF45" i="5"/>
  <c r="HQ45" i="5" s="1"/>
  <c r="IK45" i="5" s="1"/>
  <c r="DN133" i="5"/>
  <c r="FW127" i="5"/>
  <c r="IH127" i="5" s="1"/>
  <c r="JB127" i="5" s="1"/>
  <c r="FV127" i="5"/>
  <c r="IG127" i="5" s="1"/>
  <c r="JA127" i="5" s="1"/>
  <c r="FU127" i="5"/>
  <c r="IF127" i="5" s="1"/>
  <c r="IZ127" i="5" s="1"/>
  <c r="FT127" i="5"/>
  <c r="IE127" i="5" s="1"/>
  <c r="IY127" i="5" s="1"/>
  <c r="FS127" i="5"/>
  <c r="ID127" i="5" s="1"/>
  <c r="IX127" i="5" s="1"/>
  <c r="FR127" i="5"/>
  <c r="IC127" i="5" s="1"/>
  <c r="IW127" i="5" s="1"/>
  <c r="FQ127" i="5"/>
  <c r="IB127" i="5" s="1"/>
  <c r="IV127" i="5" s="1"/>
  <c r="FP127" i="5"/>
  <c r="IA127" i="5" s="1"/>
  <c r="IU127" i="5" s="1"/>
  <c r="FO127" i="5"/>
  <c r="HZ127" i="5" s="1"/>
  <c r="IT127" i="5" s="1"/>
  <c r="FN127" i="5"/>
  <c r="HY127" i="5" s="1"/>
  <c r="IS127" i="5" s="1"/>
  <c r="FM127" i="5"/>
  <c r="HX127" i="5" s="1"/>
  <c r="IR127" i="5" s="1"/>
  <c r="DN117" i="5"/>
  <c r="DN113" i="5"/>
  <c r="DN114" i="5"/>
  <c r="DN105" i="5"/>
  <c r="DN102" i="5"/>
  <c r="DN99" i="5"/>
  <c r="DN97" i="5"/>
  <c r="DN90" i="5"/>
  <c r="FG87" i="5"/>
  <c r="FE87" i="5"/>
  <c r="HP87" i="5" s="1"/>
  <c r="IJ87" i="5" s="1"/>
  <c r="FF87" i="5"/>
  <c r="FF84" i="5"/>
  <c r="HQ84" i="5" s="1"/>
  <c r="IK84" i="5" s="1"/>
  <c r="FE84" i="5"/>
  <c r="HP84" i="5" s="1"/>
  <c r="IJ84" i="5" s="1"/>
  <c r="FF80" i="5"/>
  <c r="HQ80" i="5" s="1"/>
  <c r="IK80" i="5" s="1"/>
  <c r="FE80" i="5"/>
  <c r="HP80" i="5" s="1"/>
  <c r="IJ80" i="5" s="1"/>
  <c r="FE75" i="5"/>
  <c r="HP75" i="5" s="1"/>
  <c r="IJ75" i="5" s="1"/>
  <c r="FF75" i="5"/>
  <c r="HQ75" i="5" s="1"/>
  <c r="IK75" i="5" s="1"/>
  <c r="FE59" i="5"/>
  <c r="HP59" i="5" s="1"/>
  <c r="IJ59" i="5" s="1"/>
  <c r="FF59" i="5"/>
  <c r="HQ59" i="5" s="1"/>
  <c r="IK59" i="5" s="1"/>
  <c r="FF56" i="5"/>
  <c r="HQ56" i="5" s="1"/>
  <c r="IK56" i="5" s="1"/>
  <c r="FE56" i="5"/>
  <c r="HP56" i="5" s="1"/>
  <c r="IJ56" i="5" s="1"/>
  <c r="FF52" i="5"/>
  <c r="HQ52" i="5" s="1"/>
  <c r="IK52" i="5" s="1"/>
  <c r="FE52" i="5"/>
  <c r="HP52" i="5" s="1"/>
  <c r="IJ52" i="5" s="1"/>
  <c r="FF50" i="5"/>
  <c r="HQ50" i="5" s="1"/>
  <c r="IK50" i="5" s="1"/>
  <c r="FE50" i="5"/>
  <c r="HP50" i="5" s="1"/>
  <c r="IJ50" i="5" s="1"/>
  <c r="FF46" i="5"/>
  <c r="HQ46" i="5" s="1"/>
  <c r="IK46" i="5" s="1"/>
  <c r="FE46" i="5"/>
  <c r="HP46" i="5" s="1"/>
  <c r="IJ46" i="5" s="1"/>
  <c r="FE43" i="5"/>
  <c r="HP43" i="5" s="1"/>
  <c r="IJ43" i="5" s="1"/>
  <c r="FF43" i="5"/>
  <c r="HQ43" i="5" s="1"/>
  <c r="IK43" i="5" s="1"/>
  <c r="FF36" i="5"/>
  <c r="HQ36" i="5" s="1"/>
  <c r="IK36" i="5" s="1"/>
  <c r="FE36" i="5"/>
  <c r="HP36" i="5" s="1"/>
  <c r="IJ36" i="5" s="1"/>
  <c r="FE37" i="5"/>
  <c r="HP37" i="5" s="1"/>
  <c r="IJ37" i="5" s="1"/>
  <c r="FF37" i="5"/>
  <c r="HQ37" i="5" s="1"/>
  <c r="IK37" i="5" s="1"/>
  <c r="DN132" i="5"/>
  <c r="AD73" i="5"/>
  <c r="AE73" i="5" s="1"/>
  <c r="AG73" i="5" s="1"/>
  <c r="AD67" i="5"/>
  <c r="AE67" i="5" s="1"/>
  <c r="AG67" i="5" s="1"/>
  <c r="AD81" i="5"/>
  <c r="AE81" i="5" s="1"/>
  <c r="AG81" i="5" s="1"/>
  <c r="AD33" i="5"/>
  <c r="AE33" i="5" s="1"/>
  <c r="AG33" i="5" s="1"/>
  <c r="AD91" i="5"/>
  <c r="AE91" i="5" s="1"/>
  <c r="AG91" i="5" s="1"/>
  <c r="AD35" i="5"/>
  <c r="AE35" i="5" s="1"/>
  <c r="AG35" i="5" s="1"/>
  <c r="AD49" i="5"/>
  <c r="AE49" i="5" s="1"/>
  <c r="AG49" i="5" s="1"/>
  <c r="AD83" i="5"/>
  <c r="AE83" i="5" s="1"/>
  <c r="AG83" i="5" s="1"/>
  <c r="AD65" i="5"/>
  <c r="AE65" i="5" s="1"/>
  <c r="AG65" i="5" s="1"/>
  <c r="DE123" i="5"/>
  <c r="DN123" i="5" s="1"/>
  <c r="DM124" i="5"/>
  <c r="DQ82" i="5"/>
  <c r="DQ74" i="5"/>
  <c r="DQ69" i="5"/>
  <c r="DQ65" i="5"/>
  <c r="DQ58" i="5"/>
  <c r="DQ44" i="5"/>
  <c r="DQ42" i="5"/>
  <c r="DQ83" i="5"/>
  <c r="DQ76" i="5"/>
  <c r="DQ73" i="5"/>
  <c r="DQ67" i="5"/>
  <c r="DQ61" i="5"/>
  <c r="DQ45" i="5"/>
  <c r="DQ39" i="5"/>
  <c r="DQ36" i="5"/>
  <c r="DQ31" i="5"/>
  <c r="DQ89" i="5"/>
  <c r="DQ85" i="5"/>
  <c r="DQ79" i="5"/>
  <c r="DQ75" i="5"/>
  <c r="DQ71" i="5"/>
  <c r="DQ68" i="5"/>
  <c r="DQ63" i="5"/>
  <c r="DQ60" i="5"/>
  <c r="DQ41" i="5"/>
  <c r="DQ37" i="5"/>
  <c r="DP67" i="5"/>
  <c r="EK67" i="5" s="1"/>
  <c r="HQ67" i="5" s="1"/>
  <c r="IK67" i="5" s="1"/>
  <c r="DQ56" i="5"/>
  <c r="DQ53" i="5"/>
  <c r="DQ49" i="5"/>
  <c r="DQ47" i="5"/>
  <c r="DP44" i="5"/>
  <c r="EK44" i="5" s="1"/>
  <c r="HQ44" i="5" s="1"/>
  <c r="IK44" i="5" s="1"/>
  <c r="DQ33" i="5"/>
  <c r="AD89" i="5"/>
  <c r="AE89" i="5" s="1"/>
  <c r="AG89" i="5" s="1"/>
  <c r="AD57" i="5"/>
  <c r="AE57" i="5" s="1"/>
  <c r="AG57" i="5" s="1"/>
  <c r="AD41" i="5"/>
  <c r="AE41" i="5" s="1"/>
  <c r="AG41" i="5" s="1"/>
  <c r="DB128" i="5"/>
  <c r="DJ129" i="5"/>
  <c r="DD125" i="5"/>
  <c r="DL126" i="5"/>
  <c r="DQ55" i="5"/>
  <c r="DQ51" i="5"/>
  <c r="DQ34" i="5"/>
  <c r="DQ59" i="5"/>
  <c r="DQ48" i="5"/>
  <c r="DQ28" i="5"/>
  <c r="DQ87" i="5"/>
  <c r="DQ57" i="5"/>
  <c r="DQ52" i="5"/>
  <c r="DQ50" i="5"/>
  <c r="DQ35" i="5"/>
  <c r="DQ84" i="5"/>
  <c r="DQ81" i="5"/>
  <c r="DQ77" i="5"/>
  <c r="DQ72" i="5"/>
  <c r="DQ40" i="5"/>
  <c r="DQ29" i="5"/>
  <c r="AI62" i="5"/>
  <c r="AI64" i="5"/>
  <c r="AI101" i="5"/>
  <c r="AI126" i="5"/>
  <c r="AF112" i="5"/>
  <c r="AH112" i="5" s="1"/>
  <c r="AF125" i="5"/>
  <c r="AH125" i="5" s="1"/>
  <c r="F11" i="5"/>
  <c r="F2" i="5"/>
  <c r="AF126" i="5"/>
  <c r="AH126" i="5" s="1"/>
  <c r="JW126" i="5" s="1"/>
  <c r="AF32" i="5"/>
  <c r="AH32" i="5" s="1"/>
  <c r="AF85" i="5"/>
  <c r="AH85" i="5" s="1"/>
  <c r="AF69" i="5"/>
  <c r="AH69" i="5" s="1"/>
  <c r="AF38" i="5"/>
  <c r="AH38" i="5" s="1"/>
  <c r="AF47" i="5"/>
  <c r="AH47" i="5" s="1"/>
  <c r="AF36" i="5"/>
  <c r="AH36" i="5" s="1"/>
  <c r="AF93" i="5"/>
  <c r="AH93" i="5" s="1"/>
  <c r="AF101" i="5"/>
  <c r="AH101" i="5" s="1"/>
  <c r="AF129" i="5"/>
  <c r="AH129" i="5" s="1"/>
  <c r="AF77" i="5"/>
  <c r="AH77" i="5" s="1"/>
  <c r="AF88" i="5"/>
  <c r="AH88" i="5" s="1"/>
  <c r="AF127" i="5"/>
  <c r="AH127" i="5" s="1"/>
  <c r="JV127" i="5" s="1"/>
  <c r="AF50" i="5"/>
  <c r="AH50" i="5" s="1"/>
  <c r="AF45" i="5"/>
  <c r="AH45" i="5" s="1"/>
  <c r="AF116" i="5"/>
  <c r="AH116" i="5" s="1"/>
  <c r="AF104" i="5"/>
  <c r="AH104" i="5" s="1"/>
  <c r="AF37" i="5"/>
  <c r="AH37" i="5" s="1"/>
  <c r="AF110" i="5"/>
  <c r="AH110" i="5" s="1"/>
  <c r="AF78" i="5"/>
  <c r="AH78" i="5" s="1"/>
  <c r="AF55" i="5"/>
  <c r="AH55" i="5" s="1"/>
  <c r="AF106" i="5"/>
  <c r="AH106" i="5" s="1"/>
  <c r="AF42" i="5"/>
  <c r="AH42" i="5" s="1"/>
  <c r="AF76" i="5"/>
  <c r="AH76" i="5" s="1"/>
  <c r="AF51" i="5"/>
  <c r="AH51" i="5" s="1"/>
  <c r="AF39" i="5"/>
  <c r="AH39" i="5" s="1"/>
  <c r="AF86" i="5"/>
  <c r="AH86" i="5" s="1"/>
  <c r="AF70" i="5"/>
  <c r="AH70" i="5" s="1"/>
  <c r="AF62" i="5"/>
  <c r="AH62" i="5" s="1"/>
  <c r="AF34" i="5"/>
  <c r="AH34" i="5" s="1"/>
  <c r="AF117" i="5"/>
  <c r="AH117" i="5" s="1"/>
  <c r="AF109" i="5"/>
  <c r="AH109" i="5" s="1"/>
  <c r="AF90" i="5"/>
  <c r="AH90" i="5" s="1"/>
  <c r="AF63" i="5"/>
  <c r="AH63" i="5" s="1"/>
  <c r="AF96" i="5"/>
  <c r="AH96" i="5" s="1"/>
  <c r="F14" i="5"/>
  <c r="AF130" i="5"/>
  <c r="AH130" i="5" s="1"/>
  <c r="AF103" i="5"/>
  <c r="AH103" i="5" s="1"/>
  <c r="AF95" i="5"/>
  <c r="AH95" i="5" s="1"/>
  <c r="AF79" i="5"/>
  <c r="AH79" i="5" s="1"/>
  <c r="AF64" i="5"/>
  <c r="AH64" i="5" s="1"/>
  <c r="AF29" i="5"/>
  <c r="AH29" i="5" s="1"/>
  <c r="AF108" i="5"/>
  <c r="AH108" i="5" s="1"/>
  <c r="AF82" i="5"/>
  <c r="AH82" i="5" s="1"/>
  <c r="AF74" i="5"/>
  <c r="AH74" i="5" s="1"/>
  <c r="AF40" i="5"/>
  <c r="AH40" i="5" s="1"/>
  <c r="AF98" i="5"/>
  <c r="AH98" i="5" s="1"/>
  <c r="AF94" i="5"/>
  <c r="AH94" i="5" s="1"/>
  <c r="AF87" i="5"/>
  <c r="AH87" i="5" s="1"/>
  <c r="AF72" i="5"/>
  <c r="AH72" i="5" s="1"/>
  <c r="AF61" i="5"/>
  <c r="AH61" i="5" s="1"/>
  <c r="AF58" i="5"/>
  <c r="AH58" i="5" s="1"/>
  <c r="AF56" i="5"/>
  <c r="AH56" i="5" s="1"/>
  <c r="AF46" i="5"/>
  <c r="AH46" i="5" s="1"/>
  <c r="AF30" i="5"/>
  <c r="AH30" i="5" s="1"/>
  <c r="AF59" i="5"/>
  <c r="AH59" i="5" s="1"/>
  <c r="AF31" i="5"/>
  <c r="AH31" i="5" s="1"/>
  <c r="AF119" i="5"/>
  <c r="AH119" i="5" s="1"/>
  <c r="AF114" i="5"/>
  <c r="AH114" i="5" s="1"/>
  <c r="JV114" i="5" s="1"/>
  <c r="AF92" i="5"/>
  <c r="AH92" i="5" s="1"/>
  <c r="AF66" i="5"/>
  <c r="AH66" i="5" s="1"/>
  <c r="AF53" i="5"/>
  <c r="AH53" i="5" s="1"/>
  <c r="AF44" i="5"/>
  <c r="AH44" i="5" s="1"/>
  <c r="AF75" i="5"/>
  <c r="AH75" i="5" s="1"/>
  <c r="AF54" i="5"/>
  <c r="AH54" i="5" s="1"/>
  <c r="AF111" i="5"/>
  <c r="AH111" i="5" s="1"/>
  <c r="AF48" i="5"/>
  <c r="AH48" i="5" s="1"/>
  <c r="AF133" i="5"/>
  <c r="AH133" i="5" s="1"/>
  <c r="AF128" i="5"/>
  <c r="AH128" i="5" s="1"/>
  <c r="JW128" i="5" s="1"/>
  <c r="AF60" i="5"/>
  <c r="AH60" i="5" s="1"/>
  <c r="AF100" i="5"/>
  <c r="AH100" i="5" s="1"/>
  <c r="AF84" i="5"/>
  <c r="AH84" i="5" s="1"/>
  <c r="AF52" i="5"/>
  <c r="AH52" i="5" s="1"/>
  <c r="AF43" i="5"/>
  <c r="AH43" i="5" s="1"/>
  <c r="M99" i="7"/>
  <c r="N99" i="7"/>
  <c r="D100" i="7"/>
  <c r="E99" i="7"/>
  <c r="H99" i="7" s="1"/>
  <c r="B99" i="7"/>
  <c r="F99" i="7" s="1"/>
  <c r="C99" i="7"/>
  <c r="I99" i="7" s="1"/>
  <c r="G99" i="7"/>
  <c r="K100" i="7"/>
  <c r="L100" i="7" s="1"/>
  <c r="J101" i="7"/>
  <c r="JD36" i="5" l="1"/>
  <c r="JD52" i="5"/>
  <c r="JD56" i="5"/>
  <c r="JK127" i="5"/>
  <c r="JM127" i="5"/>
  <c r="JO127" i="5"/>
  <c r="JQ127" i="5"/>
  <c r="JS127" i="5"/>
  <c r="JU127" i="5"/>
  <c r="JD45" i="5"/>
  <c r="JD54" i="5"/>
  <c r="JK100" i="5"/>
  <c r="JK110" i="5"/>
  <c r="JK128" i="5"/>
  <c r="JM128" i="5"/>
  <c r="JO128" i="5"/>
  <c r="JQ128" i="5"/>
  <c r="JS128" i="5"/>
  <c r="JU128" i="5"/>
  <c r="JK130" i="5"/>
  <c r="JM130" i="5"/>
  <c r="JO130" i="5"/>
  <c r="JQ130" i="5"/>
  <c r="JS130" i="5"/>
  <c r="JU130" i="5"/>
  <c r="JL126" i="5"/>
  <c r="JN126" i="5"/>
  <c r="JP126" i="5"/>
  <c r="JR126" i="5"/>
  <c r="JT126" i="5"/>
  <c r="JG90" i="5"/>
  <c r="JD90" i="5"/>
  <c r="JH90" i="5"/>
  <c r="JK90" i="5"/>
  <c r="JD62" i="5"/>
  <c r="JD64" i="5"/>
  <c r="JD86" i="5"/>
  <c r="JL96" i="5"/>
  <c r="JL98" i="5"/>
  <c r="JL101" i="5"/>
  <c r="JL104" i="5"/>
  <c r="JK112" i="5"/>
  <c r="JD77" i="5"/>
  <c r="JL108" i="5"/>
  <c r="JL114" i="5"/>
  <c r="JK117" i="5"/>
  <c r="JT117" i="5"/>
  <c r="JD51" i="5"/>
  <c r="JK95" i="5"/>
  <c r="IT122" i="5"/>
  <c r="JI133" i="5"/>
  <c r="JJ133" i="5"/>
  <c r="JI111" i="5"/>
  <c r="JJ111" i="5"/>
  <c r="JJ92" i="5"/>
  <c r="JI92" i="5"/>
  <c r="JI119" i="5"/>
  <c r="JJ119" i="5"/>
  <c r="JJ94" i="5"/>
  <c r="JI94" i="5"/>
  <c r="JI103" i="5"/>
  <c r="JJ103" i="5"/>
  <c r="JI109" i="5"/>
  <c r="JJ109" i="5"/>
  <c r="JJ106" i="5"/>
  <c r="JI106" i="5"/>
  <c r="JJ116" i="5"/>
  <c r="JI116" i="5"/>
  <c r="JI129" i="5"/>
  <c r="JJ129" i="5"/>
  <c r="JI93" i="5"/>
  <c r="JJ93" i="5"/>
  <c r="JI125" i="5"/>
  <c r="JJ125" i="5"/>
  <c r="JD46" i="5"/>
  <c r="JD50" i="5"/>
  <c r="JD84" i="5"/>
  <c r="JD58" i="5"/>
  <c r="JL93" i="5"/>
  <c r="JL94" i="5"/>
  <c r="JK106" i="5"/>
  <c r="JL125" i="5"/>
  <c r="JN125" i="5"/>
  <c r="JP125" i="5"/>
  <c r="JR125" i="5"/>
  <c r="JT125" i="5"/>
  <c r="JK129" i="5"/>
  <c r="JM129" i="5"/>
  <c r="JO129" i="5"/>
  <c r="JQ129" i="5"/>
  <c r="JS129" i="5"/>
  <c r="JU129" i="5"/>
  <c r="JK92" i="5"/>
  <c r="JD34" i="5"/>
  <c r="JD70" i="5"/>
  <c r="JD76" i="5"/>
  <c r="JL103" i="5"/>
  <c r="JL111" i="5"/>
  <c r="JK116" i="5"/>
  <c r="JU116" i="5"/>
  <c r="JD69" i="5"/>
  <c r="JD53" i="5"/>
  <c r="JL109" i="5"/>
  <c r="JK119" i="5"/>
  <c r="JR119" i="5"/>
  <c r="JT119" i="5"/>
  <c r="JK133" i="5"/>
  <c r="JW133" i="5"/>
  <c r="JV133" i="5"/>
  <c r="JP133" i="5"/>
  <c r="JU133" i="5"/>
  <c r="JV119" i="5"/>
  <c r="JW119" i="5"/>
  <c r="JW116" i="5"/>
  <c r="JM133" i="5"/>
  <c r="JL133" i="5"/>
  <c r="JO133" i="5"/>
  <c r="JV129" i="5"/>
  <c r="JJ100" i="5"/>
  <c r="JI100" i="5"/>
  <c r="JJ128" i="5"/>
  <c r="JI128" i="5"/>
  <c r="JJ114" i="5"/>
  <c r="JI114" i="5"/>
  <c r="JJ98" i="5"/>
  <c r="JI98" i="5"/>
  <c r="JJ108" i="5"/>
  <c r="JI108" i="5"/>
  <c r="JI95" i="5"/>
  <c r="JJ95" i="5"/>
  <c r="JJ130" i="5"/>
  <c r="JI130" i="5"/>
  <c r="JJ96" i="5"/>
  <c r="JI96" i="5"/>
  <c r="JI117" i="5"/>
  <c r="JJ117" i="5"/>
  <c r="JJ110" i="5"/>
  <c r="JI110" i="5"/>
  <c r="JJ104" i="5"/>
  <c r="JI104" i="5"/>
  <c r="JI127" i="5"/>
  <c r="JJ127" i="5"/>
  <c r="JI101" i="5"/>
  <c r="JJ101" i="5"/>
  <c r="JJ126" i="5"/>
  <c r="JI126" i="5"/>
  <c r="JJ112" i="5"/>
  <c r="JI112" i="5"/>
  <c r="JD44" i="5"/>
  <c r="JD37" i="5"/>
  <c r="JD43" i="5"/>
  <c r="JD59" i="5"/>
  <c r="JD75" i="5"/>
  <c r="JL127" i="5"/>
  <c r="JN127" i="5"/>
  <c r="JP127" i="5"/>
  <c r="JR127" i="5"/>
  <c r="JT127" i="5"/>
  <c r="JD61" i="5"/>
  <c r="JD85" i="5"/>
  <c r="JK93" i="5"/>
  <c r="JK94" i="5"/>
  <c r="IT94" i="5"/>
  <c r="JM94" i="5" s="1"/>
  <c r="JL100" i="5"/>
  <c r="JL106" i="5"/>
  <c r="JL110" i="5"/>
  <c r="JL128" i="5"/>
  <c r="JN128" i="5"/>
  <c r="JP128" i="5"/>
  <c r="JR128" i="5"/>
  <c r="JT128" i="5"/>
  <c r="JK125" i="5"/>
  <c r="JM125" i="5"/>
  <c r="JO125" i="5"/>
  <c r="JQ125" i="5"/>
  <c r="JS125" i="5"/>
  <c r="JU125" i="5"/>
  <c r="JL130" i="5"/>
  <c r="JN130" i="5"/>
  <c r="JP130" i="5"/>
  <c r="JR130" i="5"/>
  <c r="JT130" i="5"/>
  <c r="JL129" i="5"/>
  <c r="JN129" i="5"/>
  <c r="JP129" i="5"/>
  <c r="JR129" i="5"/>
  <c r="JT129" i="5"/>
  <c r="JK126" i="5"/>
  <c r="JM126" i="5"/>
  <c r="JO126" i="5"/>
  <c r="JQ126" i="5"/>
  <c r="JS126" i="5"/>
  <c r="JU126" i="5"/>
  <c r="JD38" i="5"/>
  <c r="JD40" i="5"/>
  <c r="JD82" i="5"/>
  <c r="JD88" i="5"/>
  <c r="JE90" i="5"/>
  <c r="JI90" i="5"/>
  <c r="JF90" i="5"/>
  <c r="JJ90" i="5"/>
  <c r="IS90" i="5"/>
  <c r="JL90" i="5" s="1"/>
  <c r="JL92" i="5"/>
  <c r="JD29" i="5"/>
  <c r="JK103" i="5"/>
  <c r="JK111" i="5"/>
  <c r="IN89" i="5"/>
  <c r="JK96" i="5"/>
  <c r="JK98" i="5"/>
  <c r="JK101" i="5"/>
  <c r="JK104" i="5"/>
  <c r="JL112" i="5"/>
  <c r="JL116" i="5"/>
  <c r="JT116" i="5"/>
  <c r="JD30" i="5"/>
  <c r="JD32" i="5"/>
  <c r="JD72" i="5"/>
  <c r="JD60" i="5"/>
  <c r="JD66" i="5"/>
  <c r="JD74" i="5"/>
  <c r="JD78" i="5"/>
  <c r="JK108" i="5"/>
  <c r="JK109" i="5"/>
  <c r="JK114" i="5"/>
  <c r="JL117" i="5"/>
  <c r="JS117" i="5"/>
  <c r="JU117" i="5"/>
  <c r="JL119" i="5"/>
  <c r="JQ119" i="5"/>
  <c r="JS119" i="5"/>
  <c r="JU119" i="5"/>
  <c r="JD42" i="5"/>
  <c r="JD48" i="5"/>
  <c r="JL95" i="5"/>
  <c r="IT105" i="5"/>
  <c r="JM93" i="5"/>
  <c r="IT98" i="5"/>
  <c r="JM98" i="5" s="1"/>
  <c r="IT104" i="5"/>
  <c r="JM104" i="5" s="1"/>
  <c r="JM110" i="5"/>
  <c r="IT111" i="5"/>
  <c r="JM111" i="5" s="1"/>
  <c r="IT113" i="5"/>
  <c r="IT115" i="5"/>
  <c r="IT118" i="5"/>
  <c r="II112" i="5"/>
  <c r="JW130" i="5"/>
  <c r="JW114" i="5"/>
  <c r="JW129" i="5"/>
  <c r="JV130" i="5"/>
  <c r="JR133" i="5"/>
  <c r="JS133" i="5"/>
  <c r="JV117" i="5"/>
  <c r="JV125" i="5"/>
  <c r="JW127" i="5"/>
  <c r="JW117" i="5"/>
  <c r="JW125" i="5"/>
  <c r="JN133" i="5"/>
  <c r="JT133" i="5"/>
  <c r="JQ133" i="5"/>
  <c r="JV128" i="5"/>
  <c r="JV116" i="5"/>
  <c r="JV126" i="5"/>
  <c r="IT121" i="5"/>
  <c r="IT109" i="5"/>
  <c r="JM109" i="5" s="1"/>
  <c r="IO89" i="5"/>
  <c r="IR89" i="5"/>
  <c r="IT92" i="5"/>
  <c r="JM92" i="5" s="1"/>
  <c r="IT100" i="5"/>
  <c r="JM100" i="5" s="1"/>
  <c r="IT106" i="5"/>
  <c r="JM106" i="5" s="1"/>
  <c r="IT108" i="5"/>
  <c r="JM108" i="5" s="1"/>
  <c r="IT116" i="5"/>
  <c r="JM116" i="5" s="1"/>
  <c r="IT119" i="5"/>
  <c r="JM119" i="5" s="1"/>
  <c r="IC132" i="5"/>
  <c r="IW132" i="5" s="1"/>
  <c r="IF131" i="5"/>
  <c r="IZ131" i="5" s="1"/>
  <c r="IM89" i="5"/>
  <c r="AF131" i="5"/>
  <c r="AH131" i="5" s="1"/>
  <c r="JK131" i="5" s="1"/>
  <c r="IH114" i="5"/>
  <c r="IT97" i="5"/>
  <c r="IT114" i="5"/>
  <c r="JM114" i="5" s="1"/>
  <c r="AF28" i="5"/>
  <c r="AH28" i="5" s="1"/>
  <c r="JD28" i="5" s="1"/>
  <c r="ID132" i="5"/>
  <c r="IX132" i="5" s="1"/>
  <c r="AH80" i="5"/>
  <c r="AJ80" i="5" s="1"/>
  <c r="AK80" i="5" s="1"/>
  <c r="AI89" i="5"/>
  <c r="AI65" i="5"/>
  <c r="AF49" i="5"/>
  <c r="AH49" i="5" s="1"/>
  <c r="JD49" i="5" s="1"/>
  <c r="AI97" i="5"/>
  <c r="AF113" i="5"/>
  <c r="AH113" i="5" s="1"/>
  <c r="AI118" i="5"/>
  <c r="AI105" i="5"/>
  <c r="AI99" i="5"/>
  <c r="AF41" i="5"/>
  <c r="AH41" i="5" s="1"/>
  <c r="JD41" i="5" s="1"/>
  <c r="AF81" i="5"/>
  <c r="AF73" i="5"/>
  <c r="AH73" i="5" s="1"/>
  <c r="JD73" i="5" s="1"/>
  <c r="AI102" i="5"/>
  <c r="AI57" i="5"/>
  <c r="AI83" i="5"/>
  <c r="AF35" i="5"/>
  <c r="AF33" i="5"/>
  <c r="AH33" i="5" s="1"/>
  <c r="AI67" i="5"/>
  <c r="AI121" i="5"/>
  <c r="AI115" i="5"/>
  <c r="AF122" i="5"/>
  <c r="AH122" i="5" s="1"/>
  <c r="AI124" i="5"/>
  <c r="AI107" i="5"/>
  <c r="AI120" i="5"/>
  <c r="AI123" i="5"/>
  <c r="AI132" i="5"/>
  <c r="AF89" i="5"/>
  <c r="AH89" i="5" s="1"/>
  <c r="JX89" i="5" s="1"/>
  <c r="AF65" i="5"/>
  <c r="AF97" i="5"/>
  <c r="AF102" i="5"/>
  <c r="AJ71" i="5"/>
  <c r="AK71" i="5" s="1"/>
  <c r="AF57" i="5"/>
  <c r="AI35" i="5"/>
  <c r="DN89" i="5"/>
  <c r="AF105" i="5"/>
  <c r="AI33" i="5"/>
  <c r="AF120" i="5"/>
  <c r="AH120" i="5" s="1"/>
  <c r="JZ71" i="5"/>
  <c r="AI41" i="5"/>
  <c r="AI131" i="5"/>
  <c r="JZ111" i="5"/>
  <c r="JZ92" i="5"/>
  <c r="JZ98" i="5"/>
  <c r="JZ103" i="5"/>
  <c r="JZ96" i="5"/>
  <c r="JZ110" i="5"/>
  <c r="JZ104" i="5"/>
  <c r="JZ127" i="5"/>
  <c r="JZ101" i="5"/>
  <c r="JZ126" i="5"/>
  <c r="JZ112" i="5"/>
  <c r="JZ100" i="5"/>
  <c r="JZ128" i="5"/>
  <c r="JZ114" i="5"/>
  <c r="JZ94" i="5"/>
  <c r="JZ108" i="5"/>
  <c r="JZ95" i="5"/>
  <c r="JZ130" i="5"/>
  <c r="JZ109" i="5"/>
  <c r="JZ106" i="5"/>
  <c r="JZ93" i="5"/>
  <c r="AI113" i="5"/>
  <c r="AI73" i="5"/>
  <c r="AI49" i="5"/>
  <c r="AF67" i="5"/>
  <c r="AH67" i="5" s="1"/>
  <c r="JD67" i="5" s="1"/>
  <c r="AF83" i="5"/>
  <c r="AH83" i="5" s="1"/>
  <c r="JD83" i="5" s="1"/>
  <c r="JX43" i="5"/>
  <c r="JZ119" i="5"/>
  <c r="JX63" i="5"/>
  <c r="JZ117" i="5"/>
  <c r="JZ133" i="5"/>
  <c r="JX31" i="5"/>
  <c r="JZ116" i="5"/>
  <c r="JX50" i="5"/>
  <c r="JZ129" i="5"/>
  <c r="JZ32" i="5"/>
  <c r="JZ125" i="5"/>
  <c r="AI91" i="5"/>
  <c r="AF91" i="5"/>
  <c r="AH91" i="5" s="1"/>
  <c r="JJ91" i="5" s="1"/>
  <c r="GX28" i="5"/>
  <c r="CF28" i="5"/>
  <c r="DJ28" i="5" s="1"/>
  <c r="GX30" i="5"/>
  <c r="AQ29" i="5"/>
  <c r="CF30" i="5"/>
  <c r="DJ30" i="5" s="1"/>
  <c r="GX31" i="5"/>
  <c r="AQ30" i="5"/>
  <c r="CF31" i="5"/>
  <c r="DJ31" i="5" s="1"/>
  <c r="GX34" i="5"/>
  <c r="AQ33" i="5"/>
  <c r="CF34" i="5"/>
  <c r="DJ34" i="5" s="1"/>
  <c r="GX36" i="5"/>
  <c r="AQ35" i="5"/>
  <c r="CF36" i="5"/>
  <c r="DJ36" i="5" s="1"/>
  <c r="GX40" i="5"/>
  <c r="AQ39" i="5"/>
  <c r="CF40" i="5"/>
  <c r="DJ40" i="5" s="1"/>
  <c r="GX50" i="5"/>
  <c r="AQ49" i="5"/>
  <c r="CF50" i="5"/>
  <c r="DJ50" i="5" s="1"/>
  <c r="GX54" i="5"/>
  <c r="AQ53" i="5"/>
  <c r="CF54" i="5"/>
  <c r="DJ54" i="5" s="1"/>
  <c r="GX56" i="5"/>
  <c r="AQ55" i="5"/>
  <c r="CF56" i="5"/>
  <c r="DJ56" i="5" s="1"/>
  <c r="GX58" i="5"/>
  <c r="AQ57" i="5"/>
  <c r="CF58" i="5"/>
  <c r="DJ58" i="5" s="1"/>
  <c r="GX60" i="5"/>
  <c r="AQ59" i="5"/>
  <c r="CF60" i="5"/>
  <c r="DJ60" i="5" s="1"/>
  <c r="GX62" i="5"/>
  <c r="AQ61" i="5"/>
  <c r="CF62" i="5"/>
  <c r="DJ62" i="5" s="1"/>
  <c r="GX72" i="5"/>
  <c r="AQ71" i="5"/>
  <c r="CF72" i="5"/>
  <c r="DJ72" i="5" s="1"/>
  <c r="GX76" i="5"/>
  <c r="AQ75" i="5"/>
  <c r="CF76" i="5"/>
  <c r="DJ76" i="5" s="1"/>
  <c r="GX84" i="5"/>
  <c r="AQ83" i="5"/>
  <c r="CF84" i="5"/>
  <c r="DJ84" i="5" s="1"/>
  <c r="GX88" i="5"/>
  <c r="AQ87" i="5"/>
  <c r="CF88" i="5"/>
  <c r="DJ88" i="5" s="1"/>
  <c r="GX32" i="5"/>
  <c r="AQ31" i="5"/>
  <c r="CF32" i="5"/>
  <c r="DJ32" i="5" s="1"/>
  <c r="GX38" i="5"/>
  <c r="AQ37" i="5"/>
  <c r="CF38" i="5"/>
  <c r="DJ38" i="5" s="1"/>
  <c r="GX42" i="5"/>
  <c r="AQ41" i="5"/>
  <c r="CF42" i="5"/>
  <c r="DJ42" i="5" s="1"/>
  <c r="GX44" i="5"/>
  <c r="AQ43" i="5"/>
  <c r="CF44" i="5"/>
  <c r="DJ44" i="5" s="1"/>
  <c r="GX46" i="5"/>
  <c r="AQ45" i="5"/>
  <c r="CF46" i="5"/>
  <c r="DJ46" i="5" s="1"/>
  <c r="GX48" i="5"/>
  <c r="AQ47" i="5"/>
  <c r="CF48" i="5"/>
  <c r="DJ48" i="5" s="1"/>
  <c r="GX52" i="5"/>
  <c r="AQ51" i="5"/>
  <c r="CF52" i="5"/>
  <c r="DJ52" i="5" s="1"/>
  <c r="GX64" i="5"/>
  <c r="AQ63" i="5"/>
  <c r="CF64" i="5"/>
  <c r="DJ64" i="5" s="1"/>
  <c r="GX66" i="5"/>
  <c r="AQ65" i="5"/>
  <c r="CF66" i="5"/>
  <c r="DJ66" i="5" s="1"/>
  <c r="GX68" i="5"/>
  <c r="AQ67" i="5"/>
  <c r="CF68" i="5"/>
  <c r="DJ68" i="5" s="1"/>
  <c r="GX70" i="5"/>
  <c r="AQ69" i="5"/>
  <c r="CF70" i="5"/>
  <c r="DJ70" i="5" s="1"/>
  <c r="GX74" i="5"/>
  <c r="AQ73" i="5"/>
  <c r="CF74" i="5"/>
  <c r="DJ74" i="5" s="1"/>
  <c r="GX78" i="5"/>
  <c r="AQ77" i="5"/>
  <c r="CF78" i="5"/>
  <c r="DJ78" i="5" s="1"/>
  <c r="GX80" i="5"/>
  <c r="AQ79" i="5"/>
  <c r="CF80" i="5"/>
  <c r="DJ80" i="5" s="1"/>
  <c r="GX82" i="5"/>
  <c r="AQ81" i="5"/>
  <c r="CF82" i="5"/>
  <c r="DJ82" i="5" s="1"/>
  <c r="GX86" i="5"/>
  <c r="AQ85" i="5"/>
  <c r="CF86" i="5"/>
  <c r="DJ86" i="5" s="1"/>
  <c r="HE89" i="5"/>
  <c r="IT89" i="5" s="1"/>
  <c r="JM89" i="5" s="1"/>
  <c r="AX88" i="5"/>
  <c r="CM89" i="5"/>
  <c r="HF91" i="5"/>
  <c r="AY90" i="5"/>
  <c r="CN91" i="5"/>
  <c r="HF93" i="5"/>
  <c r="AY92" i="5"/>
  <c r="CN93" i="5"/>
  <c r="HF95" i="5"/>
  <c r="AY94" i="5"/>
  <c r="CN95" i="5"/>
  <c r="HF98" i="5"/>
  <c r="AY97" i="5"/>
  <c r="CN98" i="5"/>
  <c r="HF99" i="5"/>
  <c r="AY98" i="5"/>
  <c r="CN99" i="5"/>
  <c r="HF101" i="5"/>
  <c r="AY100" i="5"/>
  <c r="CN101" i="5"/>
  <c r="HF104" i="5"/>
  <c r="AY103" i="5"/>
  <c r="CN104" i="5"/>
  <c r="HF107" i="5"/>
  <c r="AY106" i="5"/>
  <c r="CN107" i="5"/>
  <c r="HF105" i="5"/>
  <c r="AY104" i="5"/>
  <c r="CN105" i="5"/>
  <c r="HF110" i="5"/>
  <c r="AY109" i="5"/>
  <c r="CN110" i="5"/>
  <c r="HF111" i="5"/>
  <c r="AY110" i="5"/>
  <c r="CN111" i="5"/>
  <c r="HF113" i="5"/>
  <c r="AY112" i="5"/>
  <c r="CN113" i="5"/>
  <c r="HF115" i="5"/>
  <c r="AY114" i="5"/>
  <c r="CN115" i="5"/>
  <c r="HF118" i="5"/>
  <c r="AY117" i="5"/>
  <c r="CN118" i="5"/>
  <c r="HF117" i="5"/>
  <c r="AY116" i="5"/>
  <c r="CN117" i="5"/>
  <c r="HF120" i="5"/>
  <c r="AY119" i="5"/>
  <c r="CN120" i="5"/>
  <c r="CB112" i="5"/>
  <c r="GS113" i="5"/>
  <c r="FC113" i="5"/>
  <c r="GX37" i="5"/>
  <c r="AQ36" i="5"/>
  <c r="CF37" i="5"/>
  <c r="DJ37" i="5" s="1"/>
  <c r="GX41" i="5"/>
  <c r="AQ40" i="5"/>
  <c r="CF41" i="5"/>
  <c r="DJ41" i="5" s="1"/>
  <c r="GX45" i="5"/>
  <c r="AQ44" i="5"/>
  <c r="CF45" i="5"/>
  <c r="DJ45" i="5" s="1"/>
  <c r="GX49" i="5"/>
  <c r="AQ48" i="5"/>
  <c r="CF49" i="5"/>
  <c r="DJ49" i="5" s="1"/>
  <c r="GX51" i="5"/>
  <c r="AQ50" i="5"/>
  <c r="CF51" i="5"/>
  <c r="DJ51" i="5" s="1"/>
  <c r="GX63" i="5"/>
  <c r="AQ62" i="5"/>
  <c r="CF63" i="5"/>
  <c r="DJ63" i="5" s="1"/>
  <c r="GX69" i="5"/>
  <c r="AQ68" i="5"/>
  <c r="CF69" i="5"/>
  <c r="DJ69" i="5" s="1"/>
  <c r="GX77" i="5"/>
  <c r="AQ76" i="5"/>
  <c r="CF77" i="5"/>
  <c r="DJ77" i="5" s="1"/>
  <c r="GX79" i="5"/>
  <c r="AQ78" i="5"/>
  <c r="CF79" i="5"/>
  <c r="DJ79" i="5" s="1"/>
  <c r="GX81" i="5"/>
  <c r="AQ80" i="5"/>
  <c r="CF81" i="5"/>
  <c r="DJ81" i="5" s="1"/>
  <c r="GX87" i="5"/>
  <c r="AQ86" i="5"/>
  <c r="CF87" i="5"/>
  <c r="DJ87" i="5" s="1"/>
  <c r="GX33" i="5"/>
  <c r="AQ32" i="5"/>
  <c r="CF33" i="5"/>
  <c r="DJ33" i="5" s="1"/>
  <c r="GX35" i="5"/>
  <c r="AQ34" i="5"/>
  <c r="CF35" i="5"/>
  <c r="DJ35" i="5" s="1"/>
  <c r="GX39" i="5"/>
  <c r="AQ38" i="5"/>
  <c r="CF39" i="5"/>
  <c r="DJ39" i="5" s="1"/>
  <c r="GX43" i="5"/>
  <c r="AQ42" i="5"/>
  <c r="CF43" i="5"/>
  <c r="DJ43" i="5" s="1"/>
  <c r="GX67" i="5"/>
  <c r="AQ66" i="5"/>
  <c r="CF67" i="5"/>
  <c r="DJ67" i="5" s="1"/>
  <c r="GX75" i="5"/>
  <c r="AQ74" i="5"/>
  <c r="CF75" i="5"/>
  <c r="DJ75" i="5" s="1"/>
  <c r="HD88" i="5"/>
  <c r="IS88" i="5" s="1"/>
  <c r="JL88" i="5" s="1"/>
  <c r="AW87" i="5"/>
  <c r="CL88" i="5"/>
  <c r="GY88" i="5"/>
  <c r="AR87" i="5"/>
  <c r="CG88" i="5"/>
  <c r="DK88" i="5" s="1"/>
  <c r="HA88" i="5"/>
  <c r="IP88" i="5" s="1"/>
  <c r="JI88" i="5" s="1"/>
  <c r="AT87" i="5"/>
  <c r="CI88" i="5"/>
  <c r="DM88" i="5" s="1"/>
  <c r="HC88" i="5"/>
  <c r="AV87" i="5"/>
  <c r="CK88" i="5"/>
  <c r="HF89" i="5"/>
  <c r="AY88" i="5"/>
  <c r="CN89" i="5"/>
  <c r="HF90" i="5"/>
  <c r="AY89" i="5"/>
  <c r="CN90" i="5"/>
  <c r="HF96" i="5"/>
  <c r="AY95" i="5"/>
  <c r="CN96" i="5"/>
  <c r="HF97" i="5"/>
  <c r="AY96" i="5"/>
  <c r="CN97" i="5"/>
  <c r="HF102" i="5"/>
  <c r="AY101" i="5"/>
  <c r="CN102" i="5"/>
  <c r="HF103" i="5"/>
  <c r="AY102" i="5"/>
  <c r="CN103" i="5"/>
  <c r="HF112" i="5"/>
  <c r="AY111" i="5"/>
  <c r="CN112" i="5"/>
  <c r="HF114" i="5"/>
  <c r="AY113" i="5"/>
  <c r="CN114" i="5"/>
  <c r="JX44" i="5"/>
  <c r="AF132" i="5"/>
  <c r="AF99" i="5"/>
  <c r="AH99" i="5" s="1"/>
  <c r="AJ30" i="5"/>
  <c r="AK30" i="5" s="1"/>
  <c r="JX87" i="5"/>
  <c r="AJ29" i="5"/>
  <c r="AK29" i="5" s="1"/>
  <c r="AF107" i="5"/>
  <c r="AF123" i="5"/>
  <c r="AH123" i="5" s="1"/>
  <c r="AJ55" i="5"/>
  <c r="AK55" i="5" s="1"/>
  <c r="AJ38" i="5"/>
  <c r="AK38" i="5" s="1"/>
  <c r="EL28" i="5"/>
  <c r="FG37" i="5"/>
  <c r="FG36" i="5"/>
  <c r="FG43" i="5"/>
  <c r="FG46" i="5"/>
  <c r="FG52" i="5"/>
  <c r="FG75" i="5"/>
  <c r="FG80" i="5"/>
  <c r="FG54" i="5"/>
  <c r="FG38" i="5"/>
  <c r="JZ40" i="5"/>
  <c r="FG44" i="5"/>
  <c r="JZ82" i="5"/>
  <c r="FG88" i="5"/>
  <c r="FH88" i="5"/>
  <c r="FL88" i="5"/>
  <c r="HW88" i="5" s="1"/>
  <c r="FO90" i="5"/>
  <c r="HZ90" i="5" s="1"/>
  <c r="IT90" i="5" s="1"/>
  <c r="JM90" i="5" s="1"/>
  <c r="FG31" i="5"/>
  <c r="FG34" i="5"/>
  <c r="FG64" i="5"/>
  <c r="FG76" i="5"/>
  <c r="FG79" i="5"/>
  <c r="FG86" i="5"/>
  <c r="FO103" i="5"/>
  <c r="FG81" i="5"/>
  <c r="FN89" i="5"/>
  <c r="FO102" i="5"/>
  <c r="HZ102" i="5" s="1"/>
  <c r="IT102" i="5" s="1"/>
  <c r="FG68" i="5"/>
  <c r="FO96" i="5"/>
  <c r="HZ96" i="5" s="1"/>
  <c r="IT96" i="5" s="1"/>
  <c r="JM96" i="5" s="1"/>
  <c r="FO101" i="5"/>
  <c r="FO112" i="5"/>
  <c r="HZ112" i="5" s="1"/>
  <c r="IT112" i="5" s="1"/>
  <c r="JM112" i="5" s="1"/>
  <c r="FG32" i="5"/>
  <c r="FG69" i="5"/>
  <c r="FG72" i="5"/>
  <c r="FG77" i="5"/>
  <c r="FG60" i="5"/>
  <c r="FG63" i="5"/>
  <c r="FG66" i="5"/>
  <c r="FG74" i="5"/>
  <c r="FO117" i="5"/>
  <c r="HZ117" i="5" s="1"/>
  <c r="IT117" i="5" s="1"/>
  <c r="JM117" i="5" s="1"/>
  <c r="FG39" i="5"/>
  <c r="FG42" i="5"/>
  <c r="JZ48" i="5"/>
  <c r="FO95" i="5"/>
  <c r="HZ95" i="5" s="1"/>
  <c r="IT95" i="5" s="1"/>
  <c r="JM95" i="5" s="1"/>
  <c r="FG49" i="5"/>
  <c r="FO91" i="5"/>
  <c r="HZ91" i="5" s="1"/>
  <c r="IT91" i="5" s="1"/>
  <c r="JM91" i="5" s="1"/>
  <c r="FO107" i="5"/>
  <c r="HZ107" i="5" s="1"/>
  <c r="IT107" i="5" s="1"/>
  <c r="FO120" i="5"/>
  <c r="HZ120" i="5" s="1"/>
  <c r="IT120" i="5" s="1"/>
  <c r="JM120" i="5" s="1"/>
  <c r="FG41" i="5"/>
  <c r="FG67" i="5"/>
  <c r="FO99" i="5"/>
  <c r="HZ99" i="5" s="1"/>
  <c r="IT99" i="5" s="1"/>
  <c r="JM99" i="5" s="1"/>
  <c r="GT111" i="5"/>
  <c r="FD111" i="5"/>
  <c r="GZ88" i="5"/>
  <c r="IO88" i="5" s="1"/>
  <c r="JH88" i="5" s="1"/>
  <c r="AS87" i="5"/>
  <c r="CH88" i="5"/>
  <c r="DL88" i="5" s="1"/>
  <c r="HB88" i="5"/>
  <c r="AU87" i="5"/>
  <c r="FX87" i="5"/>
  <c r="CJ88" i="5"/>
  <c r="GX47" i="5"/>
  <c r="AQ46" i="5"/>
  <c r="CF47" i="5"/>
  <c r="DJ47" i="5" s="1"/>
  <c r="GX65" i="5"/>
  <c r="AQ64" i="5"/>
  <c r="CF65" i="5"/>
  <c r="DJ65" i="5" s="1"/>
  <c r="GX71" i="5"/>
  <c r="AQ70" i="5"/>
  <c r="CF71" i="5"/>
  <c r="DJ71" i="5" s="1"/>
  <c r="GX73" i="5"/>
  <c r="AQ72" i="5"/>
  <c r="CF73" i="5"/>
  <c r="DJ73" i="5" s="1"/>
  <c r="HF121" i="5"/>
  <c r="IU121" i="5" s="1"/>
  <c r="AY120" i="5"/>
  <c r="CN121" i="5"/>
  <c r="GX29" i="5"/>
  <c r="AQ28" i="5"/>
  <c r="CF29" i="5"/>
  <c r="DJ29" i="5" s="1"/>
  <c r="GX53" i="5"/>
  <c r="AQ52" i="5"/>
  <c r="CF53" i="5"/>
  <c r="DJ53" i="5" s="1"/>
  <c r="GX55" i="5"/>
  <c r="AQ54" i="5"/>
  <c r="CF55" i="5"/>
  <c r="DJ55" i="5" s="1"/>
  <c r="GX57" i="5"/>
  <c r="AQ56" i="5"/>
  <c r="CF57" i="5"/>
  <c r="DJ57" i="5" s="1"/>
  <c r="GX59" i="5"/>
  <c r="AQ58" i="5"/>
  <c r="CF59" i="5"/>
  <c r="DJ59" i="5" s="1"/>
  <c r="GX61" i="5"/>
  <c r="AQ60" i="5"/>
  <c r="CF61" i="5"/>
  <c r="DJ61" i="5" s="1"/>
  <c r="GX83" i="5"/>
  <c r="AQ82" i="5"/>
  <c r="CF83" i="5"/>
  <c r="DJ83" i="5" s="1"/>
  <c r="GX85" i="5"/>
  <c r="AQ84" i="5"/>
  <c r="CF85" i="5"/>
  <c r="DJ85" i="5" s="1"/>
  <c r="HE88" i="5"/>
  <c r="AX87" i="5"/>
  <c r="CM88" i="5"/>
  <c r="HF92" i="5"/>
  <c r="AY91" i="5"/>
  <c r="CN92" i="5"/>
  <c r="HF94" i="5"/>
  <c r="AY93" i="5"/>
  <c r="CN94" i="5"/>
  <c r="HF100" i="5"/>
  <c r="AY99" i="5"/>
  <c r="CN100" i="5"/>
  <c r="HF106" i="5"/>
  <c r="AY105" i="5"/>
  <c r="CN106" i="5"/>
  <c r="HF109" i="5"/>
  <c r="AY108" i="5"/>
  <c r="CN109" i="5"/>
  <c r="HF108" i="5"/>
  <c r="AY107" i="5"/>
  <c r="CN108" i="5"/>
  <c r="HF116" i="5"/>
  <c r="AY115" i="5"/>
  <c r="CN116" i="5"/>
  <c r="HF119" i="5"/>
  <c r="AY118" i="5"/>
  <c r="CN119" i="5"/>
  <c r="JZ36" i="5"/>
  <c r="JZ46" i="5"/>
  <c r="JZ75" i="5"/>
  <c r="JZ31" i="5"/>
  <c r="JZ79" i="5"/>
  <c r="JZ50" i="5"/>
  <c r="JZ84" i="5"/>
  <c r="JZ70" i="5"/>
  <c r="DR80" i="5"/>
  <c r="EL81" i="5"/>
  <c r="DR83" i="5"/>
  <c r="EL84" i="5"/>
  <c r="HR84" i="5" s="1"/>
  <c r="IL84" i="5" s="1"/>
  <c r="JE84" i="5" s="1"/>
  <c r="DR34" i="5"/>
  <c r="EL35" i="5"/>
  <c r="HR35" i="5" s="1"/>
  <c r="IL35" i="5" s="1"/>
  <c r="DR49" i="5"/>
  <c r="EL50" i="5"/>
  <c r="HR50" i="5" s="1"/>
  <c r="IL50" i="5" s="1"/>
  <c r="JE50" i="5" s="1"/>
  <c r="DR51" i="5"/>
  <c r="EL52" i="5"/>
  <c r="DR50" i="5"/>
  <c r="EL51" i="5"/>
  <c r="HR51" i="5" s="1"/>
  <c r="IL51" i="5" s="1"/>
  <c r="JE51" i="5" s="1"/>
  <c r="DR54" i="5"/>
  <c r="EL55" i="5"/>
  <c r="HR55" i="5" s="1"/>
  <c r="IL55" i="5" s="1"/>
  <c r="JE55" i="5" s="1"/>
  <c r="DE124" i="5"/>
  <c r="DN124" i="5" s="1"/>
  <c r="DM125" i="5"/>
  <c r="DC127" i="5"/>
  <c r="DK128" i="5"/>
  <c r="DP39" i="5"/>
  <c r="EK39" i="5" s="1"/>
  <c r="HQ39" i="5" s="1"/>
  <c r="IK39" i="5" s="1"/>
  <c r="JD39" i="5" s="1"/>
  <c r="DP55" i="5"/>
  <c r="EK55" i="5" s="1"/>
  <c r="HQ55" i="5" s="1"/>
  <c r="IK55" i="5" s="1"/>
  <c r="JD55" i="5" s="1"/>
  <c r="DP87" i="5"/>
  <c r="EK87" i="5" s="1"/>
  <c r="HQ87" i="5" s="1"/>
  <c r="IK87" i="5" s="1"/>
  <c r="JD87" i="5" s="1"/>
  <c r="DQ43" i="5"/>
  <c r="EL49" i="5"/>
  <c r="HR49" i="5" s="1"/>
  <c r="IL49" i="5" s="1"/>
  <c r="DR48" i="5"/>
  <c r="DQ66" i="5"/>
  <c r="DR36" i="5"/>
  <c r="EL37" i="5"/>
  <c r="DR40" i="5"/>
  <c r="EL41" i="5"/>
  <c r="HR41" i="5" s="1"/>
  <c r="IL41" i="5" s="1"/>
  <c r="JE41" i="5" s="1"/>
  <c r="DR59" i="5"/>
  <c r="EL60" i="5"/>
  <c r="DR67" i="5"/>
  <c r="EL68" i="5"/>
  <c r="DR74" i="5"/>
  <c r="EL75" i="5"/>
  <c r="DR78" i="5"/>
  <c r="EL79" i="5"/>
  <c r="DR84" i="5"/>
  <c r="EL85" i="5"/>
  <c r="HR85" i="5" s="1"/>
  <c r="IL85" i="5" s="1"/>
  <c r="JE85" i="5" s="1"/>
  <c r="DR88" i="5"/>
  <c r="EL89" i="5"/>
  <c r="HR89" i="5" s="1"/>
  <c r="IL89" i="5" s="1"/>
  <c r="DR60" i="5"/>
  <c r="EL61" i="5"/>
  <c r="HR61" i="5" s="1"/>
  <c r="IL61" i="5" s="1"/>
  <c r="JE61" i="5" s="1"/>
  <c r="DR66" i="5"/>
  <c r="EL67" i="5"/>
  <c r="DR72" i="5"/>
  <c r="EL73" i="5"/>
  <c r="HR73" i="5" s="1"/>
  <c r="IL73" i="5" s="1"/>
  <c r="JE73" i="5" s="1"/>
  <c r="DR82" i="5"/>
  <c r="EL83" i="5"/>
  <c r="HR83" i="5" s="1"/>
  <c r="IL83" i="5" s="1"/>
  <c r="JE83" i="5" s="1"/>
  <c r="DR64" i="5"/>
  <c r="EL65" i="5"/>
  <c r="HR65" i="5" s="1"/>
  <c r="IL65" i="5" s="1"/>
  <c r="DR68" i="5"/>
  <c r="EL69" i="5"/>
  <c r="HR69" i="5" s="1"/>
  <c r="IL69" i="5" s="1"/>
  <c r="JE69" i="5" s="1"/>
  <c r="DR81" i="5"/>
  <c r="EL82" i="5"/>
  <c r="HR82" i="5" s="1"/>
  <c r="IL82" i="5" s="1"/>
  <c r="JE82" i="5" s="1"/>
  <c r="DP63" i="5"/>
  <c r="EK63" i="5" s="1"/>
  <c r="HQ63" i="5" s="1"/>
  <c r="IK63" i="5" s="1"/>
  <c r="JD63" i="5" s="1"/>
  <c r="DP81" i="5"/>
  <c r="EK81" i="5" s="1"/>
  <c r="HQ81" i="5" s="1"/>
  <c r="IK81" i="5" s="1"/>
  <c r="DP47" i="5"/>
  <c r="EK47" i="5" s="1"/>
  <c r="HQ47" i="5" s="1"/>
  <c r="IK47" i="5" s="1"/>
  <c r="JD47" i="5" s="1"/>
  <c r="DP33" i="5"/>
  <c r="EK33" i="5" s="1"/>
  <c r="HQ33" i="5" s="1"/>
  <c r="IK33" i="5" s="1"/>
  <c r="DP89" i="5"/>
  <c r="EK89" i="5" s="1"/>
  <c r="HQ89" i="5" s="1"/>
  <c r="IK89" i="5" s="1"/>
  <c r="JD89" i="5" s="1"/>
  <c r="DP31" i="5"/>
  <c r="EK31" i="5" s="1"/>
  <c r="HQ31" i="5" s="1"/>
  <c r="IK31" i="5" s="1"/>
  <c r="JD31" i="5" s="1"/>
  <c r="DR28" i="5"/>
  <c r="EL29" i="5"/>
  <c r="HR29" i="5" s="1"/>
  <c r="IL29" i="5" s="1"/>
  <c r="JE29" i="5" s="1"/>
  <c r="DR39" i="5"/>
  <c r="EL40" i="5"/>
  <c r="HR40" i="5" s="1"/>
  <c r="IL40" i="5" s="1"/>
  <c r="JE40" i="5" s="1"/>
  <c r="DR71" i="5"/>
  <c r="EL72" i="5"/>
  <c r="DR76" i="5"/>
  <c r="EL77" i="5"/>
  <c r="HR77" i="5" s="1"/>
  <c r="IL77" i="5" s="1"/>
  <c r="JE77" i="5" s="1"/>
  <c r="DR56" i="5"/>
  <c r="EL57" i="5"/>
  <c r="HR57" i="5" s="1"/>
  <c r="IL57" i="5" s="1"/>
  <c r="DR86" i="5"/>
  <c r="EL87" i="5"/>
  <c r="HR87" i="5" s="1"/>
  <c r="IL87" i="5" s="1"/>
  <c r="JE87" i="5" s="1"/>
  <c r="DR47" i="5"/>
  <c r="EL48" i="5"/>
  <c r="HR48" i="5" s="1"/>
  <c r="IL48" i="5" s="1"/>
  <c r="JE48" i="5" s="1"/>
  <c r="DR58" i="5"/>
  <c r="EL59" i="5"/>
  <c r="HR59" i="5" s="1"/>
  <c r="IL59" i="5" s="1"/>
  <c r="JE59" i="5" s="1"/>
  <c r="EL34" i="5"/>
  <c r="DR33" i="5"/>
  <c r="DR32" i="5"/>
  <c r="EL33" i="5"/>
  <c r="HR33" i="5" s="1"/>
  <c r="IL33" i="5" s="1"/>
  <c r="DR46" i="5"/>
  <c r="EL47" i="5"/>
  <c r="HR47" i="5" s="1"/>
  <c r="IL47" i="5" s="1"/>
  <c r="JE47" i="5" s="1"/>
  <c r="EL53" i="5"/>
  <c r="HR53" i="5" s="1"/>
  <c r="IL53" i="5" s="1"/>
  <c r="JE53" i="5" s="1"/>
  <c r="DR52" i="5"/>
  <c r="EL56" i="5"/>
  <c r="HR56" i="5" s="1"/>
  <c r="IL56" i="5" s="1"/>
  <c r="JE56" i="5" s="1"/>
  <c r="DR55" i="5"/>
  <c r="DR62" i="5"/>
  <c r="EL63" i="5"/>
  <c r="HR63" i="5" s="1"/>
  <c r="IL63" i="5" s="1"/>
  <c r="JE63" i="5" s="1"/>
  <c r="DR70" i="5"/>
  <c r="EL71" i="5"/>
  <c r="HR71" i="5" s="1"/>
  <c r="IL71" i="5" s="1"/>
  <c r="JE71" i="5" s="1"/>
  <c r="DR30" i="5"/>
  <c r="EL31" i="5"/>
  <c r="DR35" i="5"/>
  <c r="EL36" i="5"/>
  <c r="DR38" i="5"/>
  <c r="EL39" i="5"/>
  <c r="HR39" i="5" s="1"/>
  <c r="IL39" i="5" s="1"/>
  <c r="JE39" i="5" s="1"/>
  <c r="EL45" i="5"/>
  <c r="HR45" i="5" s="1"/>
  <c r="IL45" i="5" s="1"/>
  <c r="JE45" i="5" s="1"/>
  <c r="DR44" i="5"/>
  <c r="EL76" i="5"/>
  <c r="DR75" i="5"/>
  <c r="EL42" i="5"/>
  <c r="HR42" i="5" s="1"/>
  <c r="IL42" i="5" s="1"/>
  <c r="JE42" i="5" s="1"/>
  <c r="DR41" i="5"/>
  <c r="EL44" i="5"/>
  <c r="HR44" i="5" s="1"/>
  <c r="IL44" i="5" s="1"/>
  <c r="JE44" i="5" s="1"/>
  <c r="DR43" i="5"/>
  <c r="EL58" i="5"/>
  <c r="HR58" i="5" s="1"/>
  <c r="IL58" i="5" s="1"/>
  <c r="JE58" i="5" s="1"/>
  <c r="DR57" i="5"/>
  <c r="DR73" i="5"/>
  <c r="EL74" i="5"/>
  <c r="HR74" i="5" s="1"/>
  <c r="IL74" i="5" s="1"/>
  <c r="JE74" i="5" s="1"/>
  <c r="DP79" i="5"/>
  <c r="EK79" i="5" s="1"/>
  <c r="HQ79" i="5" s="1"/>
  <c r="IK79" i="5" s="1"/>
  <c r="JD79" i="5" s="1"/>
  <c r="DP65" i="5"/>
  <c r="EK65" i="5" s="1"/>
  <c r="HQ65" i="5" s="1"/>
  <c r="IK65" i="5" s="1"/>
  <c r="DP71" i="5"/>
  <c r="EK71" i="5" s="1"/>
  <c r="HQ71" i="5" s="1"/>
  <c r="IK71" i="5" s="1"/>
  <c r="JD71" i="5" s="1"/>
  <c r="AI68" i="5"/>
  <c r="AJ125" i="5"/>
  <c r="AK125" i="5" s="1"/>
  <c r="AJ112" i="5"/>
  <c r="AK112" i="5" s="1"/>
  <c r="AJ128" i="5"/>
  <c r="AK128" i="5" s="1"/>
  <c r="AJ31" i="5"/>
  <c r="AK31" i="5" s="1"/>
  <c r="AJ98" i="5"/>
  <c r="AK98" i="5" s="1"/>
  <c r="AJ40" i="5"/>
  <c r="AK40" i="5" s="1"/>
  <c r="AJ82" i="5"/>
  <c r="AK82" i="5" s="1"/>
  <c r="AJ103" i="5"/>
  <c r="AK103" i="5" s="1"/>
  <c r="AJ96" i="5"/>
  <c r="AK96" i="5" s="1"/>
  <c r="AJ117" i="5"/>
  <c r="AK117" i="5" s="1"/>
  <c r="AJ106" i="5"/>
  <c r="AK106" i="5" s="1"/>
  <c r="AJ116" i="5"/>
  <c r="AK116" i="5" s="1"/>
  <c r="AJ50" i="5"/>
  <c r="AK50" i="5" s="1"/>
  <c r="AJ129" i="5"/>
  <c r="AK129" i="5" s="1"/>
  <c r="AJ93" i="5"/>
  <c r="AK93" i="5" s="1"/>
  <c r="AJ126" i="5"/>
  <c r="AK126" i="5" s="1"/>
  <c r="AJ100" i="5"/>
  <c r="AK100" i="5" s="1"/>
  <c r="AJ133" i="5"/>
  <c r="AK133" i="5" s="1"/>
  <c r="AJ111" i="5"/>
  <c r="AK111" i="5" s="1"/>
  <c r="AJ92" i="5"/>
  <c r="AK92" i="5" s="1"/>
  <c r="AJ114" i="5"/>
  <c r="AK114" i="5" s="1"/>
  <c r="AJ119" i="5"/>
  <c r="AK119" i="5" s="1"/>
  <c r="AJ58" i="5"/>
  <c r="AK58" i="5" s="1"/>
  <c r="AJ94" i="5"/>
  <c r="AK94" i="5" s="1"/>
  <c r="AJ108" i="5"/>
  <c r="AK108" i="5" s="1"/>
  <c r="AJ64" i="5"/>
  <c r="AK64" i="5" s="1"/>
  <c r="AJ95" i="5"/>
  <c r="AK95" i="5" s="1"/>
  <c r="AJ130" i="5"/>
  <c r="AK130" i="5" s="1"/>
  <c r="AJ90" i="5"/>
  <c r="AK90" i="5" s="1"/>
  <c r="AJ109" i="5"/>
  <c r="AK109" i="5" s="1"/>
  <c r="AJ76" i="5"/>
  <c r="AK76" i="5" s="1"/>
  <c r="AJ42" i="5"/>
  <c r="AK42" i="5" s="1"/>
  <c r="AJ110" i="5"/>
  <c r="AK110" i="5" s="1"/>
  <c r="AJ104" i="5"/>
  <c r="AK104" i="5" s="1"/>
  <c r="AJ45" i="5"/>
  <c r="AK45" i="5" s="1"/>
  <c r="AJ127" i="5"/>
  <c r="AK127" i="5" s="1"/>
  <c r="AJ101" i="5"/>
  <c r="AK101" i="5" s="1"/>
  <c r="AJ36" i="5"/>
  <c r="AK36" i="5" s="1"/>
  <c r="AF68" i="5"/>
  <c r="AH68" i="5" s="1"/>
  <c r="JD68" i="5" s="1"/>
  <c r="F15" i="5"/>
  <c r="M100" i="7"/>
  <c r="N100" i="7"/>
  <c r="D101" i="7"/>
  <c r="B100" i="7"/>
  <c r="F100" i="7" s="1"/>
  <c r="C100" i="7"/>
  <c r="I100" i="7" s="1"/>
  <c r="E100" i="7"/>
  <c r="H100" i="7" s="1"/>
  <c r="G100" i="7"/>
  <c r="K101" i="7"/>
  <c r="L101" i="7" s="1"/>
  <c r="J102" i="7"/>
  <c r="JX80" i="5" l="1"/>
  <c r="JN131" i="5"/>
  <c r="JO131" i="5"/>
  <c r="JX28" i="5"/>
  <c r="JV131" i="5"/>
  <c r="JR131" i="5"/>
  <c r="JU131" i="5"/>
  <c r="JI123" i="5"/>
  <c r="JJ123" i="5"/>
  <c r="JW123" i="5"/>
  <c r="JV123" i="5"/>
  <c r="JJ120" i="5"/>
  <c r="JI120" i="5"/>
  <c r="JV120" i="5"/>
  <c r="JW120" i="5"/>
  <c r="JJ122" i="5"/>
  <c r="JI122" i="5"/>
  <c r="JW122" i="5"/>
  <c r="JV122" i="5"/>
  <c r="JI113" i="5"/>
  <c r="JJ113" i="5"/>
  <c r="JW113" i="5"/>
  <c r="JF89" i="5"/>
  <c r="JH89" i="5"/>
  <c r="JT123" i="5"/>
  <c r="JP123" i="5"/>
  <c r="JL123" i="5"/>
  <c r="JR120" i="5"/>
  <c r="JL120" i="5"/>
  <c r="JR122" i="5"/>
  <c r="JN122" i="5"/>
  <c r="JG91" i="5"/>
  <c r="JH91" i="5"/>
  <c r="JJ89" i="5"/>
  <c r="JK113" i="5"/>
  <c r="JU123" i="5"/>
  <c r="JQ123" i="5"/>
  <c r="JM123" i="5"/>
  <c r="JU120" i="5"/>
  <c r="JQ120" i="5"/>
  <c r="JK120" i="5"/>
  <c r="JU122" i="5"/>
  <c r="JQ122" i="5"/>
  <c r="JM122" i="5"/>
  <c r="JI91" i="5"/>
  <c r="JL91" i="5"/>
  <c r="JF91" i="5"/>
  <c r="JI89" i="5"/>
  <c r="JE33" i="5"/>
  <c r="JD33" i="5"/>
  <c r="JE89" i="5"/>
  <c r="HR37" i="5"/>
  <c r="IL37" i="5" s="1"/>
  <c r="JE37" i="5" s="1"/>
  <c r="JE49" i="5"/>
  <c r="JI99" i="5"/>
  <c r="JJ99" i="5"/>
  <c r="JI131" i="5"/>
  <c r="JJ131" i="5"/>
  <c r="JW131" i="5"/>
  <c r="JS131" i="5"/>
  <c r="JK89" i="5"/>
  <c r="JM113" i="5"/>
  <c r="JL99" i="5"/>
  <c r="JL113" i="5"/>
  <c r="JR123" i="5"/>
  <c r="JN123" i="5"/>
  <c r="JT120" i="5"/>
  <c r="JP120" i="5"/>
  <c r="JT122" i="5"/>
  <c r="JP122" i="5"/>
  <c r="JL122" i="5"/>
  <c r="JK91" i="5"/>
  <c r="JD91" i="5"/>
  <c r="JT131" i="5"/>
  <c r="JP131" i="5"/>
  <c r="JL131" i="5"/>
  <c r="JG89" i="5"/>
  <c r="JK99" i="5"/>
  <c r="JS123" i="5"/>
  <c r="JO123" i="5"/>
  <c r="JK123" i="5"/>
  <c r="JS120" i="5"/>
  <c r="JS122" i="5"/>
  <c r="JO122" i="5"/>
  <c r="JK122" i="5"/>
  <c r="JE91" i="5"/>
  <c r="JQ131" i="5"/>
  <c r="JM131" i="5"/>
  <c r="JD80" i="5"/>
  <c r="HR76" i="5"/>
  <c r="IL76" i="5" s="1"/>
  <c r="JE76" i="5" s="1"/>
  <c r="HR34" i="5"/>
  <c r="IL34" i="5" s="1"/>
  <c r="JE34" i="5" s="1"/>
  <c r="HR52" i="5"/>
  <c r="IL52" i="5" s="1"/>
  <c r="JE52" i="5" s="1"/>
  <c r="HR81" i="5"/>
  <c r="IL81" i="5" s="1"/>
  <c r="IQ88" i="5"/>
  <c r="JJ88" i="5" s="1"/>
  <c r="HZ101" i="5"/>
  <c r="IT101" i="5" s="1"/>
  <c r="JM101" i="5" s="1"/>
  <c r="HY89" i="5"/>
  <c r="IS89" i="5" s="1"/>
  <c r="JL89" i="5" s="1"/>
  <c r="HZ103" i="5"/>
  <c r="IT103" i="5" s="1"/>
  <c r="JM103" i="5" s="1"/>
  <c r="IR88" i="5"/>
  <c r="JK88" i="5" s="1"/>
  <c r="IN88" i="5"/>
  <c r="JG88" i="5" s="1"/>
  <c r="AJ131" i="5"/>
  <c r="AK131" i="5" s="1"/>
  <c r="HR36" i="5"/>
  <c r="IL36" i="5" s="1"/>
  <c r="JE36" i="5" s="1"/>
  <c r="HR31" i="5"/>
  <c r="IL31" i="5" s="1"/>
  <c r="JE31" i="5" s="1"/>
  <c r="HR72" i="5"/>
  <c r="IL72" i="5" s="1"/>
  <c r="JE72" i="5" s="1"/>
  <c r="HR67" i="5"/>
  <c r="IL67" i="5" s="1"/>
  <c r="JE67" i="5" s="1"/>
  <c r="HR79" i="5"/>
  <c r="IL79" i="5" s="1"/>
  <c r="JE79" i="5" s="1"/>
  <c r="HR75" i="5"/>
  <c r="IL75" i="5" s="1"/>
  <c r="JE75" i="5" s="1"/>
  <c r="HR68" i="5"/>
  <c r="IL68" i="5" s="1"/>
  <c r="JE68" i="5" s="1"/>
  <c r="HR60" i="5"/>
  <c r="IL60" i="5" s="1"/>
  <c r="JE60" i="5" s="1"/>
  <c r="HR28" i="5"/>
  <c r="IL28" i="5" s="1"/>
  <c r="JE28" i="5" s="1"/>
  <c r="II113" i="5"/>
  <c r="JZ131" i="5"/>
  <c r="AH107" i="5"/>
  <c r="JZ107" i="5" s="1"/>
  <c r="AH105" i="5"/>
  <c r="AH57" i="5"/>
  <c r="JD57" i="5" s="1"/>
  <c r="AH102" i="5"/>
  <c r="AH65" i="5"/>
  <c r="AJ65" i="5" s="1"/>
  <c r="AK65" i="5" s="1"/>
  <c r="AH35" i="5"/>
  <c r="AH132" i="5"/>
  <c r="JQ132" i="5" s="1"/>
  <c r="JZ80" i="5"/>
  <c r="AH97" i="5"/>
  <c r="AH81" i="5"/>
  <c r="JX81" i="5" s="1"/>
  <c r="AJ28" i="5"/>
  <c r="AK28" i="5" s="1"/>
  <c r="JZ28" i="5"/>
  <c r="JZ122" i="5"/>
  <c r="AJ122" i="5"/>
  <c r="AK122" i="5" s="1"/>
  <c r="JZ113" i="5"/>
  <c r="AJ113" i="5"/>
  <c r="AK113" i="5" s="1"/>
  <c r="AI122" i="5"/>
  <c r="AF115" i="5"/>
  <c r="AF124" i="5"/>
  <c r="AF121" i="5"/>
  <c r="AI81" i="5"/>
  <c r="AF118" i="5"/>
  <c r="AJ97" i="5"/>
  <c r="AK97" i="5" s="1"/>
  <c r="DF130" i="5"/>
  <c r="DF70" i="5"/>
  <c r="DF53" i="5"/>
  <c r="DF100" i="5"/>
  <c r="DF29" i="5"/>
  <c r="DF65" i="5"/>
  <c r="DF115" i="5"/>
  <c r="DF38" i="5"/>
  <c r="DF52" i="5"/>
  <c r="DF85" i="5"/>
  <c r="DF79" i="5"/>
  <c r="DF105" i="5"/>
  <c r="DF125" i="5"/>
  <c r="DF55" i="5"/>
  <c r="DF30" i="5"/>
  <c r="DF44" i="5"/>
  <c r="DF41" i="5"/>
  <c r="DF61" i="5"/>
  <c r="DF80" i="5"/>
  <c r="DF94" i="5"/>
  <c r="DF73" i="5"/>
  <c r="DF93" i="5"/>
  <c r="DF106" i="5"/>
  <c r="DF110" i="5"/>
  <c r="DF118" i="5"/>
  <c r="DF124" i="5"/>
  <c r="DF134" i="5"/>
  <c r="DF90" i="5"/>
  <c r="DF62" i="5"/>
  <c r="DF36" i="5"/>
  <c r="DF31" i="5"/>
  <c r="DF40" i="5"/>
  <c r="DF48" i="5"/>
  <c r="DF35" i="5"/>
  <c r="DF45" i="5"/>
  <c r="DF54" i="5"/>
  <c r="DF66" i="5"/>
  <c r="DF74" i="5"/>
  <c r="DF82" i="5"/>
  <c r="DF91" i="5"/>
  <c r="DF60" i="5"/>
  <c r="DF69" i="5"/>
  <c r="DF77" i="5"/>
  <c r="DF87" i="5"/>
  <c r="DF96" i="5"/>
  <c r="DF103" i="5"/>
  <c r="DF99" i="5"/>
  <c r="DF108" i="5"/>
  <c r="DF113" i="5"/>
  <c r="DF111" i="5"/>
  <c r="DF122" i="5"/>
  <c r="DF119" i="5"/>
  <c r="DF128" i="5"/>
  <c r="DF132" i="5"/>
  <c r="JX71" i="5"/>
  <c r="AJ70" i="5"/>
  <c r="AK70" i="5" s="1"/>
  <c r="DF89" i="5"/>
  <c r="DF51" i="5"/>
  <c r="DF56" i="5"/>
  <c r="DF49" i="5"/>
  <c r="DF32" i="5"/>
  <c r="DF28" i="5"/>
  <c r="DF34" i="5"/>
  <c r="DF39" i="5"/>
  <c r="DF42" i="5"/>
  <c r="DF46" i="5"/>
  <c r="DF57" i="5"/>
  <c r="DF33" i="5"/>
  <c r="DF37" i="5"/>
  <c r="DF43" i="5"/>
  <c r="DF47" i="5"/>
  <c r="DF50" i="5"/>
  <c r="DF58" i="5"/>
  <c r="DF64" i="5"/>
  <c r="DF68" i="5"/>
  <c r="DF72" i="5"/>
  <c r="DF76" i="5"/>
  <c r="DF81" i="5"/>
  <c r="DF84" i="5"/>
  <c r="DF86" i="5"/>
  <c r="DF92" i="5"/>
  <c r="DF59" i="5"/>
  <c r="DF63" i="5"/>
  <c r="DF67" i="5"/>
  <c r="DF71" i="5"/>
  <c r="DF75" i="5"/>
  <c r="DF78" i="5"/>
  <c r="DF83" i="5"/>
  <c r="DF88" i="5"/>
  <c r="DF95" i="5"/>
  <c r="DF97" i="5"/>
  <c r="DF101" i="5"/>
  <c r="DF104" i="5"/>
  <c r="DF98" i="5"/>
  <c r="DF102" i="5"/>
  <c r="DF107" i="5"/>
  <c r="DF109" i="5"/>
  <c r="DF112" i="5"/>
  <c r="DF114" i="5"/>
  <c r="DF117" i="5"/>
  <c r="DF116" i="5"/>
  <c r="DF120" i="5"/>
  <c r="DF123" i="5"/>
  <c r="DF127" i="5"/>
  <c r="DF121" i="5"/>
  <c r="DF126" i="5"/>
  <c r="DF129" i="5"/>
  <c r="DF131" i="5"/>
  <c r="DF133" i="5"/>
  <c r="AJ120" i="5"/>
  <c r="AK120" i="5" s="1"/>
  <c r="AJ74" i="5"/>
  <c r="AK74" i="5" s="1"/>
  <c r="AJ87" i="5"/>
  <c r="AK87" i="5" s="1"/>
  <c r="AJ84" i="5"/>
  <c r="AK84" i="5" s="1"/>
  <c r="JX33" i="5"/>
  <c r="JZ33" i="5"/>
  <c r="AJ73" i="5"/>
  <c r="AK73" i="5" s="1"/>
  <c r="JX47" i="5"/>
  <c r="AJ47" i="5"/>
  <c r="AK47" i="5" s="1"/>
  <c r="JX39" i="5"/>
  <c r="AJ39" i="5"/>
  <c r="AK39" i="5" s="1"/>
  <c r="JX83" i="5"/>
  <c r="JZ83" i="5"/>
  <c r="AJ83" i="5"/>
  <c r="AK83" i="5" s="1"/>
  <c r="JX59" i="5"/>
  <c r="JX53" i="5"/>
  <c r="AJ53" i="5"/>
  <c r="AK53" i="5" s="1"/>
  <c r="AJ78" i="5"/>
  <c r="AK78" i="5" s="1"/>
  <c r="AJ34" i="5"/>
  <c r="AK34" i="5" s="1"/>
  <c r="JZ53" i="5"/>
  <c r="JZ29" i="5"/>
  <c r="JZ58" i="5"/>
  <c r="JZ39" i="5"/>
  <c r="JZ77" i="5"/>
  <c r="JZ38" i="5"/>
  <c r="JZ54" i="5"/>
  <c r="AJ59" i="5"/>
  <c r="AK59" i="5" s="1"/>
  <c r="AJ48" i="5"/>
  <c r="AK48" i="5" s="1"/>
  <c r="AJ88" i="5"/>
  <c r="AK88" i="5" s="1"/>
  <c r="AJ63" i="5"/>
  <c r="AK63" i="5" s="1"/>
  <c r="AJ89" i="5"/>
  <c r="AK89" i="5" s="1"/>
  <c r="JZ78" i="5"/>
  <c r="JZ89" i="5"/>
  <c r="JZ59" i="5"/>
  <c r="JZ63" i="5"/>
  <c r="JZ47" i="5"/>
  <c r="JZ73" i="5"/>
  <c r="JZ74" i="5"/>
  <c r="JZ34" i="5"/>
  <c r="JX88" i="5"/>
  <c r="JX74" i="5"/>
  <c r="JX48" i="5"/>
  <c r="JX85" i="5"/>
  <c r="JX38" i="5"/>
  <c r="JX77" i="5"/>
  <c r="JZ55" i="5"/>
  <c r="JX55" i="5"/>
  <c r="JX51" i="5"/>
  <c r="JZ51" i="5"/>
  <c r="JX62" i="5"/>
  <c r="JX29" i="5"/>
  <c r="JX61" i="5"/>
  <c r="JX30" i="5"/>
  <c r="JZ30" i="5"/>
  <c r="JX54" i="5"/>
  <c r="AJ54" i="5"/>
  <c r="AK54" i="5" s="1"/>
  <c r="JX52" i="5"/>
  <c r="JZ49" i="5"/>
  <c r="AJ49" i="5"/>
  <c r="AK49" i="5" s="1"/>
  <c r="JX32" i="5"/>
  <c r="JX60" i="5"/>
  <c r="JZ60" i="5"/>
  <c r="AJ60" i="5"/>
  <c r="AK60" i="5" s="1"/>
  <c r="AJ85" i="5"/>
  <c r="AK85" i="5" s="1"/>
  <c r="AJ77" i="5"/>
  <c r="AK77" i="5" s="1"/>
  <c r="AJ62" i="5"/>
  <c r="AK62" i="5" s="1"/>
  <c r="AJ123" i="5"/>
  <c r="AK123" i="5" s="1"/>
  <c r="AJ33" i="5"/>
  <c r="AK33" i="5" s="1"/>
  <c r="AJ44" i="5"/>
  <c r="AK44" i="5" s="1"/>
  <c r="AJ43" i="5"/>
  <c r="AK43" i="5" s="1"/>
  <c r="AJ32" i="5"/>
  <c r="AK32" i="5" s="1"/>
  <c r="AJ51" i="5"/>
  <c r="AK51" i="5" s="1"/>
  <c r="AJ61" i="5"/>
  <c r="AK61" i="5" s="1"/>
  <c r="AJ52" i="5"/>
  <c r="AK52" i="5" s="1"/>
  <c r="JX69" i="5"/>
  <c r="AJ69" i="5"/>
  <c r="AK69" i="5" s="1"/>
  <c r="JX36" i="5"/>
  <c r="JX45" i="5"/>
  <c r="JZ45" i="5"/>
  <c r="JZ42" i="5"/>
  <c r="JX42" i="5"/>
  <c r="JX86" i="5"/>
  <c r="AJ86" i="5"/>
  <c r="AK86" i="5" s="1"/>
  <c r="JX90" i="5"/>
  <c r="JZ90" i="5"/>
  <c r="JX64" i="5"/>
  <c r="JX82" i="5"/>
  <c r="JX72" i="5"/>
  <c r="AJ72" i="5"/>
  <c r="AK72" i="5" s="1"/>
  <c r="JX56" i="5"/>
  <c r="JZ56" i="5"/>
  <c r="AJ56" i="5"/>
  <c r="AK56" i="5" s="1"/>
  <c r="JZ99" i="5"/>
  <c r="AJ99" i="5"/>
  <c r="AK99" i="5" s="1"/>
  <c r="JX66" i="5"/>
  <c r="AJ66" i="5"/>
  <c r="AK66" i="5" s="1"/>
  <c r="JX75" i="5"/>
  <c r="AJ75" i="5"/>
  <c r="AK75" i="5" s="1"/>
  <c r="JX41" i="5"/>
  <c r="AJ41" i="5"/>
  <c r="AK41" i="5" s="1"/>
  <c r="JX37" i="5"/>
  <c r="AJ37" i="5"/>
  <c r="AK37" i="5" s="1"/>
  <c r="JX79" i="5"/>
  <c r="AJ79" i="5"/>
  <c r="AK79" i="5" s="1"/>
  <c r="JX46" i="5"/>
  <c r="AJ46" i="5"/>
  <c r="AK46" i="5" s="1"/>
  <c r="JZ62" i="5"/>
  <c r="JZ61" i="5"/>
  <c r="JZ87" i="5"/>
  <c r="JZ69" i="5"/>
  <c r="JZ86" i="5"/>
  <c r="JZ76" i="5"/>
  <c r="JZ44" i="5"/>
  <c r="JZ85" i="5"/>
  <c r="JZ52" i="5"/>
  <c r="JZ43" i="5"/>
  <c r="JZ37" i="5"/>
  <c r="EM28" i="5"/>
  <c r="JZ68" i="5"/>
  <c r="HG115" i="5"/>
  <c r="AZ114" i="5"/>
  <c r="CO115" i="5"/>
  <c r="FP115" i="5"/>
  <c r="IA115" i="5" s="1"/>
  <c r="IU115" i="5" s="1"/>
  <c r="HG108" i="5"/>
  <c r="AZ107" i="5"/>
  <c r="CO108" i="5"/>
  <c r="FP108" i="5"/>
  <c r="IA108" i="5" s="1"/>
  <c r="IU108" i="5" s="1"/>
  <c r="JN108" i="5" s="1"/>
  <c r="HG99" i="5"/>
  <c r="AZ98" i="5"/>
  <c r="CO99" i="5"/>
  <c r="FP99" i="5"/>
  <c r="IA99" i="5" s="1"/>
  <c r="IU99" i="5" s="1"/>
  <c r="JN99" i="5" s="1"/>
  <c r="HG91" i="5"/>
  <c r="AZ90" i="5"/>
  <c r="CO91" i="5"/>
  <c r="FP91" i="5"/>
  <c r="IA91" i="5" s="1"/>
  <c r="IU91" i="5" s="1"/>
  <c r="JN91" i="5" s="1"/>
  <c r="HF87" i="5"/>
  <c r="AY86" i="5"/>
  <c r="CN87" i="5"/>
  <c r="FO87" i="5"/>
  <c r="HZ87" i="5" s="1"/>
  <c r="GY82" i="5"/>
  <c r="AR81" i="5"/>
  <c r="CG82" i="5"/>
  <c r="DK82" i="5" s="1"/>
  <c r="FH82" i="5"/>
  <c r="GY58" i="5"/>
  <c r="AR57" i="5"/>
  <c r="CG58" i="5"/>
  <c r="DK58" i="5" s="1"/>
  <c r="FH58" i="5"/>
  <c r="GY54" i="5"/>
  <c r="AR53" i="5"/>
  <c r="CG54" i="5"/>
  <c r="DK54" i="5" s="1"/>
  <c r="FH54" i="5"/>
  <c r="GY28" i="5"/>
  <c r="CG28" i="5"/>
  <c r="DK28" i="5" s="1"/>
  <c r="FH28" i="5"/>
  <c r="GY72" i="5"/>
  <c r="AR71" i="5"/>
  <c r="CG72" i="5"/>
  <c r="DK72" i="5" s="1"/>
  <c r="FH72" i="5"/>
  <c r="GY64" i="5"/>
  <c r="AR63" i="5"/>
  <c r="CG64" i="5"/>
  <c r="DK64" i="5" s="1"/>
  <c r="FH64" i="5"/>
  <c r="DN88" i="5"/>
  <c r="HC87" i="5"/>
  <c r="AV86" i="5"/>
  <c r="CK87" i="5"/>
  <c r="FL87" i="5"/>
  <c r="HW87" i="5" s="1"/>
  <c r="JZ123" i="5"/>
  <c r="HG111" i="5"/>
  <c r="AZ110" i="5"/>
  <c r="CO111" i="5"/>
  <c r="FP111" i="5"/>
  <c r="IA111" i="5" s="1"/>
  <c r="IU111" i="5" s="1"/>
  <c r="JN111" i="5" s="1"/>
  <c r="HG101" i="5"/>
  <c r="AZ100" i="5"/>
  <c r="CO101" i="5"/>
  <c r="FP101" i="5"/>
  <c r="IA101" i="5" s="1"/>
  <c r="IU101" i="5" s="1"/>
  <c r="JN101" i="5" s="1"/>
  <c r="HG95" i="5"/>
  <c r="AZ94" i="5"/>
  <c r="CO95" i="5"/>
  <c r="FP95" i="5"/>
  <c r="IA95" i="5" s="1"/>
  <c r="IU95" i="5" s="1"/>
  <c r="JN95" i="5" s="1"/>
  <c r="HG88" i="5"/>
  <c r="AZ87" i="5"/>
  <c r="CO88" i="5"/>
  <c r="FP88" i="5"/>
  <c r="IA88" i="5" s="1"/>
  <c r="HB87" i="5"/>
  <c r="AU86" i="5"/>
  <c r="FX86" i="5"/>
  <c r="CJ87" i="5"/>
  <c r="FK87" i="5"/>
  <c r="HV87" i="5" s="1"/>
  <c r="HE87" i="5"/>
  <c r="AX86" i="5"/>
  <c r="CM87" i="5"/>
  <c r="FN87" i="5"/>
  <c r="HY87" i="5" s="1"/>
  <c r="GY66" i="5"/>
  <c r="AR65" i="5"/>
  <c r="CG66" i="5"/>
  <c r="DK66" i="5" s="1"/>
  <c r="FH66" i="5"/>
  <c r="GY38" i="5"/>
  <c r="AR37" i="5"/>
  <c r="CG38" i="5"/>
  <c r="DK38" i="5" s="1"/>
  <c r="FH38" i="5"/>
  <c r="GY32" i="5"/>
  <c r="AR31" i="5"/>
  <c r="CG32" i="5"/>
  <c r="DK32" i="5" s="1"/>
  <c r="FH32" i="5"/>
  <c r="GY80" i="5"/>
  <c r="AR79" i="5"/>
  <c r="CG80" i="5"/>
  <c r="DK80" i="5" s="1"/>
  <c r="FH80" i="5"/>
  <c r="GY76" i="5"/>
  <c r="AR75" i="5"/>
  <c r="CG76" i="5"/>
  <c r="DK76" i="5" s="1"/>
  <c r="FH76" i="5"/>
  <c r="GY62" i="5"/>
  <c r="AR61" i="5"/>
  <c r="CG62" i="5"/>
  <c r="DK62" i="5" s="1"/>
  <c r="FH62" i="5"/>
  <c r="GY48" i="5"/>
  <c r="AR47" i="5"/>
  <c r="CG48" i="5"/>
  <c r="DK48" i="5" s="1"/>
  <c r="FH48" i="5"/>
  <c r="GY40" i="5"/>
  <c r="AR39" i="5"/>
  <c r="CG40" i="5"/>
  <c r="DK40" i="5" s="1"/>
  <c r="FH40" i="5"/>
  <c r="HG116" i="5"/>
  <c r="AZ115" i="5"/>
  <c r="CO116" i="5"/>
  <c r="FP116" i="5"/>
  <c r="IA116" i="5" s="1"/>
  <c r="IU116" i="5" s="1"/>
  <c r="JN116" i="5" s="1"/>
  <c r="HG114" i="5"/>
  <c r="AZ113" i="5"/>
  <c r="CO114" i="5"/>
  <c r="FP114" i="5"/>
  <c r="IA114" i="5" s="1"/>
  <c r="IU114" i="5" s="1"/>
  <c r="JN114" i="5" s="1"/>
  <c r="HG110" i="5"/>
  <c r="AZ109" i="5"/>
  <c r="CO110" i="5"/>
  <c r="FP110" i="5"/>
  <c r="IA110" i="5" s="1"/>
  <c r="IU110" i="5" s="1"/>
  <c r="JN110" i="5" s="1"/>
  <c r="HG104" i="5"/>
  <c r="AZ103" i="5"/>
  <c r="CO104" i="5"/>
  <c r="FP104" i="5"/>
  <c r="IA104" i="5" s="1"/>
  <c r="IU104" i="5" s="1"/>
  <c r="JN104" i="5" s="1"/>
  <c r="HG103" i="5"/>
  <c r="AZ102" i="5"/>
  <c r="CO103" i="5"/>
  <c r="FP103" i="5"/>
  <c r="IA103" i="5" s="1"/>
  <c r="IU103" i="5" s="1"/>
  <c r="JN103" i="5" s="1"/>
  <c r="HG98" i="5"/>
  <c r="AZ97" i="5"/>
  <c r="CO98" i="5"/>
  <c r="FP98" i="5"/>
  <c r="IA98" i="5" s="1"/>
  <c r="IU98" i="5" s="1"/>
  <c r="JN98" i="5" s="1"/>
  <c r="HG94" i="5"/>
  <c r="AZ93" i="5"/>
  <c r="CO94" i="5"/>
  <c r="FP94" i="5"/>
  <c r="IA94" i="5" s="1"/>
  <c r="IU94" i="5" s="1"/>
  <c r="JN94" i="5" s="1"/>
  <c r="HG90" i="5"/>
  <c r="AZ89" i="5"/>
  <c r="CO90" i="5"/>
  <c r="FP90" i="5"/>
  <c r="IA90" i="5" s="1"/>
  <c r="IU90" i="5" s="1"/>
  <c r="JN90" i="5" s="1"/>
  <c r="GY85" i="5"/>
  <c r="AR84" i="5"/>
  <c r="CG85" i="5"/>
  <c r="DK85" i="5" s="1"/>
  <c r="FH85" i="5"/>
  <c r="GY79" i="5"/>
  <c r="AR78" i="5"/>
  <c r="CG79" i="5"/>
  <c r="DK79" i="5" s="1"/>
  <c r="FH79" i="5"/>
  <c r="GY73" i="5"/>
  <c r="AR72" i="5"/>
  <c r="CG73" i="5"/>
  <c r="DK73" i="5" s="1"/>
  <c r="FH73" i="5"/>
  <c r="GY67" i="5"/>
  <c r="AR66" i="5"/>
  <c r="CG67" i="5"/>
  <c r="DK67" i="5" s="1"/>
  <c r="FH67" i="5"/>
  <c r="GY63" i="5"/>
  <c r="AR62" i="5"/>
  <c r="CG63" i="5"/>
  <c r="DK63" i="5" s="1"/>
  <c r="FH63" i="5"/>
  <c r="GY47" i="5"/>
  <c r="AR46" i="5"/>
  <c r="CG47" i="5"/>
  <c r="DK47" i="5" s="1"/>
  <c r="FH47" i="5"/>
  <c r="GY43" i="5"/>
  <c r="AR42" i="5"/>
  <c r="CG43" i="5"/>
  <c r="DK43" i="5" s="1"/>
  <c r="FH43" i="5"/>
  <c r="GY37" i="5"/>
  <c r="AR36" i="5"/>
  <c r="CG37" i="5"/>
  <c r="DK37" i="5" s="1"/>
  <c r="FH37" i="5"/>
  <c r="GY87" i="5"/>
  <c r="AR86" i="5"/>
  <c r="CG87" i="5"/>
  <c r="DK87" i="5" s="1"/>
  <c r="FH87" i="5"/>
  <c r="GY75" i="5"/>
  <c r="AR74" i="5"/>
  <c r="CG75" i="5"/>
  <c r="DK75" i="5" s="1"/>
  <c r="FH75" i="5"/>
  <c r="GY61" i="5"/>
  <c r="AR60" i="5"/>
  <c r="CG61" i="5"/>
  <c r="DK61" i="5" s="1"/>
  <c r="FH61" i="5"/>
  <c r="GY57" i="5"/>
  <c r="AR56" i="5"/>
  <c r="CG57" i="5"/>
  <c r="DK57" i="5" s="1"/>
  <c r="FH57" i="5"/>
  <c r="GY53" i="5"/>
  <c r="AR52" i="5"/>
  <c r="CG53" i="5"/>
  <c r="DK53" i="5" s="1"/>
  <c r="FH53" i="5"/>
  <c r="GY39" i="5"/>
  <c r="AR38" i="5"/>
  <c r="CG39" i="5"/>
  <c r="DK39" i="5" s="1"/>
  <c r="FH39" i="5"/>
  <c r="GY33" i="5"/>
  <c r="AR32" i="5"/>
  <c r="CG33" i="5"/>
  <c r="DK33" i="5" s="1"/>
  <c r="FH33" i="5"/>
  <c r="GY29" i="5"/>
  <c r="AR28" i="5"/>
  <c r="CG29" i="5"/>
  <c r="DK29" i="5" s="1"/>
  <c r="FH29" i="5"/>
  <c r="JX73" i="5"/>
  <c r="JX49" i="5"/>
  <c r="JX78" i="5"/>
  <c r="JX76" i="5"/>
  <c r="JX70" i="5"/>
  <c r="JX34" i="5"/>
  <c r="JX40" i="5"/>
  <c r="JX58" i="5"/>
  <c r="JX84" i="5"/>
  <c r="HG118" i="5"/>
  <c r="AZ117" i="5"/>
  <c r="CO118" i="5"/>
  <c r="FP118" i="5"/>
  <c r="IA118" i="5" s="1"/>
  <c r="IU118" i="5" s="1"/>
  <c r="HG107" i="5"/>
  <c r="AZ106" i="5"/>
  <c r="CO107" i="5"/>
  <c r="FP107" i="5"/>
  <c r="IA107" i="5" s="1"/>
  <c r="IU107" i="5" s="1"/>
  <c r="HG105" i="5"/>
  <c r="AZ104" i="5"/>
  <c r="CO105" i="5"/>
  <c r="FP105" i="5"/>
  <c r="IA105" i="5" s="1"/>
  <c r="IU105" i="5" s="1"/>
  <c r="JN105" i="5" s="1"/>
  <c r="HG93" i="5"/>
  <c r="AZ92" i="5"/>
  <c r="CO93" i="5"/>
  <c r="FP93" i="5"/>
  <c r="IA93" i="5" s="1"/>
  <c r="IU93" i="5" s="1"/>
  <c r="JN93" i="5" s="1"/>
  <c r="GY84" i="5"/>
  <c r="AR83" i="5"/>
  <c r="CG84" i="5"/>
  <c r="DK84" i="5" s="1"/>
  <c r="FH84" i="5"/>
  <c r="GY60" i="5"/>
  <c r="AR59" i="5"/>
  <c r="CG60" i="5"/>
  <c r="DK60" i="5" s="1"/>
  <c r="FH60" i="5"/>
  <c r="GY56" i="5"/>
  <c r="AR55" i="5"/>
  <c r="CG56" i="5"/>
  <c r="DK56" i="5" s="1"/>
  <c r="FH56" i="5"/>
  <c r="GY52" i="5"/>
  <c r="AR51" i="5"/>
  <c r="CG52" i="5"/>
  <c r="DK52" i="5" s="1"/>
  <c r="FH52" i="5"/>
  <c r="HG120" i="5"/>
  <c r="IV120" i="5" s="1"/>
  <c r="JO120" i="5" s="1"/>
  <c r="AZ119" i="5"/>
  <c r="CO120" i="5"/>
  <c r="FP120" i="5"/>
  <c r="IA120" i="5" s="1"/>
  <c r="IU120" i="5" s="1"/>
  <c r="JN120" i="5" s="1"/>
  <c r="GY70" i="5"/>
  <c r="AR69" i="5"/>
  <c r="CG70" i="5"/>
  <c r="DK70" i="5" s="1"/>
  <c r="FH70" i="5"/>
  <c r="GY46" i="5"/>
  <c r="AR45" i="5"/>
  <c r="CG46" i="5"/>
  <c r="DK46" i="5" s="1"/>
  <c r="FH46" i="5"/>
  <c r="HA87" i="5"/>
  <c r="AT86" i="5"/>
  <c r="CI87" i="5"/>
  <c r="DM87" i="5" s="1"/>
  <c r="FJ87" i="5"/>
  <c r="HU87" i="5" s="1"/>
  <c r="HG113" i="5"/>
  <c r="AZ112" i="5"/>
  <c r="CO113" i="5"/>
  <c r="FP113" i="5"/>
  <c r="IA113" i="5" s="1"/>
  <c r="IU113" i="5" s="1"/>
  <c r="JN113" i="5" s="1"/>
  <c r="HG102" i="5"/>
  <c r="AZ101" i="5"/>
  <c r="CO102" i="5"/>
  <c r="FP102" i="5"/>
  <c r="IA102" i="5" s="1"/>
  <c r="IU102" i="5" s="1"/>
  <c r="JN102" i="5" s="1"/>
  <c r="HG96" i="5"/>
  <c r="AZ95" i="5"/>
  <c r="CO96" i="5"/>
  <c r="FP96" i="5"/>
  <c r="IA96" i="5" s="1"/>
  <c r="IU96" i="5" s="1"/>
  <c r="JN96" i="5" s="1"/>
  <c r="HG89" i="5"/>
  <c r="AZ88" i="5"/>
  <c r="CO89" i="5"/>
  <c r="FP89" i="5"/>
  <c r="IA89" i="5" s="1"/>
  <c r="IU89" i="5" s="1"/>
  <c r="JN89" i="5" s="1"/>
  <c r="HD87" i="5"/>
  <c r="AW86" i="5"/>
  <c r="CL87" i="5"/>
  <c r="FM87" i="5"/>
  <c r="HX87" i="5" s="1"/>
  <c r="GZ87" i="5"/>
  <c r="AS86" i="5"/>
  <c r="CH87" i="5"/>
  <c r="DL87" i="5" s="1"/>
  <c r="FI87" i="5"/>
  <c r="GY74" i="5"/>
  <c r="AR73" i="5"/>
  <c r="CG74" i="5"/>
  <c r="DK74" i="5" s="1"/>
  <c r="FH74" i="5"/>
  <c r="GY42" i="5"/>
  <c r="AR41" i="5"/>
  <c r="CG42" i="5"/>
  <c r="DK42" i="5" s="1"/>
  <c r="FH42" i="5"/>
  <c r="GY34" i="5"/>
  <c r="AR33" i="5"/>
  <c r="CG34" i="5"/>
  <c r="DK34" i="5" s="1"/>
  <c r="FH34" i="5"/>
  <c r="GY86" i="5"/>
  <c r="AR85" i="5"/>
  <c r="CG86" i="5"/>
  <c r="DK86" i="5" s="1"/>
  <c r="FH86" i="5"/>
  <c r="GY78" i="5"/>
  <c r="AR77" i="5"/>
  <c r="CG78" i="5"/>
  <c r="DK78" i="5" s="1"/>
  <c r="FH78" i="5"/>
  <c r="GY68" i="5"/>
  <c r="AR67" i="5"/>
  <c r="CG68" i="5"/>
  <c r="DK68" i="5" s="1"/>
  <c r="FH68" i="5"/>
  <c r="GY50" i="5"/>
  <c r="AR49" i="5"/>
  <c r="CG50" i="5"/>
  <c r="DK50" i="5" s="1"/>
  <c r="FH50" i="5"/>
  <c r="GY44" i="5"/>
  <c r="AR43" i="5"/>
  <c r="CG44" i="5"/>
  <c r="DK44" i="5" s="1"/>
  <c r="FH44" i="5"/>
  <c r="GY36" i="5"/>
  <c r="AR35" i="5"/>
  <c r="CG36" i="5"/>
  <c r="DK36" i="5" s="1"/>
  <c r="FH36" i="5"/>
  <c r="GT112" i="5"/>
  <c r="FD112" i="5"/>
  <c r="HG119" i="5"/>
  <c r="AZ118" i="5"/>
  <c r="CO119" i="5"/>
  <c r="FP119" i="5"/>
  <c r="IA119" i="5" s="1"/>
  <c r="IU119" i="5" s="1"/>
  <c r="JN119" i="5" s="1"/>
  <c r="HG117" i="5"/>
  <c r="AZ116" i="5"/>
  <c r="CO117" i="5"/>
  <c r="FP117" i="5"/>
  <c r="IA117" i="5" s="1"/>
  <c r="IU117" i="5" s="1"/>
  <c r="JN117" i="5" s="1"/>
  <c r="HG112" i="5"/>
  <c r="AZ111" i="5"/>
  <c r="CO112" i="5"/>
  <c r="FP112" i="5"/>
  <c r="IA112" i="5" s="1"/>
  <c r="IU112" i="5" s="1"/>
  <c r="JN112" i="5" s="1"/>
  <c r="HG109" i="5"/>
  <c r="AZ108" i="5"/>
  <c r="CO109" i="5"/>
  <c r="FP109" i="5"/>
  <c r="IA109" i="5" s="1"/>
  <c r="IU109" i="5" s="1"/>
  <c r="JN109" i="5" s="1"/>
  <c r="HG106" i="5"/>
  <c r="AZ105" i="5"/>
  <c r="CO106" i="5"/>
  <c r="FP106" i="5"/>
  <c r="IA106" i="5" s="1"/>
  <c r="IU106" i="5" s="1"/>
  <c r="JN106" i="5" s="1"/>
  <c r="HG100" i="5"/>
  <c r="AZ99" i="5"/>
  <c r="CO100" i="5"/>
  <c r="FP100" i="5"/>
  <c r="IA100" i="5" s="1"/>
  <c r="IU100" i="5" s="1"/>
  <c r="JN100" i="5" s="1"/>
  <c r="HG97" i="5"/>
  <c r="AZ96" i="5"/>
  <c r="CO97" i="5"/>
  <c r="FP97" i="5"/>
  <c r="IA97" i="5" s="1"/>
  <c r="IU97" i="5" s="1"/>
  <c r="HG92" i="5"/>
  <c r="AZ91" i="5"/>
  <c r="CO92" i="5"/>
  <c r="FP92" i="5"/>
  <c r="IA92" i="5" s="1"/>
  <c r="IU92" i="5" s="1"/>
  <c r="JN92" i="5" s="1"/>
  <c r="HF88" i="5"/>
  <c r="AY87" i="5"/>
  <c r="CN88" i="5"/>
  <c r="FO88" i="5"/>
  <c r="HZ88" i="5" s="1"/>
  <c r="IT88" i="5" s="1"/>
  <c r="JM88" i="5" s="1"/>
  <c r="GY81" i="5"/>
  <c r="AR80" i="5"/>
  <c r="CG81" i="5"/>
  <c r="DK81" i="5" s="1"/>
  <c r="FH81" i="5"/>
  <c r="GY77" i="5"/>
  <c r="AR76" i="5"/>
  <c r="CG77" i="5"/>
  <c r="DK77" i="5" s="1"/>
  <c r="FH77" i="5"/>
  <c r="GY69" i="5"/>
  <c r="AR68" i="5"/>
  <c r="CG69" i="5"/>
  <c r="DK69" i="5" s="1"/>
  <c r="FH69" i="5"/>
  <c r="GY65" i="5"/>
  <c r="AR64" i="5"/>
  <c r="CG65" i="5"/>
  <c r="DK65" i="5" s="1"/>
  <c r="FH65" i="5"/>
  <c r="GY51" i="5"/>
  <c r="AR50" i="5"/>
  <c r="CG51" i="5"/>
  <c r="DK51" i="5" s="1"/>
  <c r="FH51" i="5"/>
  <c r="GY45" i="5"/>
  <c r="AR44" i="5"/>
  <c r="CG45" i="5"/>
  <c r="DK45" i="5" s="1"/>
  <c r="FH45" i="5"/>
  <c r="GY41" i="5"/>
  <c r="AR40" i="5"/>
  <c r="CG41" i="5"/>
  <c r="DK41" i="5" s="1"/>
  <c r="FH41" i="5"/>
  <c r="GY31" i="5"/>
  <c r="AR30" i="5"/>
  <c r="CG31" i="5"/>
  <c r="DK31" i="5" s="1"/>
  <c r="FH31" i="5"/>
  <c r="GY83" i="5"/>
  <c r="AR82" i="5"/>
  <c r="CG83" i="5"/>
  <c r="DK83" i="5" s="1"/>
  <c r="FH83" i="5"/>
  <c r="GY71" i="5"/>
  <c r="AR70" i="5"/>
  <c r="CG71" i="5"/>
  <c r="DK71" i="5" s="1"/>
  <c r="FH71" i="5"/>
  <c r="GY59" i="5"/>
  <c r="AR58" i="5"/>
  <c r="CG59" i="5"/>
  <c r="DK59" i="5" s="1"/>
  <c r="FH59" i="5"/>
  <c r="GY55" i="5"/>
  <c r="AR54" i="5"/>
  <c r="CG55" i="5"/>
  <c r="DK55" i="5" s="1"/>
  <c r="FH55" i="5"/>
  <c r="GY49" i="5"/>
  <c r="AR48" i="5"/>
  <c r="CG49" i="5"/>
  <c r="DK49" i="5" s="1"/>
  <c r="FH49" i="5"/>
  <c r="GY35" i="5"/>
  <c r="AR34" i="5"/>
  <c r="CG35" i="5"/>
  <c r="DK35" i="5" s="1"/>
  <c r="FH35" i="5"/>
  <c r="GY30" i="5"/>
  <c r="AR29" i="5"/>
  <c r="CG30" i="5"/>
  <c r="DK30" i="5" s="1"/>
  <c r="FH30" i="5"/>
  <c r="JZ41" i="5"/>
  <c r="JZ66" i="5"/>
  <c r="JZ72" i="5"/>
  <c r="JZ64" i="5"/>
  <c r="JX91" i="5"/>
  <c r="JZ88" i="5"/>
  <c r="DS56" i="5"/>
  <c r="EM57" i="5"/>
  <c r="DS40" i="5"/>
  <c r="EM41" i="5"/>
  <c r="HS41" i="5" s="1"/>
  <c r="IM41" i="5" s="1"/>
  <c r="JF41" i="5" s="1"/>
  <c r="DS43" i="5"/>
  <c r="EM44" i="5"/>
  <c r="HS44" i="5" s="1"/>
  <c r="IM44" i="5" s="1"/>
  <c r="JF44" i="5" s="1"/>
  <c r="EM86" i="5"/>
  <c r="DS85" i="5"/>
  <c r="DS55" i="5"/>
  <c r="EM56" i="5"/>
  <c r="HS56" i="5" s="1"/>
  <c r="IM56" i="5" s="1"/>
  <c r="JF56" i="5" s="1"/>
  <c r="DS75" i="5"/>
  <c r="EM76" i="5"/>
  <c r="EM71" i="5"/>
  <c r="DS70" i="5"/>
  <c r="DS38" i="5"/>
  <c r="EM39" i="5"/>
  <c r="DQ30" i="5"/>
  <c r="DQ88" i="5"/>
  <c r="EM48" i="5"/>
  <c r="DS47" i="5"/>
  <c r="DQ54" i="5"/>
  <c r="DS42" i="5"/>
  <c r="EM43" i="5"/>
  <c r="DS74" i="5"/>
  <c r="EM75" i="5"/>
  <c r="DS69" i="5"/>
  <c r="EM70" i="5"/>
  <c r="DS61" i="5"/>
  <c r="EM62" i="5"/>
  <c r="DS45" i="5"/>
  <c r="EM46" i="5"/>
  <c r="DS32" i="5"/>
  <c r="EM33" i="5"/>
  <c r="F19" i="5"/>
  <c r="JX68" i="5"/>
  <c r="DQ70" i="5"/>
  <c r="DQ64" i="5"/>
  <c r="DQ78" i="5"/>
  <c r="DS72" i="5"/>
  <c r="EM73" i="5"/>
  <c r="DS37" i="5"/>
  <c r="EM38" i="5"/>
  <c r="DS34" i="5"/>
  <c r="EM35" i="5"/>
  <c r="HS35" i="5" s="1"/>
  <c r="IM35" i="5" s="1"/>
  <c r="JF35" i="5" s="1"/>
  <c r="DS29" i="5"/>
  <c r="EM30" i="5"/>
  <c r="HS30" i="5" s="1"/>
  <c r="IM30" i="5" s="1"/>
  <c r="JF30" i="5" s="1"/>
  <c r="EM55" i="5"/>
  <c r="DS54" i="5"/>
  <c r="DS51" i="5"/>
  <c r="EM52" i="5"/>
  <c r="HS52" i="5" s="1"/>
  <c r="IM52" i="5" s="1"/>
  <c r="JF52" i="5" s="1"/>
  <c r="DS31" i="5"/>
  <c r="EM32" i="5"/>
  <c r="EM58" i="5"/>
  <c r="DS57" i="5"/>
  <c r="EM47" i="5"/>
  <c r="DS46" i="5"/>
  <c r="DQ32" i="5"/>
  <c r="DQ46" i="5"/>
  <c r="DQ80" i="5"/>
  <c r="DQ62" i="5"/>
  <c r="EM81" i="5"/>
  <c r="DS80" i="5"/>
  <c r="DS67" i="5"/>
  <c r="EM68" i="5"/>
  <c r="HS68" i="5" s="1"/>
  <c r="IM68" i="5" s="1"/>
  <c r="JF68" i="5" s="1"/>
  <c r="DS63" i="5"/>
  <c r="EM64" i="5"/>
  <c r="EM82" i="5"/>
  <c r="DS81" i="5"/>
  <c r="DS71" i="5"/>
  <c r="EM72" i="5"/>
  <c r="DS65" i="5"/>
  <c r="EM66" i="5"/>
  <c r="DS59" i="5"/>
  <c r="EM60" i="5"/>
  <c r="HS60" i="5" s="1"/>
  <c r="IM60" i="5" s="1"/>
  <c r="JF60" i="5" s="1"/>
  <c r="EM88" i="5"/>
  <c r="HS88" i="5" s="1"/>
  <c r="IM88" i="5" s="1"/>
  <c r="JF88" i="5" s="1"/>
  <c r="DS87" i="5"/>
  <c r="DS83" i="5"/>
  <c r="EM84" i="5"/>
  <c r="HS84" i="5" s="1"/>
  <c r="IM84" i="5" s="1"/>
  <c r="JF84" i="5" s="1"/>
  <c r="DS77" i="5"/>
  <c r="EM78" i="5"/>
  <c r="HS78" i="5" s="1"/>
  <c r="IM78" i="5" s="1"/>
  <c r="JF78" i="5" s="1"/>
  <c r="DS73" i="5"/>
  <c r="EM74" i="5"/>
  <c r="HS74" i="5" s="1"/>
  <c r="IM74" i="5" s="1"/>
  <c r="JF74" i="5" s="1"/>
  <c r="EM67" i="5"/>
  <c r="DS66" i="5"/>
  <c r="DS58" i="5"/>
  <c r="EM59" i="5"/>
  <c r="HS59" i="5" s="1"/>
  <c r="IM59" i="5" s="1"/>
  <c r="JF59" i="5" s="1"/>
  <c r="DS39" i="5"/>
  <c r="EM40" i="5"/>
  <c r="DS35" i="5"/>
  <c r="EM36" i="5"/>
  <c r="HS36" i="5" s="1"/>
  <c r="IM36" i="5" s="1"/>
  <c r="JF36" i="5" s="1"/>
  <c r="DR65" i="5"/>
  <c r="EL66" i="5"/>
  <c r="HR66" i="5" s="1"/>
  <c r="IL66" i="5" s="1"/>
  <c r="JE66" i="5" s="1"/>
  <c r="EL43" i="5"/>
  <c r="HR43" i="5" s="1"/>
  <c r="IL43" i="5" s="1"/>
  <c r="JE43" i="5" s="1"/>
  <c r="DR42" i="5"/>
  <c r="DQ86" i="5"/>
  <c r="DQ38" i="5"/>
  <c r="DD126" i="5"/>
  <c r="DL127" i="5"/>
  <c r="DS53" i="5"/>
  <c r="EM54" i="5"/>
  <c r="EM50" i="5"/>
  <c r="DS49" i="5"/>
  <c r="EM51" i="5"/>
  <c r="DS50" i="5"/>
  <c r="EM49" i="5"/>
  <c r="DS48" i="5"/>
  <c r="DS33" i="5"/>
  <c r="EM34" i="5"/>
  <c r="HS34" i="5" s="1"/>
  <c r="IM34" i="5" s="1"/>
  <c r="JF34" i="5" s="1"/>
  <c r="EM83" i="5"/>
  <c r="DS82" i="5"/>
  <c r="DS79" i="5"/>
  <c r="EM80" i="5"/>
  <c r="F16" i="5"/>
  <c r="F17" i="5"/>
  <c r="F18" i="5"/>
  <c r="M101" i="7"/>
  <c r="N101" i="7"/>
  <c r="D102" i="7"/>
  <c r="C101" i="7"/>
  <c r="I101" i="7" s="1"/>
  <c r="E101" i="7"/>
  <c r="H101" i="7" s="1"/>
  <c r="G101" i="7"/>
  <c r="B101" i="7"/>
  <c r="F101" i="7" s="1"/>
  <c r="K102" i="7"/>
  <c r="L102" i="7" s="1"/>
  <c r="J103" i="7"/>
  <c r="HS80" i="5" l="1"/>
  <c r="IM80" i="5" s="1"/>
  <c r="JF80" i="5" s="1"/>
  <c r="HS54" i="5"/>
  <c r="IM54" i="5" s="1"/>
  <c r="JF54" i="5" s="1"/>
  <c r="HS40" i="5"/>
  <c r="IM40" i="5" s="1"/>
  <c r="JF40" i="5" s="1"/>
  <c r="HS66" i="5"/>
  <c r="IM66" i="5" s="1"/>
  <c r="JF66" i="5" s="1"/>
  <c r="HS32" i="5"/>
  <c r="IM32" i="5" s="1"/>
  <c r="JF32" i="5" s="1"/>
  <c r="HS38" i="5"/>
  <c r="IM38" i="5" s="1"/>
  <c r="JF38" i="5" s="1"/>
  <c r="HS73" i="5"/>
  <c r="IM73" i="5" s="1"/>
  <c r="JF73" i="5" s="1"/>
  <c r="HS39" i="5"/>
  <c r="IM39" i="5" s="1"/>
  <c r="JF39" i="5" s="1"/>
  <c r="HS76" i="5"/>
  <c r="IM76" i="5" s="1"/>
  <c r="JF76" i="5" s="1"/>
  <c r="HS57" i="5"/>
  <c r="IM57" i="5" s="1"/>
  <c r="JX57" i="5"/>
  <c r="HS72" i="5"/>
  <c r="IM72" i="5" s="1"/>
  <c r="JF72" i="5" s="1"/>
  <c r="HS64" i="5"/>
  <c r="IM64" i="5" s="1"/>
  <c r="JF64" i="5" s="1"/>
  <c r="JF57" i="5"/>
  <c r="JN97" i="5"/>
  <c r="IR87" i="5"/>
  <c r="JK87" i="5" s="1"/>
  <c r="JN107" i="5"/>
  <c r="AJ35" i="5"/>
  <c r="AK35" i="5" s="1"/>
  <c r="JD35" i="5"/>
  <c r="JZ102" i="5"/>
  <c r="JJ102" i="5"/>
  <c r="JI102" i="5"/>
  <c r="JL102" i="5"/>
  <c r="JK102" i="5"/>
  <c r="JZ105" i="5"/>
  <c r="JI105" i="5"/>
  <c r="JJ105" i="5"/>
  <c r="JL105" i="5"/>
  <c r="JK105" i="5"/>
  <c r="JE81" i="5"/>
  <c r="JM105" i="5"/>
  <c r="JM102" i="5"/>
  <c r="JD81" i="5"/>
  <c r="JE35" i="5"/>
  <c r="HS67" i="5"/>
  <c r="IM67" i="5" s="1"/>
  <c r="JF67" i="5" s="1"/>
  <c r="HS82" i="5"/>
  <c r="IM82" i="5" s="1"/>
  <c r="JF82" i="5" s="1"/>
  <c r="HS47" i="5"/>
  <c r="IM47" i="5" s="1"/>
  <c r="JF47" i="5" s="1"/>
  <c r="HS58" i="5"/>
  <c r="IM58" i="5" s="1"/>
  <c r="JF58" i="5" s="1"/>
  <c r="HS33" i="5"/>
  <c r="IM33" i="5" s="1"/>
  <c r="JF33" i="5" s="1"/>
  <c r="HS46" i="5"/>
  <c r="IM46" i="5" s="1"/>
  <c r="JF46" i="5" s="1"/>
  <c r="HS62" i="5"/>
  <c r="IM62" i="5" s="1"/>
  <c r="JF62" i="5" s="1"/>
  <c r="HS70" i="5"/>
  <c r="IM70" i="5" s="1"/>
  <c r="JF70" i="5" s="1"/>
  <c r="HS75" i="5"/>
  <c r="IM75" i="5" s="1"/>
  <c r="JF75" i="5" s="1"/>
  <c r="HS43" i="5"/>
  <c r="IM43" i="5" s="1"/>
  <c r="JF43" i="5" s="1"/>
  <c r="HS48" i="5"/>
  <c r="IM48" i="5" s="1"/>
  <c r="JF48" i="5" s="1"/>
  <c r="IU88" i="5"/>
  <c r="JN88" i="5" s="1"/>
  <c r="AJ81" i="5"/>
  <c r="AK81" i="5" s="1"/>
  <c r="JZ81" i="5"/>
  <c r="JZ97" i="5"/>
  <c r="JI97" i="5"/>
  <c r="JJ97" i="5"/>
  <c r="JK97" i="5"/>
  <c r="JL97" i="5"/>
  <c r="JJ132" i="5"/>
  <c r="JI132" i="5"/>
  <c r="JV132" i="5"/>
  <c r="JW132" i="5"/>
  <c r="JK132" i="5"/>
  <c r="JO132" i="5"/>
  <c r="JU132" i="5"/>
  <c r="JL132" i="5"/>
  <c r="JR132" i="5"/>
  <c r="JM132" i="5"/>
  <c r="JS132" i="5"/>
  <c r="JN132" i="5"/>
  <c r="JT132" i="5"/>
  <c r="AJ107" i="5"/>
  <c r="AK107" i="5" s="1"/>
  <c r="JI107" i="5"/>
  <c r="JJ107" i="5"/>
  <c r="JL107" i="5"/>
  <c r="JK107" i="5"/>
  <c r="JM97" i="5"/>
  <c r="JM107" i="5"/>
  <c r="JE65" i="5"/>
  <c r="JE57" i="5"/>
  <c r="JD65" i="5"/>
  <c r="JP132" i="5"/>
  <c r="HS83" i="5"/>
  <c r="IM83" i="5" s="1"/>
  <c r="JF83" i="5" s="1"/>
  <c r="HS49" i="5"/>
  <c r="IM49" i="5" s="1"/>
  <c r="JF49" i="5" s="1"/>
  <c r="HS51" i="5"/>
  <c r="IM51" i="5" s="1"/>
  <c r="JF51" i="5" s="1"/>
  <c r="HS50" i="5"/>
  <c r="IM50" i="5" s="1"/>
  <c r="JF50" i="5" s="1"/>
  <c r="HS81" i="5"/>
  <c r="IM81" i="5" s="1"/>
  <c r="JF81" i="5" s="1"/>
  <c r="HS55" i="5"/>
  <c r="IM55" i="5" s="1"/>
  <c r="JF55" i="5" s="1"/>
  <c r="HS71" i="5"/>
  <c r="IM71" i="5" s="1"/>
  <c r="JF71" i="5" s="1"/>
  <c r="HS86" i="5"/>
  <c r="IM86" i="5" s="1"/>
  <c r="JF86" i="5" s="1"/>
  <c r="IT87" i="5"/>
  <c r="JM87" i="5" s="1"/>
  <c r="JZ35" i="5"/>
  <c r="IO87" i="5"/>
  <c r="JH87" i="5" s="1"/>
  <c r="HS28" i="5"/>
  <c r="IM28" i="5" s="1"/>
  <c r="JF28" i="5" s="1"/>
  <c r="IS87" i="5"/>
  <c r="JL87" i="5" s="1"/>
  <c r="IP87" i="5"/>
  <c r="JI87" i="5" s="1"/>
  <c r="IQ87" i="5"/>
  <c r="JJ87" i="5" s="1"/>
  <c r="AH118" i="5"/>
  <c r="AH121" i="5"/>
  <c r="AH115" i="5"/>
  <c r="JN115" i="5" s="1"/>
  <c r="JZ132" i="5"/>
  <c r="JX35" i="5"/>
  <c r="AJ57" i="5"/>
  <c r="AK57" i="5" s="1"/>
  <c r="AJ132" i="5"/>
  <c r="AK132" i="5" s="1"/>
  <c r="JZ57" i="5"/>
  <c r="JZ65" i="5"/>
  <c r="AJ105" i="5"/>
  <c r="AK105" i="5" s="1"/>
  <c r="AJ102" i="5"/>
  <c r="AK102" i="5" s="1"/>
  <c r="AH124" i="5"/>
  <c r="JX65" i="5"/>
  <c r="JZ120" i="5"/>
  <c r="JX67" i="5"/>
  <c r="JZ67" i="5"/>
  <c r="AJ67" i="5"/>
  <c r="AK67" i="5" s="1"/>
  <c r="JD25" i="5"/>
  <c r="JZ91" i="5"/>
  <c r="AJ91" i="5"/>
  <c r="AK91" i="5" s="1"/>
  <c r="GZ35" i="5"/>
  <c r="AS34" i="5"/>
  <c r="CH35" i="5"/>
  <c r="DL35" i="5" s="1"/>
  <c r="FI35" i="5"/>
  <c r="GZ43" i="5"/>
  <c r="AS42" i="5"/>
  <c r="CH43" i="5"/>
  <c r="DL43" i="5" s="1"/>
  <c r="FI43" i="5"/>
  <c r="GZ49" i="5"/>
  <c r="AS48" i="5"/>
  <c r="CH49" i="5"/>
  <c r="DL49" i="5" s="1"/>
  <c r="FI49" i="5"/>
  <c r="GZ67" i="5"/>
  <c r="AS66" i="5"/>
  <c r="CH67" i="5"/>
  <c r="DL67" i="5" s="1"/>
  <c r="FI67" i="5"/>
  <c r="GZ77" i="5"/>
  <c r="AS76" i="5"/>
  <c r="CH77" i="5"/>
  <c r="DL77" i="5" s="1"/>
  <c r="FI77" i="5"/>
  <c r="GZ85" i="5"/>
  <c r="AS84" i="5"/>
  <c r="CH85" i="5"/>
  <c r="DL85" i="5" s="1"/>
  <c r="FI85" i="5"/>
  <c r="GZ33" i="5"/>
  <c r="AS32" i="5"/>
  <c r="CH33" i="5"/>
  <c r="DL33" i="5" s="1"/>
  <c r="FI33" i="5"/>
  <c r="GZ41" i="5"/>
  <c r="AS40" i="5"/>
  <c r="CH41" i="5"/>
  <c r="DL41" i="5" s="1"/>
  <c r="FI41" i="5"/>
  <c r="GZ73" i="5"/>
  <c r="AS72" i="5"/>
  <c r="CH73" i="5"/>
  <c r="DL73" i="5" s="1"/>
  <c r="FI73" i="5"/>
  <c r="HA86" i="5"/>
  <c r="AT85" i="5"/>
  <c r="CI86" i="5"/>
  <c r="DM86" i="5" s="1"/>
  <c r="FJ86" i="5"/>
  <c r="HE86" i="5"/>
  <c r="AX85" i="5"/>
  <c r="CM86" i="5"/>
  <c r="FN86" i="5"/>
  <c r="HY86" i="5" s="1"/>
  <c r="HH88" i="5"/>
  <c r="BA87" i="5"/>
  <c r="CP88" i="5"/>
  <c r="FQ88" i="5"/>
  <c r="IB88" i="5" s="1"/>
  <c r="IV88" i="5" s="1"/>
  <c r="JO88" i="5" s="1"/>
  <c r="HH95" i="5"/>
  <c r="BA94" i="5"/>
  <c r="CP95" i="5"/>
  <c r="FQ95" i="5"/>
  <c r="IB95" i="5" s="1"/>
  <c r="IV95" i="5" s="1"/>
  <c r="JO95" i="5" s="1"/>
  <c r="HH101" i="5"/>
  <c r="BA100" i="5"/>
  <c r="CP101" i="5"/>
  <c r="FQ101" i="5"/>
  <c r="IB101" i="5" s="1"/>
  <c r="IV101" i="5" s="1"/>
  <c r="JO101" i="5" s="1"/>
  <c r="HH112" i="5"/>
  <c r="BA111" i="5"/>
  <c r="CP112" i="5"/>
  <c r="FQ112" i="5"/>
  <c r="IB112" i="5" s="1"/>
  <c r="IV112" i="5" s="1"/>
  <c r="JO112" i="5" s="1"/>
  <c r="HB86" i="5"/>
  <c r="AU85" i="5"/>
  <c r="FX85" i="5"/>
  <c r="CJ86" i="5"/>
  <c r="FK86" i="5"/>
  <c r="HV86" i="5" s="1"/>
  <c r="DN87" i="5"/>
  <c r="HC86" i="5"/>
  <c r="AV85" i="5"/>
  <c r="CK86" i="5"/>
  <c r="FL86" i="5"/>
  <c r="HW86" i="5" s="1"/>
  <c r="HH87" i="5"/>
  <c r="BA86" i="5"/>
  <c r="CP87" i="5"/>
  <c r="FQ87" i="5"/>
  <c r="IB87" i="5" s="1"/>
  <c r="HH94" i="5"/>
  <c r="BA93" i="5"/>
  <c r="CP94" i="5"/>
  <c r="FQ94" i="5"/>
  <c r="IB94" i="5" s="1"/>
  <c r="IV94" i="5" s="1"/>
  <c r="JO94" i="5" s="1"/>
  <c r="HH100" i="5"/>
  <c r="BA99" i="5"/>
  <c r="CP100" i="5"/>
  <c r="FQ100" i="5"/>
  <c r="IB100" i="5" s="1"/>
  <c r="IV100" i="5" s="1"/>
  <c r="JO100" i="5" s="1"/>
  <c r="HH110" i="5"/>
  <c r="BA109" i="5"/>
  <c r="CP110" i="5"/>
  <c r="FQ110" i="5"/>
  <c r="IB110" i="5" s="1"/>
  <c r="IV110" i="5" s="1"/>
  <c r="JO110" i="5" s="1"/>
  <c r="GZ53" i="5"/>
  <c r="AS52" i="5"/>
  <c r="CH53" i="5"/>
  <c r="DL53" i="5" s="1"/>
  <c r="FI53" i="5"/>
  <c r="GZ57" i="5"/>
  <c r="AS56" i="5"/>
  <c r="CH57" i="5"/>
  <c r="DL57" i="5" s="1"/>
  <c r="FI57" i="5"/>
  <c r="GZ81" i="5"/>
  <c r="AS80" i="5"/>
  <c r="CH81" i="5"/>
  <c r="DL81" i="5" s="1"/>
  <c r="FI81" i="5"/>
  <c r="HG86" i="5"/>
  <c r="AZ85" i="5"/>
  <c r="CO86" i="5"/>
  <c r="FP86" i="5"/>
  <c r="IA86" i="5" s="1"/>
  <c r="HH90" i="5"/>
  <c r="BA89" i="5"/>
  <c r="CP90" i="5"/>
  <c r="FQ90" i="5"/>
  <c r="IB90" i="5" s="1"/>
  <c r="IV90" i="5" s="1"/>
  <c r="JO90" i="5" s="1"/>
  <c r="HH98" i="5"/>
  <c r="BA97" i="5"/>
  <c r="CP98" i="5"/>
  <c r="FQ98" i="5"/>
  <c r="IB98" i="5" s="1"/>
  <c r="IV98" i="5" s="1"/>
  <c r="JO98" i="5" s="1"/>
  <c r="HH107" i="5"/>
  <c r="BA106" i="5"/>
  <c r="CP107" i="5"/>
  <c r="FQ107" i="5"/>
  <c r="IB107" i="5" s="1"/>
  <c r="IV107" i="5" s="1"/>
  <c r="JO107" i="5" s="1"/>
  <c r="HH114" i="5"/>
  <c r="BA113" i="5"/>
  <c r="CP114" i="5"/>
  <c r="FQ114" i="5"/>
  <c r="IB114" i="5" s="1"/>
  <c r="IV114" i="5" s="1"/>
  <c r="JO114" i="5" s="1"/>
  <c r="KE29" i="5"/>
  <c r="P3" i="5" s="1"/>
  <c r="J15" i="5" s="1"/>
  <c r="KF29" i="5"/>
  <c r="Q3" i="5" s="1"/>
  <c r="GZ29" i="5"/>
  <c r="AS28" i="5"/>
  <c r="CH29" i="5"/>
  <c r="DL29" i="5" s="1"/>
  <c r="FI29" i="5"/>
  <c r="GZ34" i="5"/>
  <c r="AS33" i="5"/>
  <c r="CH34" i="5"/>
  <c r="DL34" i="5" s="1"/>
  <c r="FI34" i="5"/>
  <c r="GZ48" i="5"/>
  <c r="AS47" i="5"/>
  <c r="CH48" i="5"/>
  <c r="DL48" i="5" s="1"/>
  <c r="FI48" i="5"/>
  <c r="GZ54" i="5"/>
  <c r="AS53" i="5"/>
  <c r="CH54" i="5"/>
  <c r="DL54" i="5" s="1"/>
  <c r="FI54" i="5"/>
  <c r="GZ58" i="5"/>
  <c r="AS57" i="5"/>
  <c r="CH58" i="5"/>
  <c r="DL58" i="5" s="1"/>
  <c r="FI58" i="5"/>
  <c r="GZ70" i="5"/>
  <c r="AS69" i="5"/>
  <c r="CH70" i="5"/>
  <c r="DL70" i="5" s="1"/>
  <c r="FI70" i="5"/>
  <c r="GZ82" i="5"/>
  <c r="AS81" i="5"/>
  <c r="CH82" i="5"/>
  <c r="DL82" i="5" s="1"/>
  <c r="FI82" i="5"/>
  <c r="GZ30" i="5"/>
  <c r="AS29" i="5"/>
  <c r="CH30" i="5"/>
  <c r="DL30" i="5" s="1"/>
  <c r="FI30" i="5"/>
  <c r="GZ40" i="5"/>
  <c r="AS39" i="5"/>
  <c r="CH40" i="5"/>
  <c r="DL40" i="5" s="1"/>
  <c r="FI40" i="5"/>
  <c r="GZ44" i="5"/>
  <c r="AS43" i="5"/>
  <c r="CH44" i="5"/>
  <c r="DL44" i="5" s="1"/>
  <c r="FI44" i="5"/>
  <c r="GZ50" i="5"/>
  <c r="AS49" i="5"/>
  <c r="CH50" i="5"/>
  <c r="DL50" i="5" s="1"/>
  <c r="FI50" i="5"/>
  <c r="GZ64" i="5"/>
  <c r="AS63" i="5"/>
  <c r="CH64" i="5"/>
  <c r="DL64" i="5" s="1"/>
  <c r="FI64" i="5"/>
  <c r="GZ68" i="5"/>
  <c r="AS67" i="5"/>
  <c r="CH68" i="5"/>
  <c r="DL68" i="5" s="1"/>
  <c r="FI68" i="5"/>
  <c r="GZ76" i="5"/>
  <c r="AS75" i="5"/>
  <c r="CH76" i="5"/>
  <c r="DL76" i="5" s="1"/>
  <c r="FI76" i="5"/>
  <c r="GZ80" i="5"/>
  <c r="AS79" i="5"/>
  <c r="CH80" i="5"/>
  <c r="DL80" i="5" s="1"/>
  <c r="FI80" i="5"/>
  <c r="HG87" i="5"/>
  <c r="AZ86" i="5"/>
  <c r="CO87" i="5"/>
  <c r="FP87" i="5"/>
  <c r="IA87" i="5" s="1"/>
  <c r="IU87" i="5" s="1"/>
  <c r="JN87" i="5" s="1"/>
  <c r="HH91" i="5"/>
  <c r="BA90" i="5"/>
  <c r="CP91" i="5"/>
  <c r="FQ91" i="5"/>
  <c r="IB91" i="5" s="1"/>
  <c r="IV91" i="5" s="1"/>
  <c r="JO91" i="5" s="1"/>
  <c r="HH96" i="5"/>
  <c r="BA95" i="5"/>
  <c r="CP96" i="5"/>
  <c r="FQ96" i="5"/>
  <c r="IB96" i="5" s="1"/>
  <c r="IV96" i="5" s="1"/>
  <c r="JO96" i="5" s="1"/>
  <c r="HH99" i="5"/>
  <c r="BA98" i="5"/>
  <c r="CP99" i="5"/>
  <c r="FQ99" i="5"/>
  <c r="IB99" i="5" s="1"/>
  <c r="IV99" i="5" s="1"/>
  <c r="JO99" i="5" s="1"/>
  <c r="HH105" i="5"/>
  <c r="BA104" i="5"/>
  <c r="CP105" i="5"/>
  <c r="FQ105" i="5"/>
  <c r="IB105" i="5" s="1"/>
  <c r="IV105" i="5" s="1"/>
  <c r="JO105" i="5" s="1"/>
  <c r="HH108" i="5"/>
  <c r="BA107" i="5"/>
  <c r="CP108" i="5"/>
  <c r="FQ108" i="5"/>
  <c r="IB108" i="5" s="1"/>
  <c r="IV108" i="5" s="1"/>
  <c r="JO108" i="5" s="1"/>
  <c r="HH111" i="5"/>
  <c r="BA110" i="5"/>
  <c r="CP111" i="5"/>
  <c r="FQ111" i="5"/>
  <c r="IB111" i="5" s="1"/>
  <c r="IV111" i="5" s="1"/>
  <c r="JO111" i="5" s="1"/>
  <c r="HH116" i="5"/>
  <c r="BA115" i="5"/>
  <c r="CP116" i="5"/>
  <c r="FQ116" i="5"/>
  <c r="IB116" i="5" s="1"/>
  <c r="IV116" i="5" s="1"/>
  <c r="JO116" i="5" s="1"/>
  <c r="HH118" i="5"/>
  <c r="BA117" i="5"/>
  <c r="CP118" i="5"/>
  <c r="FQ118" i="5"/>
  <c r="IB118" i="5" s="1"/>
  <c r="IV118" i="5" s="1"/>
  <c r="GZ45" i="5"/>
  <c r="AS44" i="5"/>
  <c r="CH45" i="5"/>
  <c r="DL45" i="5" s="1"/>
  <c r="FI45" i="5"/>
  <c r="GZ69" i="5"/>
  <c r="AS68" i="5"/>
  <c r="CH69" i="5"/>
  <c r="DL69" i="5" s="1"/>
  <c r="FI69" i="5"/>
  <c r="HH119" i="5"/>
  <c r="IW119" i="5" s="1"/>
  <c r="JP119" i="5" s="1"/>
  <c r="BA118" i="5"/>
  <c r="CP119" i="5"/>
  <c r="FQ119" i="5"/>
  <c r="IB119" i="5" s="1"/>
  <c r="IV119" i="5" s="1"/>
  <c r="JO119" i="5" s="1"/>
  <c r="GZ51" i="5"/>
  <c r="AS50" i="5"/>
  <c r="CH51" i="5"/>
  <c r="DL51" i="5" s="1"/>
  <c r="FI51" i="5"/>
  <c r="GZ55" i="5"/>
  <c r="AS54" i="5"/>
  <c r="CH55" i="5"/>
  <c r="DL55" i="5" s="1"/>
  <c r="FI55" i="5"/>
  <c r="GZ59" i="5"/>
  <c r="AS58" i="5"/>
  <c r="CH59" i="5"/>
  <c r="DL59" i="5" s="1"/>
  <c r="FI59" i="5"/>
  <c r="GZ83" i="5"/>
  <c r="AS82" i="5"/>
  <c r="CH83" i="5"/>
  <c r="DL83" i="5" s="1"/>
  <c r="FI83" i="5"/>
  <c r="HH92" i="5"/>
  <c r="BA91" i="5"/>
  <c r="CP92" i="5"/>
  <c r="FQ92" i="5"/>
  <c r="IB92" i="5" s="1"/>
  <c r="IV92" i="5" s="1"/>
  <c r="JO92" i="5" s="1"/>
  <c r="HH104" i="5"/>
  <c r="BA103" i="5"/>
  <c r="CP104" i="5"/>
  <c r="FQ104" i="5"/>
  <c r="IB104" i="5" s="1"/>
  <c r="IV104" i="5" s="1"/>
  <c r="JO104" i="5" s="1"/>
  <c r="HH106" i="5"/>
  <c r="BA105" i="5"/>
  <c r="CP106" i="5"/>
  <c r="FQ106" i="5"/>
  <c r="IB106" i="5" s="1"/>
  <c r="IV106" i="5" s="1"/>
  <c r="JO106" i="5" s="1"/>
  <c r="HH117" i="5"/>
  <c r="BA116" i="5"/>
  <c r="CP117" i="5"/>
  <c r="FQ117" i="5"/>
  <c r="IB117" i="5" s="1"/>
  <c r="IV117" i="5" s="1"/>
  <c r="JO117" i="5" s="1"/>
  <c r="GZ28" i="5"/>
  <c r="CH28" i="5"/>
  <c r="DL28" i="5" s="1"/>
  <c r="FI28" i="5"/>
  <c r="GZ32" i="5"/>
  <c r="AS31" i="5"/>
  <c r="CH32" i="5"/>
  <c r="DL32" i="5" s="1"/>
  <c r="FI32" i="5"/>
  <c r="GZ38" i="5"/>
  <c r="AS37" i="5"/>
  <c r="CH38" i="5"/>
  <c r="DL38" i="5" s="1"/>
  <c r="FI38" i="5"/>
  <c r="GZ52" i="5"/>
  <c r="AS51" i="5"/>
  <c r="CH52" i="5"/>
  <c r="DL52" i="5" s="1"/>
  <c r="FI52" i="5"/>
  <c r="GZ56" i="5"/>
  <c r="AS55" i="5"/>
  <c r="CH56" i="5"/>
  <c r="DL56" i="5" s="1"/>
  <c r="FI56" i="5"/>
  <c r="GZ60" i="5"/>
  <c r="AS59" i="5"/>
  <c r="CH60" i="5"/>
  <c r="DL60" i="5" s="1"/>
  <c r="FI60" i="5"/>
  <c r="GZ74" i="5"/>
  <c r="AS73" i="5"/>
  <c r="CH74" i="5"/>
  <c r="DL74" i="5" s="1"/>
  <c r="FI74" i="5"/>
  <c r="GZ86" i="5"/>
  <c r="AS85" i="5"/>
  <c r="CH86" i="5"/>
  <c r="DL86" i="5" s="1"/>
  <c r="FI86" i="5"/>
  <c r="GZ36" i="5"/>
  <c r="AS35" i="5"/>
  <c r="CH36" i="5"/>
  <c r="DL36" i="5" s="1"/>
  <c r="FI36" i="5"/>
  <c r="GZ42" i="5"/>
  <c r="AS41" i="5"/>
  <c r="CH42" i="5"/>
  <c r="DL42" i="5" s="1"/>
  <c r="FI42" i="5"/>
  <c r="GZ46" i="5"/>
  <c r="AS45" i="5"/>
  <c r="CH46" i="5"/>
  <c r="DL46" i="5" s="1"/>
  <c r="FI46" i="5"/>
  <c r="GZ62" i="5"/>
  <c r="AS61" i="5"/>
  <c r="CH62" i="5"/>
  <c r="DL62" i="5" s="1"/>
  <c r="FI62" i="5"/>
  <c r="GZ66" i="5"/>
  <c r="AS65" i="5"/>
  <c r="CH66" i="5"/>
  <c r="DL66" i="5" s="1"/>
  <c r="FI66" i="5"/>
  <c r="GZ72" i="5"/>
  <c r="AS71" i="5"/>
  <c r="CH72" i="5"/>
  <c r="DL72" i="5" s="1"/>
  <c r="FI72" i="5"/>
  <c r="GZ78" i="5"/>
  <c r="AS77" i="5"/>
  <c r="CH78" i="5"/>
  <c r="DL78" i="5" s="1"/>
  <c r="FI78" i="5"/>
  <c r="GZ84" i="5"/>
  <c r="AS83" i="5"/>
  <c r="CH84" i="5"/>
  <c r="DL84" i="5" s="1"/>
  <c r="FI84" i="5"/>
  <c r="HH89" i="5"/>
  <c r="BA88" i="5"/>
  <c r="CP89" i="5"/>
  <c r="FQ89" i="5"/>
  <c r="IB89" i="5" s="1"/>
  <c r="IV89" i="5" s="1"/>
  <c r="JO89" i="5" s="1"/>
  <c r="HH93" i="5"/>
  <c r="BA92" i="5"/>
  <c r="CP93" i="5"/>
  <c r="FQ93" i="5"/>
  <c r="IB93" i="5" s="1"/>
  <c r="IV93" i="5" s="1"/>
  <c r="JO93" i="5" s="1"/>
  <c r="HH97" i="5"/>
  <c r="BA96" i="5"/>
  <c r="CP97" i="5"/>
  <c r="FQ97" i="5"/>
  <c r="IB97" i="5" s="1"/>
  <c r="IV97" i="5" s="1"/>
  <c r="JO97" i="5" s="1"/>
  <c r="HH102" i="5"/>
  <c r="BA101" i="5"/>
  <c r="CP102" i="5"/>
  <c r="FQ102" i="5"/>
  <c r="IB102" i="5" s="1"/>
  <c r="IV102" i="5" s="1"/>
  <c r="JO102" i="5" s="1"/>
  <c r="HH103" i="5"/>
  <c r="BA102" i="5"/>
  <c r="CP103" i="5"/>
  <c r="FQ103" i="5"/>
  <c r="IB103" i="5" s="1"/>
  <c r="IV103" i="5" s="1"/>
  <c r="JO103" i="5" s="1"/>
  <c r="HH109" i="5"/>
  <c r="BA108" i="5"/>
  <c r="CP109" i="5"/>
  <c r="FQ109" i="5"/>
  <c r="IB109" i="5" s="1"/>
  <c r="IV109" i="5" s="1"/>
  <c r="JO109" i="5" s="1"/>
  <c r="HH113" i="5"/>
  <c r="BA112" i="5"/>
  <c r="CP113" i="5"/>
  <c r="FQ113" i="5"/>
  <c r="IB113" i="5" s="1"/>
  <c r="IV113" i="5" s="1"/>
  <c r="JO113" i="5" s="1"/>
  <c r="HH115" i="5"/>
  <c r="BA114" i="5"/>
  <c r="CP115" i="5"/>
  <c r="FQ115" i="5"/>
  <c r="IB115" i="5" s="1"/>
  <c r="IV115" i="5" s="1"/>
  <c r="JO115" i="5" s="1"/>
  <c r="GZ39" i="5"/>
  <c r="AS38" i="5"/>
  <c r="CH39" i="5"/>
  <c r="DL39" i="5" s="1"/>
  <c r="FI39" i="5"/>
  <c r="GZ47" i="5"/>
  <c r="AS46" i="5"/>
  <c r="CH47" i="5"/>
  <c r="DL47" i="5" s="1"/>
  <c r="FI47" i="5"/>
  <c r="GZ61" i="5"/>
  <c r="AS60" i="5"/>
  <c r="CH61" i="5"/>
  <c r="DL61" i="5" s="1"/>
  <c r="FI61" i="5"/>
  <c r="GZ75" i="5"/>
  <c r="AS74" i="5"/>
  <c r="CH75" i="5"/>
  <c r="DL75" i="5" s="1"/>
  <c r="FI75" i="5"/>
  <c r="GZ79" i="5"/>
  <c r="AS78" i="5"/>
  <c r="CH79" i="5"/>
  <c r="DL79" i="5" s="1"/>
  <c r="FI79" i="5"/>
  <c r="GZ31" i="5"/>
  <c r="AS30" i="5"/>
  <c r="CH31" i="5"/>
  <c r="DL31" i="5" s="1"/>
  <c r="FI31" i="5"/>
  <c r="GZ37" i="5"/>
  <c r="AS36" i="5"/>
  <c r="CH37" i="5"/>
  <c r="DL37" i="5" s="1"/>
  <c r="FI37" i="5"/>
  <c r="GZ65" i="5"/>
  <c r="AS64" i="5"/>
  <c r="CH65" i="5"/>
  <c r="DL65" i="5" s="1"/>
  <c r="FI65" i="5"/>
  <c r="HF86" i="5"/>
  <c r="AY85" i="5"/>
  <c r="CN86" i="5"/>
  <c r="FO86" i="5"/>
  <c r="HZ86" i="5" s="1"/>
  <c r="IT86" i="5" s="1"/>
  <c r="JM86" i="5" s="1"/>
  <c r="HD86" i="5"/>
  <c r="AW85" i="5"/>
  <c r="CL86" i="5"/>
  <c r="FM86" i="5"/>
  <c r="HX86" i="5" s="1"/>
  <c r="IR86" i="5" s="1"/>
  <c r="JK86" i="5" s="1"/>
  <c r="GZ63" i="5"/>
  <c r="AS62" i="5"/>
  <c r="CH63" i="5"/>
  <c r="DL63" i="5" s="1"/>
  <c r="FI63" i="5"/>
  <c r="GZ71" i="5"/>
  <c r="AS70" i="5"/>
  <c r="CH71" i="5"/>
  <c r="DL71" i="5" s="1"/>
  <c r="FI71" i="5"/>
  <c r="KF28" i="5"/>
  <c r="Q2" i="5" s="1"/>
  <c r="KE28" i="5"/>
  <c r="DT81" i="5"/>
  <c r="EN82" i="5"/>
  <c r="DT47" i="5"/>
  <c r="EN48" i="5"/>
  <c r="DT49" i="5"/>
  <c r="EN50" i="5"/>
  <c r="EN49" i="5"/>
  <c r="HT49" i="5" s="1"/>
  <c r="IN49" i="5" s="1"/>
  <c r="JG49" i="5" s="1"/>
  <c r="DT48" i="5"/>
  <c r="DS41" i="5"/>
  <c r="EM42" i="5"/>
  <c r="HS42" i="5" s="1"/>
  <c r="IM42" i="5" s="1"/>
  <c r="JF42" i="5" s="1"/>
  <c r="EN79" i="5"/>
  <c r="DT78" i="5"/>
  <c r="DT32" i="5"/>
  <c r="EN33" i="5"/>
  <c r="DT52" i="5"/>
  <c r="EN53" i="5"/>
  <c r="DE125" i="5"/>
  <c r="DN125" i="5" s="1"/>
  <c r="DM126" i="5"/>
  <c r="DR37" i="5"/>
  <c r="EL38" i="5"/>
  <c r="HR38" i="5" s="1"/>
  <c r="IL38" i="5" s="1"/>
  <c r="JE38" i="5" s="1"/>
  <c r="EL86" i="5"/>
  <c r="HR86" i="5" s="1"/>
  <c r="IL86" i="5" s="1"/>
  <c r="JE86" i="5" s="1"/>
  <c r="DR85" i="5"/>
  <c r="DS64" i="5"/>
  <c r="EM65" i="5"/>
  <c r="HS65" i="5" s="1"/>
  <c r="IM65" i="5" s="1"/>
  <c r="JF65" i="5" s="1"/>
  <c r="DT34" i="5"/>
  <c r="EN35" i="5"/>
  <c r="EN39" i="5"/>
  <c r="DT38" i="5"/>
  <c r="DT57" i="5"/>
  <c r="EN58" i="5"/>
  <c r="EN73" i="5"/>
  <c r="HT73" i="5" s="1"/>
  <c r="IN73" i="5" s="1"/>
  <c r="JG73" i="5" s="1"/>
  <c r="DT72" i="5"/>
  <c r="EN77" i="5"/>
  <c r="DT76" i="5"/>
  <c r="DT82" i="5"/>
  <c r="EN83" i="5"/>
  <c r="DT58" i="5"/>
  <c r="EN59" i="5"/>
  <c r="DT64" i="5"/>
  <c r="EN65" i="5"/>
  <c r="HT65" i="5" s="1"/>
  <c r="IN65" i="5" s="1"/>
  <c r="JG65" i="5" s="1"/>
  <c r="DT70" i="5"/>
  <c r="EN71" i="5"/>
  <c r="HT71" i="5" s="1"/>
  <c r="IN71" i="5" s="1"/>
  <c r="JG71" i="5" s="1"/>
  <c r="DT62" i="5"/>
  <c r="EN63" i="5"/>
  <c r="HT63" i="5" s="1"/>
  <c r="IN63" i="5" s="1"/>
  <c r="JG63" i="5" s="1"/>
  <c r="DT66" i="5"/>
  <c r="EN67" i="5"/>
  <c r="DR61" i="5"/>
  <c r="EL62" i="5"/>
  <c r="HR62" i="5" s="1"/>
  <c r="IL62" i="5" s="1"/>
  <c r="JE62" i="5" s="1"/>
  <c r="EL46" i="5"/>
  <c r="HR46" i="5" s="1"/>
  <c r="IL46" i="5" s="1"/>
  <c r="JE46" i="5" s="1"/>
  <c r="DR45" i="5"/>
  <c r="DR31" i="5"/>
  <c r="EL32" i="5"/>
  <c r="HR32" i="5" s="1"/>
  <c r="IL32" i="5" s="1"/>
  <c r="JE32" i="5" s="1"/>
  <c r="EN31" i="5"/>
  <c r="DT30" i="5"/>
  <c r="DT50" i="5"/>
  <c r="EN51" i="5"/>
  <c r="DT28" i="5"/>
  <c r="EN29" i="5"/>
  <c r="DT33" i="5"/>
  <c r="EN34" i="5"/>
  <c r="DT36" i="5"/>
  <c r="EN37" i="5"/>
  <c r="HT37" i="5" s="1"/>
  <c r="IN37" i="5" s="1"/>
  <c r="JG37" i="5" s="1"/>
  <c r="DT71" i="5"/>
  <c r="EN72" i="5"/>
  <c r="HT72" i="5" s="1"/>
  <c r="IN72" i="5" s="1"/>
  <c r="JG72" i="5" s="1"/>
  <c r="DR77" i="5"/>
  <c r="EL78" i="5"/>
  <c r="HR78" i="5" s="1"/>
  <c r="IL78" i="5" s="1"/>
  <c r="JE78" i="5" s="1"/>
  <c r="DR63" i="5"/>
  <c r="EL64" i="5"/>
  <c r="HR64" i="5" s="1"/>
  <c r="IL64" i="5" s="1"/>
  <c r="JE64" i="5" s="1"/>
  <c r="DR69" i="5"/>
  <c r="EL70" i="5"/>
  <c r="HR70" i="5" s="1"/>
  <c r="IL70" i="5" s="1"/>
  <c r="JE70" i="5" s="1"/>
  <c r="KE30" i="5" s="1"/>
  <c r="P4" i="5" s="1"/>
  <c r="J16" i="5" s="1"/>
  <c r="DT31" i="5"/>
  <c r="EN32" i="5"/>
  <c r="HT32" i="5" s="1"/>
  <c r="IN32" i="5" s="1"/>
  <c r="JG32" i="5" s="1"/>
  <c r="DT44" i="5"/>
  <c r="EN45" i="5"/>
  <c r="DT60" i="5"/>
  <c r="EN61" i="5"/>
  <c r="HT61" i="5" s="1"/>
  <c r="IN61" i="5" s="1"/>
  <c r="JG61" i="5" s="1"/>
  <c r="DT68" i="5"/>
  <c r="EN69" i="5"/>
  <c r="DT73" i="5"/>
  <c r="EN74" i="5"/>
  <c r="HT74" i="5" s="1"/>
  <c r="IN74" i="5" s="1"/>
  <c r="JG74" i="5" s="1"/>
  <c r="DT41" i="5"/>
  <c r="EN42" i="5"/>
  <c r="HT42" i="5" s="1"/>
  <c r="IN42" i="5" s="1"/>
  <c r="JG42" i="5" s="1"/>
  <c r="EL54" i="5"/>
  <c r="HR54" i="5" s="1"/>
  <c r="IL54" i="5" s="1"/>
  <c r="JE54" i="5" s="1"/>
  <c r="DR53" i="5"/>
  <c r="EN47" i="5"/>
  <c r="DT46" i="5"/>
  <c r="EL30" i="5"/>
  <c r="HR30" i="5" s="1"/>
  <c r="IL30" i="5" s="1"/>
  <c r="JE30" i="5" s="1"/>
  <c r="DR29" i="5"/>
  <c r="DT69" i="5"/>
  <c r="EN70" i="5"/>
  <c r="EN85" i="5"/>
  <c r="HT85" i="5" s="1"/>
  <c r="IN85" i="5" s="1"/>
  <c r="JG85" i="5" s="1"/>
  <c r="DT84" i="5"/>
  <c r="DT65" i="5"/>
  <c r="EN66" i="5"/>
  <c r="HT66" i="5" s="1"/>
  <c r="IN66" i="5" s="1"/>
  <c r="JG66" i="5" s="1"/>
  <c r="DT86" i="5"/>
  <c r="EN87" i="5"/>
  <c r="HT87" i="5" s="1"/>
  <c r="IN87" i="5" s="1"/>
  <c r="JG87" i="5" s="1"/>
  <c r="DT80" i="5"/>
  <c r="EN81" i="5"/>
  <c r="EN80" i="5"/>
  <c r="DT79" i="5"/>
  <c r="EL80" i="5"/>
  <c r="HR80" i="5" s="1"/>
  <c r="IL80" i="5" s="1"/>
  <c r="JE80" i="5" s="1"/>
  <c r="DR79" i="5"/>
  <c r="DT45" i="5"/>
  <c r="EN46" i="5"/>
  <c r="HT46" i="5" s="1"/>
  <c r="IN46" i="5" s="1"/>
  <c r="JG46" i="5" s="1"/>
  <c r="EN57" i="5"/>
  <c r="HT57" i="5" s="1"/>
  <c r="IN57" i="5" s="1"/>
  <c r="JG57" i="5" s="1"/>
  <c r="DT56" i="5"/>
  <c r="EN54" i="5"/>
  <c r="HT54" i="5" s="1"/>
  <c r="IN54" i="5" s="1"/>
  <c r="JG54" i="5" s="1"/>
  <c r="DT53" i="5"/>
  <c r="DR87" i="5"/>
  <c r="EL88" i="5"/>
  <c r="HR88" i="5" s="1"/>
  <c r="IL88" i="5" s="1"/>
  <c r="JE88" i="5" s="1"/>
  <c r="DT37" i="5"/>
  <c r="EN38" i="5"/>
  <c r="HT38" i="5" s="1"/>
  <c r="IN38" i="5" s="1"/>
  <c r="JG38" i="5" s="1"/>
  <c r="DT74" i="5"/>
  <c r="EN75" i="5"/>
  <c r="HT75" i="5" s="1"/>
  <c r="IN75" i="5" s="1"/>
  <c r="JG75" i="5" s="1"/>
  <c r="EN55" i="5"/>
  <c r="DT54" i="5"/>
  <c r="EN43" i="5"/>
  <c r="DT42" i="5"/>
  <c r="DT39" i="5"/>
  <c r="EN40" i="5"/>
  <c r="DT55" i="5"/>
  <c r="EN56" i="5"/>
  <c r="HT56" i="5" s="1"/>
  <c r="IN56" i="5" s="1"/>
  <c r="JG56" i="5" s="1"/>
  <c r="AJ68" i="5"/>
  <c r="AK68" i="5" s="1"/>
  <c r="B7" i="5" s="1"/>
  <c r="M102" i="7"/>
  <c r="D103" i="7"/>
  <c r="N102" i="7"/>
  <c r="C102" i="7"/>
  <c r="I102" i="7" s="1"/>
  <c r="E102" i="7"/>
  <c r="H102" i="7" s="1"/>
  <c r="G102" i="7"/>
  <c r="B102" i="7"/>
  <c r="F102" i="7" s="1"/>
  <c r="K103" i="7"/>
  <c r="L103" i="7" s="1"/>
  <c r="J104" i="7"/>
  <c r="KF30" i="5" l="1"/>
  <c r="Q4" i="5" s="1"/>
  <c r="HT40" i="5"/>
  <c r="IN40" i="5" s="1"/>
  <c r="JG40" i="5" s="1"/>
  <c r="HT81" i="5"/>
  <c r="IN81" i="5" s="1"/>
  <c r="JG81" i="5" s="1"/>
  <c r="HT70" i="5"/>
  <c r="IN70" i="5" s="1"/>
  <c r="JG70" i="5" s="1"/>
  <c r="HT69" i="5"/>
  <c r="IN69" i="5" s="1"/>
  <c r="JG69" i="5" s="1"/>
  <c r="HT45" i="5"/>
  <c r="IN45" i="5" s="1"/>
  <c r="JG45" i="5" s="1"/>
  <c r="HT34" i="5"/>
  <c r="IN34" i="5" s="1"/>
  <c r="JG34" i="5" s="1"/>
  <c r="HT29" i="5"/>
  <c r="IN29" i="5" s="1"/>
  <c r="JG29" i="5" s="1"/>
  <c r="HT51" i="5"/>
  <c r="IN51" i="5" s="1"/>
  <c r="JG51" i="5" s="1"/>
  <c r="HT67" i="5"/>
  <c r="IN67" i="5" s="1"/>
  <c r="JG67" i="5" s="1"/>
  <c r="HT59" i="5"/>
  <c r="IN59" i="5" s="1"/>
  <c r="JG59" i="5" s="1"/>
  <c r="HT83" i="5"/>
  <c r="IN83" i="5" s="1"/>
  <c r="JG83" i="5" s="1"/>
  <c r="HT58" i="5"/>
  <c r="IN58" i="5" s="1"/>
  <c r="JG58" i="5" s="1"/>
  <c r="HT35" i="5"/>
  <c r="IN35" i="5" s="1"/>
  <c r="JG35" i="5" s="1"/>
  <c r="HT53" i="5"/>
  <c r="IN53" i="5" s="1"/>
  <c r="JG53" i="5" s="1"/>
  <c r="HT33" i="5"/>
  <c r="IN33" i="5" s="1"/>
  <c r="JG33" i="5" s="1"/>
  <c r="HT50" i="5"/>
  <c r="IN50" i="5" s="1"/>
  <c r="JG50" i="5" s="1"/>
  <c r="HT48" i="5"/>
  <c r="IN48" i="5" s="1"/>
  <c r="JG48" i="5" s="1"/>
  <c r="HT82" i="5"/>
  <c r="IN82" i="5" s="1"/>
  <c r="JG82" i="5" s="1"/>
  <c r="HT47" i="5"/>
  <c r="IN47" i="5" s="1"/>
  <c r="JG47" i="5" s="1"/>
  <c r="HT31" i="5"/>
  <c r="IN31" i="5" s="1"/>
  <c r="JG31" i="5" s="1"/>
  <c r="JO118" i="5"/>
  <c r="IU86" i="5"/>
  <c r="JN86" i="5" s="1"/>
  <c r="IV87" i="5"/>
  <c r="JO87" i="5" s="1"/>
  <c r="JJ124" i="5"/>
  <c r="JI124" i="5"/>
  <c r="JV124" i="5"/>
  <c r="JW124" i="5"/>
  <c r="JK124" i="5"/>
  <c r="JO124" i="5"/>
  <c r="JS124" i="5"/>
  <c r="JN124" i="5"/>
  <c r="JR124" i="5"/>
  <c r="JM124" i="5"/>
  <c r="JQ124" i="5"/>
  <c r="JU124" i="5"/>
  <c r="JL124" i="5"/>
  <c r="JP124" i="5"/>
  <c r="JT124" i="5"/>
  <c r="JI121" i="5"/>
  <c r="JJ121" i="5"/>
  <c r="JV121" i="5"/>
  <c r="JW121" i="5"/>
  <c r="JO121" i="5"/>
  <c r="JS121" i="5"/>
  <c r="JR121" i="5"/>
  <c r="JL121" i="5"/>
  <c r="JQ121" i="5"/>
  <c r="JU121" i="5"/>
  <c r="JK121" i="5"/>
  <c r="JP121" i="5"/>
  <c r="JT121" i="5"/>
  <c r="JM121" i="5"/>
  <c r="JN121" i="5"/>
  <c r="JI115" i="5"/>
  <c r="JJ115" i="5"/>
  <c r="JW115" i="5"/>
  <c r="JV115" i="5"/>
  <c r="JL115" i="5"/>
  <c r="JK115" i="5"/>
  <c r="JU115" i="5"/>
  <c r="JM115" i="5"/>
  <c r="JJ118" i="5"/>
  <c r="JI118" i="5"/>
  <c r="JV118" i="5"/>
  <c r="JW118" i="5"/>
  <c r="JL118" i="5"/>
  <c r="JT118" i="5"/>
  <c r="JU118" i="5"/>
  <c r="JR118" i="5"/>
  <c r="JK118" i="5"/>
  <c r="JS118" i="5"/>
  <c r="JM118" i="5"/>
  <c r="JN118" i="5"/>
  <c r="AJ118" i="5"/>
  <c r="AK118" i="5" s="1"/>
  <c r="HT43" i="5"/>
  <c r="IN43" i="5" s="1"/>
  <c r="JG43" i="5" s="1"/>
  <c r="HT55" i="5"/>
  <c r="IN55" i="5" s="1"/>
  <c r="JG55" i="5" s="1"/>
  <c r="HT80" i="5"/>
  <c r="IN80" i="5" s="1"/>
  <c r="JG80" i="5" s="1"/>
  <c r="HT77" i="5"/>
  <c r="IN77" i="5" s="1"/>
  <c r="JG77" i="5" s="1"/>
  <c r="HT39" i="5"/>
  <c r="IN39" i="5" s="1"/>
  <c r="JG39" i="5" s="1"/>
  <c r="IP86" i="5"/>
  <c r="JI86" i="5" s="1"/>
  <c r="HT79" i="5"/>
  <c r="IN79" i="5" s="1"/>
  <c r="JG79" i="5" s="1"/>
  <c r="IQ86" i="5"/>
  <c r="JJ86" i="5" s="1"/>
  <c r="IS86" i="5"/>
  <c r="JL86" i="5" s="1"/>
  <c r="JZ124" i="5"/>
  <c r="AJ124" i="5"/>
  <c r="AK124" i="5" s="1"/>
  <c r="AJ115" i="5"/>
  <c r="AK115" i="5" s="1"/>
  <c r="JZ115" i="5"/>
  <c r="JZ121" i="5"/>
  <c r="AJ121" i="5"/>
  <c r="AK121" i="5" s="1"/>
  <c r="JZ118" i="5"/>
  <c r="EO28" i="5"/>
  <c r="HA70" i="5"/>
  <c r="AT69" i="5"/>
  <c r="CI70" i="5"/>
  <c r="DM70" i="5" s="1"/>
  <c r="FJ70" i="5"/>
  <c r="HE85" i="5"/>
  <c r="AX84" i="5"/>
  <c r="CM85" i="5"/>
  <c r="FN85" i="5"/>
  <c r="HY85" i="5" s="1"/>
  <c r="HA64" i="5"/>
  <c r="AT63" i="5"/>
  <c r="CI64" i="5"/>
  <c r="DM64" i="5" s="1"/>
  <c r="FJ64" i="5"/>
  <c r="HA30" i="5"/>
  <c r="AT29" i="5"/>
  <c r="CI30" i="5"/>
  <c r="DM30" i="5" s="1"/>
  <c r="FJ30" i="5"/>
  <c r="HA74" i="5"/>
  <c r="AT73" i="5"/>
  <c r="CI74" i="5"/>
  <c r="DM74" i="5" s="1"/>
  <c r="FJ74" i="5"/>
  <c r="HA46" i="5"/>
  <c r="AT45" i="5"/>
  <c r="CI46" i="5"/>
  <c r="DM46" i="5" s="1"/>
  <c r="FJ46" i="5"/>
  <c r="HI114" i="5"/>
  <c r="BB113" i="5"/>
  <c r="CQ114" i="5"/>
  <c r="FR114" i="5"/>
  <c r="IC114" i="5" s="1"/>
  <c r="IW114" i="5" s="1"/>
  <c r="JP114" i="5" s="1"/>
  <c r="HI112" i="5"/>
  <c r="BB111" i="5"/>
  <c r="CQ112" i="5"/>
  <c r="FR112" i="5"/>
  <c r="IC112" i="5" s="1"/>
  <c r="IW112" i="5" s="1"/>
  <c r="JP112" i="5" s="1"/>
  <c r="HI108" i="5"/>
  <c r="BB107" i="5"/>
  <c r="CQ108" i="5"/>
  <c r="FR108" i="5"/>
  <c r="IC108" i="5" s="1"/>
  <c r="IW108" i="5" s="1"/>
  <c r="JP108" i="5" s="1"/>
  <c r="HI102" i="5"/>
  <c r="BB101" i="5"/>
  <c r="CQ102" i="5"/>
  <c r="FR102" i="5"/>
  <c r="IC102" i="5" s="1"/>
  <c r="IW102" i="5" s="1"/>
  <c r="JP102" i="5" s="1"/>
  <c r="HI101" i="5"/>
  <c r="BB100" i="5"/>
  <c r="CQ101" i="5"/>
  <c r="FR101" i="5"/>
  <c r="IC101" i="5" s="1"/>
  <c r="IW101" i="5" s="1"/>
  <c r="JP101" i="5" s="1"/>
  <c r="HI96" i="5"/>
  <c r="BB95" i="5"/>
  <c r="CQ96" i="5"/>
  <c r="FR96" i="5"/>
  <c r="IC96" i="5" s="1"/>
  <c r="IW96" i="5" s="1"/>
  <c r="JP96" i="5" s="1"/>
  <c r="HI92" i="5"/>
  <c r="BB91" i="5"/>
  <c r="CQ92" i="5"/>
  <c r="FR92" i="5"/>
  <c r="IC92" i="5" s="1"/>
  <c r="IW92" i="5" s="1"/>
  <c r="JP92" i="5" s="1"/>
  <c r="HI88" i="5"/>
  <c r="BB87" i="5"/>
  <c r="CQ88" i="5"/>
  <c r="FR88" i="5"/>
  <c r="IC88" i="5" s="1"/>
  <c r="IW88" i="5" s="1"/>
  <c r="JP88" i="5" s="1"/>
  <c r="HA83" i="5"/>
  <c r="AT82" i="5"/>
  <c r="CI83" i="5"/>
  <c r="DM83" i="5" s="1"/>
  <c r="FJ83" i="5"/>
  <c r="HA71" i="5"/>
  <c r="AT70" i="5"/>
  <c r="CI71" i="5"/>
  <c r="DM71" i="5" s="1"/>
  <c r="FJ71" i="5"/>
  <c r="HA61" i="5"/>
  <c r="AT60" i="5"/>
  <c r="CI61" i="5"/>
  <c r="DM61" i="5" s="1"/>
  <c r="FJ61" i="5"/>
  <c r="HA41" i="5"/>
  <c r="AT40" i="5"/>
  <c r="CI41" i="5"/>
  <c r="DM41" i="5" s="1"/>
  <c r="FJ41" i="5"/>
  <c r="HA85" i="5"/>
  <c r="AT84" i="5"/>
  <c r="CI85" i="5"/>
  <c r="DM85" i="5" s="1"/>
  <c r="FJ85" i="5"/>
  <c r="HA59" i="5"/>
  <c r="AT58" i="5"/>
  <c r="CI59" i="5"/>
  <c r="DM59" i="5" s="1"/>
  <c r="FJ59" i="5"/>
  <c r="HA51" i="5"/>
  <c r="AT50" i="5"/>
  <c r="CI51" i="5"/>
  <c r="DM51" i="5" s="1"/>
  <c r="FJ51" i="5"/>
  <c r="HA31" i="5"/>
  <c r="AT30" i="5"/>
  <c r="CI31" i="5"/>
  <c r="DM31" i="5" s="1"/>
  <c r="FJ31" i="5"/>
  <c r="HA58" i="5"/>
  <c r="AT57" i="5"/>
  <c r="CI58" i="5"/>
  <c r="DM58" i="5" s="1"/>
  <c r="FJ58" i="5"/>
  <c r="HA50" i="5"/>
  <c r="AT49" i="5"/>
  <c r="CI50" i="5"/>
  <c r="DM50" i="5" s="1"/>
  <c r="FJ50" i="5"/>
  <c r="HA44" i="5"/>
  <c r="AT43" i="5"/>
  <c r="CI44" i="5"/>
  <c r="DM44" i="5" s="1"/>
  <c r="FJ44" i="5"/>
  <c r="HA75" i="5"/>
  <c r="AT74" i="5"/>
  <c r="CI75" i="5"/>
  <c r="DM75" i="5" s="1"/>
  <c r="FJ75" i="5"/>
  <c r="HA63" i="5"/>
  <c r="AT62" i="5"/>
  <c r="CI63" i="5"/>
  <c r="DM63" i="5" s="1"/>
  <c r="FJ63" i="5"/>
  <c r="HA43" i="5"/>
  <c r="AT42" i="5"/>
  <c r="CI43" i="5"/>
  <c r="DM43" i="5" s="1"/>
  <c r="FJ43" i="5"/>
  <c r="HA29" i="5"/>
  <c r="AT28" i="5"/>
  <c r="CI29" i="5"/>
  <c r="DM29" i="5" s="1"/>
  <c r="FJ29" i="5"/>
  <c r="HA69" i="5"/>
  <c r="AT68" i="5"/>
  <c r="CI69" i="5"/>
  <c r="DM69" i="5" s="1"/>
  <c r="FJ69" i="5"/>
  <c r="HA53" i="5"/>
  <c r="AT52" i="5"/>
  <c r="CI53" i="5"/>
  <c r="DM53" i="5" s="1"/>
  <c r="FJ53" i="5"/>
  <c r="HA33" i="5"/>
  <c r="AT32" i="5"/>
  <c r="CI33" i="5"/>
  <c r="DM33" i="5" s="1"/>
  <c r="FJ33" i="5"/>
  <c r="HI113" i="5"/>
  <c r="BB112" i="5"/>
  <c r="CQ113" i="5"/>
  <c r="FR113" i="5"/>
  <c r="IC113" i="5" s="1"/>
  <c r="IW113" i="5" s="1"/>
  <c r="JP113" i="5" s="1"/>
  <c r="HI106" i="5"/>
  <c r="BB105" i="5"/>
  <c r="CQ106" i="5"/>
  <c r="FR106" i="5"/>
  <c r="IC106" i="5" s="1"/>
  <c r="IW106" i="5" s="1"/>
  <c r="JP106" i="5" s="1"/>
  <c r="HI97" i="5"/>
  <c r="BB96" i="5"/>
  <c r="CQ97" i="5"/>
  <c r="FR97" i="5"/>
  <c r="IC97" i="5" s="1"/>
  <c r="IW97" i="5" s="1"/>
  <c r="JP97" i="5" s="1"/>
  <c r="HI89" i="5"/>
  <c r="BB88" i="5"/>
  <c r="CQ89" i="5"/>
  <c r="FR89" i="5"/>
  <c r="IC89" i="5" s="1"/>
  <c r="IW89" i="5" s="1"/>
  <c r="JP89" i="5" s="1"/>
  <c r="HA80" i="5"/>
  <c r="AT79" i="5"/>
  <c r="CI80" i="5"/>
  <c r="DM80" i="5" s="1"/>
  <c r="FJ80" i="5"/>
  <c r="HA52" i="5"/>
  <c r="AT51" i="5"/>
  <c r="CI52" i="5"/>
  <c r="DM52" i="5" s="1"/>
  <c r="FJ52" i="5"/>
  <c r="HD85" i="5"/>
  <c r="AW84" i="5"/>
  <c r="CL85" i="5"/>
  <c r="FM85" i="5"/>
  <c r="HX85" i="5" s="1"/>
  <c r="DN86" i="5"/>
  <c r="HC85" i="5"/>
  <c r="AV84" i="5"/>
  <c r="CK85" i="5"/>
  <c r="FL85" i="5"/>
  <c r="HW85" i="5" s="1"/>
  <c r="HA72" i="5"/>
  <c r="AT71" i="5"/>
  <c r="CI72" i="5"/>
  <c r="DM72" i="5" s="1"/>
  <c r="FJ72" i="5"/>
  <c r="HA32" i="5"/>
  <c r="AT31" i="5"/>
  <c r="CI32" i="5"/>
  <c r="DM32" i="5" s="1"/>
  <c r="FJ32" i="5"/>
  <c r="HA76" i="5"/>
  <c r="AT75" i="5"/>
  <c r="CI76" i="5"/>
  <c r="DM76" i="5" s="1"/>
  <c r="FJ76" i="5"/>
  <c r="HA48" i="5"/>
  <c r="AT47" i="5"/>
  <c r="CI48" i="5"/>
  <c r="DM48" i="5" s="1"/>
  <c r="FJ48" i="5"/>
  <c r="HA34" i="5"/>
  <c r="AT33" i="5"/>
  <c r="CI34" i="5"/>
  <c r="DM34" i="5" s="1"/>
  <c r="FJ34" i="5"/>
  <c r="HA62" i="5"/>
  <c r="AT61" i="5"/>
  <c r="CI62" i="5"/>
  <c r="DM62" i="5" s="1"/>
  <c r="FJ62" i="5"/>
  <c r="HG85" i="5"/>
  <c r="AZ84" i="5"/>
  <c r="CO85" i="5"/>
  <c r="FP85" i="5"/>
  <c r="IA85" i="5" s="1"/>
  <c r="HA36" i="5"/>
  <c r="AT35" i="5"/>
  <c r="CI36" i="5"/>
  <c r="DM36" i="5" s="1"/>
  <c r="FJ36" i="5"/>
  <c r="HA78" i="5"/>
  <c r="AT77" i="5"/>
  <c r="CI78" i="5"/>
  <c r="DM78" i="5" s="1"/>
  <c r="FJ78" i="5"/>
  <c r="HA60" i="5"/>
  <c r="AT59" i="5"/>
  <c r="CI60" i="5"/>
  <c r="DM60" i="5" s="1"/>
  <c r="FJ60" i="5"/>
  <c r="HA38" i="5"/>
  <c r="AT37" i="5"/>
  <c r="CI38" i="5"/>
  <c r="DM38" i="5" s="1"/>
  <c r="FJ38" i="5"/>
  <c r="HA77" i="5"/>
  <c r="AT76" i="5"/>
  <c r="CI77" i="5"/>
  <c r="DM77" i="5" s="1"/>
  <c r="FJ77" i="5"/>
  <c r="HA65" i="5"/>
  <c r="AT64" i="5"/>
  <c r="CI65" i="5"/>
  <c r="DM65" i="5" s="1"/>
  <c r="FJ65" i="5"/>
  <c r="HA45" i="5"/>
  <c r="AT44" i="5"/>
  <c r="CI45" i="5"/>
  <c r="DM45" i="5" s="1"/>
  <c r="FJ45" i="5"/>
  <c r="HA35" i="5"/>
  <c r="AT34" i="5"/>
  <c r="CI35" i="5"/>
  <c r="DM35" i="5" s="1"/>
  <c r="FJ35" i="5"/>
  <c r="HA73" i="5"/>
  <c r="AT72" i="5"/>
  <c r="CI73" i="5"/>
  <c r="DM73" i="5" s="1"/>
  <c r="FJ73" i="5"/>
  <c r="HA55" i="5"/>
  <c r="AT54" i="5"/>
  <c r="CI55" i="5"/>
  <c r="DM55" i="5" s="1"/>
  <c r="FJ55" i="5"/>
  <c r="HA37" i="5"/>
  <c r="AT36" i="5"/>
  <c r="CI37" i="5"/>
  <c r="DM37" i="5" s="1"/>
  <c r="FJ37" i="5"/>
  <c r="HI116" i="5"/>
  <c r="BB115" i="5"/>
  <c r="CQ116" i="5"/>
  <c r="FR116" i="5"/>
  <c r="IC116" i="5" s="1"/>
  <c r="IW116" i="5" s="1"/>
  <c r="JP116" i="5" s="1"/>
  <c r="HI105" i="5"/>
  <c r="BB104" i="5"/>
  <c r="CQ105" i="5"/>
  <c r="FR105" i="5"/>
  <c r="IC105" i="5" s="1"/>
  <c r="IW105" i="5" s="1"/>
  <c r="JP105" i="5" s="1"/>
  <c r="HI103" i="5"/>
  <c r="BB102" i="5"/>
  <c r="CQ103" i="5"/>
  <c r="FR103" i="5"/>
  <c r="IC103" i="5" s="1"/>
  <c r="IW103" i="5" s="1"/>
  <c r="JP103" i="5" s="1"/>
  <c r="HI91" i="5"/>
  <c r="BB90" i="5"/>
  <c r="CQ91" i="5"/>
  <c r="FR91" i="5"/>
  <c r="IC91" i="5" s="1"/>
  <c r="IW91" i="5" s="1"/>
  <c r="JP91" i="5" s="1"/>
  <c r="HA82" i="5"/>
  <c r="AT81" i="5"/>
  <c r="CI82" i="5"/>
  <c r="DM82" i="5" s="1"/>
  <c r="FJ82" i="5"/>
  <c r="HA54" i="5"/>
  <c r="AT53" i="5"/>
  <c r="CI54" i="5"/>
  <c r="DM54" i="5" s="1"/>
  <c r="FJ54" i="5"/>
  <c r="HI118" i="5"/>
  <c r="IX118" i="5" s="1"/>
  <c r="JQ118" i="5" s="1"/>
  <c r="BB117" i="5"/>
  <c r="CQ118" i="5"/>
  <c r="FR118" i="5"/>
  <c r="IC118" i="5" s="1"/>
  <c r="IW118" i="5" s="1"/>
  <c r="JP118" i="5" s="1"/>
  <c r="HA68" i="5"/>
  <c r="AT67" i="5"/>
  <c r="CI68" i="5"/>
  <c r="DM68" i="5" s="1"/>
  <c r="FJ68" i="5"/>
  <c r="HI117" i="5"/>
  <c r="BB116" i="5"/>
  <c r="CQ117" i="5"/>
  <c r="FR117" i="5"/>
  <c r="IC117" i="5" s="1"/>
  <c r="IW117" i="5" s="1"/>
  <c r="JP117" i="5" s="1"/>
  <c r="HI115" i="5"/>
  <c r="BB114" i="5"/>
  <c r="CQ115" i="5"/>
  <c r="FR115" i="5"/>
  <c r="IC115" i="5" s="1"/>
  <c r="IW115" i="5" s="1"/>
  <c r="JP115" i="5" s="1"/>
  <c r="HI110" i="5"/>
  <c r="BB109" i="5"/>
  <c r="CQ110" i="5"/>
  <c r="FR110" i="5"/>
  <c r="IC110" i="5" s="1"/>
  <c r="IW110" i="5" s="1"/>
  <c r="JP110" i="5" s="1"/>
  <c r="HI107" i="5"/>
  <c r="BB106" i="5"/>
  <c r="CQ107" i="5"/>
  <c r="FR107" i="5"/>
  <c r="IC107" i="5" s="1"/>
  <c r="IW107" i="5" s="1"/>
  <c r="JP107" i="5" s="1"/>
  <c r="HI104" i="5"/>
  <c r="BB103" i="5"/>
  <c r="CQ104" i="5"/>
  <c r="FR104" i="5"/>
  <c r="IC104" i="5" s="1"/>
  <c r="IW104" i="5" s="1"/>
  <c r="JP104" i="5" s="1"/>
  <c r="HI98" i="5"/>
  <c r="BB97" i="5"/>
  <c r="CQ98" i="5"/>
  <c r="FR98" i="5"/>
  <c r="IC98" i="5" s="1"/>
  <c r="IW98" i="5" s="1"/>
  <c r="JP98" i="5" s="1"/>
  <c r="HI95" i="5"/>
  <c r="BB94" i="5"/>
  <c r="CQ95" i="5"/>
  <c r="FR95" i="5"/>
  <c r="IC95" i="5" s="1"/>
  <c r="IW95" i="5" s="1"/>
  <c r="JP95" i="5" s="1"/>
  <c r="HI90" i="5"/>
  <c r="BB89" i="5"/>
  <c r="CQ90" i="5"/>
  <c r="FR90" i="5"/>
  <c r="IC90" i="5" s="1"/>
  <c r="IW90" i="5" s="1"/>
  <c r="JP90" i="5" s="1"/>
  <c r="HH86" i="5"/>
  <c r="BA85" i="5"/>
  <c r="CP86" i="5"/>
  <c r="FQ86" i="5"/>
  <c r="IB86" i="5" s="1"/>
  <c r="IV86" i="5" s="1"/>
  <c r="JO86" i="5" s="1"/>
  <c r="HA79" i="5"/>
  <c r="AT78" i="5"/>
  <c r="CI79" i="5"/>
  <c r="DM79" i="5" s="1"/>
  <c r="FJ79" i="5"/>
  <c r="HA67" i="5"/>
  <c r="AT66" i="5"/>
  <c r="CI67" i="5"/>
  <c r="DM67" i="5" s="1"/>
  <c r="FJ67" i="5"/>
  <c r="HA49" i="5"/>
  <c r="AT48" i="5"/>
  <c r="CI49" i="5"/>
  <c r="DM49" i="5" s="1"/>
  <c r="FJ49" i="5"/>
  <c r="HA39" i="5"/>
  <c r="AT38" i="5"/>
  <c r="CI39" i="5"/>
  <c r="DM39" i="5" s="1"/>
  <c r="FJ39" i="5"/>
  <c r="HA81" i="5"/>
  <c r="AT80" i="5"/>
  <c r="CI81" i="5"/>
  <c r="DM81" i="5" s="1"/>
  <c r="FJ81" i="5"/>
  <c r="HA57" i="5"/>
  <c r="AT56" i="5"/>
  <c r="CI57" i="5"/>
  <c r="DM57" i="5" s="1"/>
  <c r="FJ57" i="5"/>
  <c r="HA47" i="5"/>
  <c r="AT46" i="5"/>
  <c r="CI47" i="5"/>
  <c r="DM47" i="5" s="1"/>
  <c r="FJ47" i="5"/>
  <c r="HA28" i="5"/>
  <c r="CI28" i="5"/>
  <c r="DM28" i="5" s="1"/>
  <c r="FJ28" i="5"/>
  <c r="HH85" i="5"/>
  <c r="BA84" i="5"/>
  <c r="CP85" i="5"/>
  <c r="FQ85" i="5"/>
  <c r="IB85" i="5" s="1"/>
  <c r="IV85" i="5" s="1"/>
  <c r="JO85" i="5" s="1"/>
  <c r="HA56" i="5"/>
  <c r="AT55" i="5"/>
  <c r="CI56" i="5"/>
  <c r="DM56" i="5" s="1"/>
  <c r="FJ56" i="5"/>
  <c r="HI109" i="5"/>
  <c r="BB108" i="5"/>
  <c r="CQ109" i="5"/>
  <c r="FR109" i="5"/>
  <c r="IC109" i="5" s="1"/>
  <c r="IW109" i="5" s="1"/>
  <c r="JP109" i="5" s="1"/>
  <c r="HI99" i="5"/>
  <c r="BB98" i="5"/>
  <c r="CQ99" i="5"/>
  <c r="FR99" i="5"/>
  <c r="IC99" i="5" s="1"/>
  <c r="IW99" i="5" s="1"/>
  <c r="JP99" i="5" s="1"/>
  <c r="HI93" i="5"/>
  <c r="BB92" i="5"/>
  <c r="CQ93" i="5"/>
  <c r="FR93" i="5"/>
  <c r="IC93" i="5" s="1"/>
  <c r="IW93" i="5" s="1"/>
  <c r="JP93" i="5" s="1"/>
  <c r="HI86" i="5"/>
  <c r="BB85" i="5"/>
  <c r="CQ86" i="5"/>
  <c r="FR86" i="5"/>
  <c r="IC86" i="5" s="1"/>
  <c r="IW86" i="5" s="1"/>
  <c r="JP86" i="5" s="1"/>
  <c r="HI111" i="5"/>
  <c r="BB110" i="5"/>
  <c r="CQ111" i="5"/>
  <c r="FR111" i="5"/>
  <c r="IC111" i="5" s="1"/>
  <c r="IW111" i="5" s="1"/>
  <c r="JP111" i="5" s="1"/>
  <c r="HI100" i="5"/>
  <c r="BB99" i="5"/>
  <c r="CQ100" i="5"/>
  <c r="FR100" i="5"/>
  <c r="IC100" i="5" s="1"/>
  <c r="IW100" i="5" s="1"/>
  <c r="JP100" i="5" s="1"/>
  <c r="HI94" i="5"/>
  <c r="BB93" i="5"/>
  <c r="CQ94" i="5"/>
  <c r="FR94" i="5"/>
  <c r="IC94" i="5" s="1"/>
  <c r="IW94" i="5" s="1"/>
  <c r="JP94" i="5" s="1"/>
  <c r="HI87" i="5"/>
  <c r="BB86" i="5"/>
  <c r="CQ87" i="5"/>
  <c r="FR87" i="5"/>
  <c r="IC87" i="5" s="1"/>
  <c r="IW87" i="5" s="1"/>
  <c r="JP87" i="5" s="1"/>
  <c r="HF85" i="5"/>
  <c r="AY84" i="5"/>
  <c r="CN85" i="5"/>
  <c r="FO85" i="5"/>
  <c r="HZ85" i="5" s="1"/>
  <c r="HB85" i="5"/>
  <c r="FX84" i="5"/>
  <c r="AU84" i="5"/>
  <c r="CJ85" i="5"/>
  <c r="FK85" i="5"/>
  <c r="HA40" i="5"/>
  <c r="AT39" i="5"/>
  <c r="CI40" i="5"/>
  <c r="DM40" i="5" s="1"/>
  <c r="FJ40" i="5"/>
  <c r="HA84" i="5"/>
  <c r="AT83" i="5"/>
  <c r="CI84" i="5"/>
  <c r="DM84" i="5" s="1"/>
  <c r="FJ84" i="5"/>
  <c r="HA66" i="5"/>
  <c r="AT65" i="5"/>
  <c r="CI66" i="5"/>
  <c r="DM66" i="5" s="1"/>
  <c r="FJ66" i="5"/>
  <c r="HA42" i="5"/>
  <c r="AT41" i="5"/>
  <c r="CI42" i="5"/>
  <c r="DM42" i="5" s="1"/>
  <c r="FJ42" i="5"/>
  <c r="DU41" i="5"/>
  <c r="EO42" i="5"/>
  <c r="EO54" i="5"/>
  <c r="DU53" i="5"/>
  <c r="DS78" i="5"/>
  <c r="EM79" i="5"/>
  <c r="HS79" i="5" s="1"/>
  <c r="IM79" i="5" s="1"/>
  <c r="JF79" i="5" s="1"/>
  <c r="EO79" i="5"/>
  <c r="DU78" i="5"/>
  <c r="EM29" i="5"/>
  <c r="HS29" i="5" s="1"/>
  <c r="IM29" i="5" s="1"/>
  <c r="JF29" i="5" s="1"/>
  <c r="DS28" i="5"/>
  <c r="EO46" i="5"/>
  <c r="HU46" i="5" s="1"/>
  <c r="IO46" i="5" s="1"/>
  <c r="JH46" i="5" s="1"/>
  <c r="DU45" i="5"/>
  <c r="EM53" i="5"/>
  <c r="HS53" i="5" s="1"/>
  <c r="IM53" i="5" s="1"/>
  <c r="JF53" i="5" s="1"/>
  <c r="DS52" i="5"/>
  <c r="DU29" i="5"/>
  <c r="EO30" i="5"/>
  <c r="DS44" i="5"/>
  <c r="EM45" i="5"/>
  <c r="HS45" i="5" s="1"/>
  <c r="IM45" i="5" s="1"/>
  <c r="JF45" i="5" s="1"/>
  <c r="EO76" i="5"/>
  <c r="DU75" i="5"/>
  <c r="DU71" i="5"/>
  <c r="EO72" i="5"/>
  <c r="HU72" i="5" s="1"/>
  <c r="IO72" i="5" s="1"/>
  <c r="JH72" i="5" s="1"/>
  <c r="DU37" i="5"/>
  <c r="EO38" i="5"/>
  <c r="HU38" i="5" s="1"/>
  <c r="IO38" i="5" s="1"/>
  <c r="JH38" i="5" s="1"/>
  <c r="DS84" i="5"/>
  <c r="EM85" i="5"/>
  <c r="HS85" i="5" s="1"/>
  <c r="IM85" i="5" s="1"/>
  <c r="JF85" i="5" s="1"/>
  <c r="EO78" i="5"/>
  <c r="DU77" i="5"/>
  <c r="DU47" i="5"/>
  <c r="EO48" i="5"/>
  <c r="HU48" i="5" s="1"/>
  <c r="IO48" i="5" s="1"/>
  <c r="JH48" i="5" s="1"/>
  <c r="EO53" i="5"/>
  <c r="HU53" i="5" s="1"/>
  <c r="IO53" i="5" s="1"/>
  <c r="JH53" i="5" s="1"/>
  <c r="DU52" i="5"/>
  <c r="DU55" i="5"/>
  <c r="EO56" i="5"/>
  <c r="DU83" i="5"/>
  <c r="EO84" i="5"/>
  <c r="EO55" i="5"/>
  <c r="DU54" i="5"/>
  <c r="DU38" i="5"/>
  <c r="EO39" i="5"/>
  <c r="HU39" i="5" s="1"/>
  <c r="IO39" i="5" s="1"/>
  <c r="JH39" i="5" s="1"/>
  <c r="DU73" i="5"/>
  <c r="EO74" i="5"/>
  <c r="DU36" i="5"/>
  <c r="EO37" i="5"/>
  <c r="HU37" i="5" s="1"/>
  <c r="IO37" i="5" s="1"/>
  <c r="JH37" i="5" s="1"/>
  <c r="EM87" i="5"/>
  <c r="HS87" i="5" s="1"/>
  <c r="IM87" i="5" s="1"/>
  <c r="JF87" i="5" s="1"/>
  <c r="DS86" i="5"/>
  <c r="DU44" i="5"/>
  <c r="EO45" i="5"/>
  <c r="HU45" i="5" s="1"/>
  <c r="IO45" i="5" s="1"/>
  <c r="JH45" i="5" s="1"/>
  <c r="DU79" i="5"/>
  <c r="EO80" i="5"/>
  <c r="EO86" i="5"/>
  <c r="HU86" i="5" s="1"/>
  <c r="IO86" i="5" s="1"/>
  <c r="JH86" i="5" s="1"/>
  <c r="DU85" i="5"/>
  <c r="DU64" i="5"/>
  <c r="EO65" i="5"/>
  <c r="EO69" i="5"/>
  <c r="HU69" i="5" s="1"/>
  <c r="IO69" i="5" s="1"/>
  <c r="JH69" i="5" s="1"/>
  <c r="DU68" i="5"/>
  <c r="DU40" i="5"/>
  <c r="EO41" i="5"/>
  <c r="DU72" i="5"/>
  <c r="EO73" i="5"/>
  <c r="EO68" i="5"/>
  <c r="DU67" i="5"/>
  <c r="DU59" i="5"/>
  <c r="EO60" i="5"/>
  <c r="EO44" i="5"/>
  <c r="HU44" i="5" s="1"/>
  <c r="IO44" i="5" s="1"/>
  <c r="JH44" i="5" s="1"/>
  <c r="DU43" i="5"/>
  <c r="EO31" i="5"/>
  <c r="HU31" i="5" s="1"/>
  <c r="IO31" i="5" s="1"/>
  <c r="JH31" i="5" s="1"/>
  <c r="DU30" i="5"/>
  <c r="DS68" i="5"/>
  <c r="EM69" i="5"/>
  <c r="HS69" i="5" s="1"/>
  <c r="IM69" i="5" s="1"/>
  <c r="JF69" i="5" s="1"/>
  <c r="EM63" i="5"/>
  <c r="HS63" i="5" s="1"/>
  <c r="IM63" i="5" s="1"/>
  <c r="JF63" i="5" s="1"/>
  <c r="DS62" i="5"/>
  <c r="DS76" i="5"/>
  <c r="EM77" i="5"/>
  <c r="HS77" i="5" s="1"/>
  <c r="IM77" i="5" s="1"/>
  <c r="JF77" i="5" s="1"/>
  <c r="EO71" i="5"/>
  <c r="HU71" i="5" s="1"/>
  <c r="IO71" i="5" s="1"/>
  <c r="JH71" i="5" s="1"/>
  <c r="DU70" i="5"/>
  <c r="DU35" i="5"/>
  <c r="EO36" i="5"/>
  <c r="EO33" i="5"/>
  <c r="HU33" i="5" s="1"/>
  <c r="IO33" i="5" s="1"/>
  <c r="JH33" i="5" s="1"/>
  <c r="DU32" i="5"/>
  <c r="DU49" i="5"/>
  <c r="EO50" i="5"/>
  <c r="DS30" i="5"/>
  <c r="EM31" i="5"/>
  <c r="HS31" i="5" s="1"/>
  <c r="IM31" i="5" s="1"/>
  <c r="JF31" i="5" s="1"/>
  <c r="DS60" i="5"/>
  <c r="EM61" i="5"/>
  <c r="HS61" i="5" s="1"/>
  <c r="IM61" i="5" s="1"/>
  <c r="JF61" i="5" s="1"/>
  <c r="DU65" i="5"/>
  <c r="EO66" i="5"/>
  <c r="HU66" i="5" s="1"/>
  <c r="IO66" i="5" s="1"/>
  <c r="JH66" i="5" s="1"/>
  <c r="DU61" i="5"/>
  <c r="EO62" i="5"/>
  <c r="HU62" i="5" s="1"/>
  <c r="IO62" i="5" s="1"/>
  <c r="JH62" i="5" s="1"/>
  <c r="DU69" i="5"/>
  <c r="EO70" i="5"/>
  <c r="DU63" i="5"/>
  <c r="EO64" i="5"/>
  <c r="DU57" i="5"/>
  <c r="EO58" i="5"/>
  <c r="DU81" i="5"/>
  <c r="EO82" i="5"/>
  <c r="HU82" i="5" s="1"/>
  <c r="IO82" i="5" s="1"/>
  <c r="JH82" i="5" s="1"/>
  <c r="DU56" i="5"/>
  <c r="EO57" i="5"/>
  <c r="HU57" i="5" s="1"/>
  <c r="IO57" i="5" s="1"/>
  <c r="JH57" i="5" s="1"/>
  <c r="DU33" i="5"/>
  <c r="EO34" i="5"/>
  <c r="DT63" i="5"/>
  <c r="EN64" i="5"/>
  <c r="HT64" i="5" s="1"/>
  <c r="IN64" i="5" s="1"/>
  <c r="JG64" i="5" s="1"/>
  <c r="DS36" i="5"/>
  <c r="EM37" i="5"/>
  <c r="HS37" i="5" s="1"/>
  <c r="IM37" i="5" s="1"/>
  <c r="JF37" i="5" s="1"/>
  <c r="EO52" i="5"/>
  <c r="HU52" i="5" s="1"/>
  <c r="IO52" i="5" s="1"/>
  <c r="JH52" i="5" s="1"/>
  <c r="DU51" i="5"/>
  <c r="DU31" i="5"/>
  <c r="EO32" i="5"/>
  <c r="HU32" i="5" s="1"/>
  <c r="IO32" i="5" s="1"/>
  <c r="JH32" i="5" s="1"/>
  <c r="EN41" i="5"/>
  <c r="HT41" i="5" s="1"/>
  <c r="IN41" i="5" s="1"/>
  <c r="JG41" i="5" s="1"/>
  <c r="DT40" i="5"/>
  <c r="EO49" i="5"/>
  <c r="DU48" i="5"/>
  <c r="EO47" i="5"/>
  <c r="DU46" i="5"/>
  <c r="EO81" i="5"/>
  <c r="DU80" i="5"/>
  <c r="F10" i="5"/>
  <c r="M103" i="7"/>
  <c r="D104" i="7"/>
  <c r="N103" i="7"/>
  <c r="C103" i="7"/>
  <c r="I103" i="7" s="1"/>
  <c r="E103" i="7"/>
  <c r="H103" i="7" s="1"/>
  <c r="G103" i="7"/>
  <c r="B103" i="7"/>
  <c r="F103" i="7" s="1"/>
  <c r="K104" i="7"/>
  <c r="L104" i="7" s="1"/>
  <c r="J105" i="7"/>
  <c r="HU64" i="5" l="1"/>
  <c r="IO64" i="5" s="1"/>
  <c r="JH64" i="5" s="1"/>
  <c r="HU50" i="5"/>
  <c r="IO50" i="5" s="1"/>
  <c r="JH50" i="5" s="1"/>
  <c r="HU74" i="5"/>
  <c r="IO74" i="5" s="1"/>
  <c r="JH74" i="5" s="1"/>
  <c r="HU81" i="5"/>
  <c r="IO81" i="5" s="1"/>
  <c r="JH81" i="5" s="1"/>
  <c r="HU47" i="5"/>
  <c r="IO47" i="5" s="1"/>
  <c r="JH47" i="5" s="1"/>
  <c r="HU49" i="5"/>
  <c r="IO49" i="5" s="1"/>
  <c r="JH49" i="5" s="1"/>
  <c r="HU68" i="5"/>
  <c r="IO68" i="5" s="1"/>
  <c r="JH68" i="5" s="1"/>
  <c r="HU55" i="5"/>
  <c r="IO55" i="5" s="1"/>
  <c r="JH55" i="5" s="1"/>
  <c r="HU78" i="5"/>
  <c r="IO78" i="5" s="1"/>
  <c r="JH78" i="5" s="1"/>
  <c r="HU76" i="5"/>
  <c r="IO76" i="5" s="1"/>
  <c r="JH76" i="5" s="1"/>
  <c r="HU79" i="5"/>
  <c r="IO79" i="5" s="1"/>
  <c r="JH79" i="5" s="1"/>
  <c r="HU54" i="5"/>
  <c r="IO54" i="5" s="1"/>
  <c r="JH54" i="5" s="1"/>
  <c r="IT85" i="5"/>
  <c r="JM85" i="5" s="1"/>
  <c r="IU85" i="5"/>
  <c r="JN85" i="5" s="1"/>
  <c r="HU34" i="5"/>
  <c r="IO34" i="5" s="1"/>
  <c r="JH34" i="5" s="1"/>
  <c r="HU58" i="5"/>
  <c r="IO58" i="5" s="1"/>
  <c r="JH58" i="5" s="1"/>
  <c r="HU70" i="5"/>
  <c r="IO70" i="5" s="1"/>
  <c r="JH70" i="5" s="1"/>
  <c r="HU36" i="5"/>
  <c r="IO36" i="5" s="1"/>
  <c r="JH36" i="5" s="1"/>
  <c r="HU60" i="5"/>
  <c r="IO60" i="5" s="1"/>
  <c r="JH60" i="5" s="1"/>
  <c r="HU73" i="5"/>
  <c r="IO73" i="5" s="1"/>
  <c r="JH73" i="5" s="1"/>
  <c r="HU41" i="5"/>
  <c r="IO41" i="5" s="1"/>
  <c r="JH41" i="5" s="1"/>
  <c r="HU65" i="5"/>
  <c r="IO65" i="5" s="1"/>
  <c r="JH65" i="5" s="1"/>
  <c r="HU80" i="5"/>
  <c r="IO80" i="5" s="1"/>
  <c r="JH80" i="5" s="1"/>
  <c r="HU84" i="5"/>
  <c r="IO84" i="5" s="1"/>
  <c r="JH84" i="5" s="1"/>
  <c r="HU56" i="5"/>
  <c r="IO56" i="5" s="1"/>
  <c r="JH56" i="5" s="1"/>
  <c r="HU30" i="5"/>
  <c r="IO30" i="5" s="1"/>
  <c r="JH30" i="5" s="1"/>
  <c r="HU42" i="5"/>
  <c r="IO42" i="5" s="1"/>
  <c r="JH42" i="5" s="1"/>
  <c r="IQ85" i="5"/>
  <c r="JJ85" i="5" s="1"/>
  <c r="HU28" i="5"/>
  <c r="IO28" i="5" s="1"/>
  <c r="JH28" i="5" s="1"/>
  <c r="IR85" i="5"/>
  <c r="JK85" i="5" s="1"/>
  <c r="IS85" i="5"/>
  <c r="JL85" i="5" s="1"/>
  <c r="H14" i="5"/>
  <c r="P2" i="5" s="1"/>
  <c r="J14" i="5" s="1"/>
  <c r="AL26" i="5"/>
  <c r="HB65" i="5"/>
  <c r="FX64" i="5"/>
  <c r="AU64" i="5"/>
  <c r="CJ65" i="5"/>
  <c r="FK65" i="5"/>
  <c r="HB39" i="5"/>
  <c r="AU38" i="5"/>
  <c r="FX38" i="5"/>
  <c r="CJ39" i="5"/>
  <c r="FK39" i="5"/>
  <c r="DN85" i="5"/>
  <c r="HG84" i="5"/>
  <c r="AZ83" i="5"/>
  <c r="CO84" i="5"/>
  <c r="FP84" i="5"/>
  <c r="IA84" i="5" s="1"/>
  <c r="HJ85" i="5"/>
  <c r="BC84" i="5"/>
  <c r="CR85" i="5"/>
  <c r="FS85" i="5"/>
  <c r="ID85" i="5" s="1"/>
  <c r="HI84" i="5"/>
  <c r="BB83" i="5"/>
  <c r="CQ84" i="5"/>
  <c r="FR84" i="5"/>
  <c r="IC84" i="5" s="1"/>
  <c r="HB56" i="5"/>
  <c r="AU55" i="5"/>
  <c r="FX55" i="5"/>
  <c r="CJ56" i="5"/>
  <c r="FK56" i="5"/>
  <c r="HB38" i="5"/>
  <c r="AU37" i="5"/>
  <c r="FX37" i="5"/>
  <c r="CJ38" i="5"/>
  <c r="FK38" i="5"/>
  <c r="HB66" i="5"/>
  <c r="AU65" i="5"/>
  <c r="FX65" i="5"/>
  <c r="CJ66" i="5"/>
  <c r="FK66" i="5"/>
  <c r="HI85" i="5"/>
  <c r="BB84" i="5"/>
  <c r="CQ85" i="5"/>
  <c r="FR85" i="5"/>
  <c r="IC85" i="5" s="1"/>
  <c r="IW85" i="5" s="1"/>
  <c r="JP85" i="5" s="1"/>
  <c r="HJ89" i="5"/>
  <c r="BC88" i="5"/>
  <c r="CR89" i="5"/>
  <c r="FS89" i="5"/>
  <c r="ID89" i="5" s="1"/>
  <c r="IX89" i="5" s="1"/>
  <c r="JQ89" i="5" s="1"/>
  <c r="HJ94" i="5"/>
  <c r="BC93" i="5"/>
  <c r="CR94" i="5"/>
  <c r="FS94" i="5"/>
  <c r="ID94" i="5" s="1"/>
  <c r="IX94" i="5" s="1"/>
  <c r="JQ94" i="5" s="1"/>
  <c r="HJ97" i="5"/>
  <c r="BC96" i="5"/>
  <c r="CR97" i="5"/>
  <c r="FS97" i="5"/>
  <c r="ID97" i="5" s="1"/>
  <c r="IX97" i="5" s="1"/>
  <c r="JQ97" i="5" s="1"/>
  <c r="HJ103" i="5"/>
  <c r="BC102" i="5"/>
  <c r="CR103" i="5"/>
  <c r="FS103" i="5"/>
  <c r="ID103" i="5" s="1"/>
  <c r="IX103" i="5" s="1"/>
  <c r="JQ103" i="5" s="1"/>
  <c r="HJ106" i="5"/>
  <c r="BC105" i="5"/>
  <c r="CR106" i="5"/>
  <c r="FS106" i="5"/>
  <c r="ID106" i="5" s="1"/>
  <c r="IX106" i="5" s="1"/>
  <c r="JQ106" i="5" s="1"/>
  <c r="HJ109" i="5"/>
  <c r="BC108" i="5"/>
  <c r="CR109" i="5"/>
  <c r="FS109" i="5"/>
  <c r="ID109" i="5" s="1"/>
  <c r="IX109" i="5" s="1"/>
  <c r="JQ109" i="5" s="1"/>
  <c r="HJ114" i="5"/>
  <c r="BC113" i="5"/>
  <c r="CR114" i="5"/>
  <c r="FS114" i="5"/>
  <c r="ID114" i="5" s="1"/>
  <c r="IX114" i="5" s="1"/>
  <c r="JQ114" i="5" s="1"/>
  <c r="HJ116" i="5"/>
  <c r="BC115" i="5"/>
  <c r="CR116" i="5"/>
  <c r="FS116" i="5"/>
  <c r="ID116" i="5" s="1"/>
  <c r="IX116" i="5" s="1"/>
  <c r="JQ116" i="5" s="1"/>
  <c r="HB67" i="5"/>
  <c r="FX66" i="5"/>
  <c r="AU66" i="5"/>
  <c r="CJ67" i="5"/>
  <c r="FK67" i="5"/>
  <c r="HB81" i="5"/>
  <c r="AU80" i="5"/>
  <c r="FX80" i="5"/>
  <c r="CJ81" i="5"/>
  <c r="FK81" i="5"/>
  <c r="HB36" i="5"/>
  <c r="AU35" i="5"/>
  <c r="FX35" i="5"/>
  <c r="CJ36" i="5"/>
  <c r="FK36" i="5"/>
  <c r="HB72" i="5"/>
  <c r="FX71" i="5"/>
  <c r="AU71" i="5"/>
  <c r="CJ72" i="5"/>
  <c r="FK72" i="5"/>
  <c r="HB44" i="5"/>
  <c r="FX43" i="5"/>
  <c r="AU43" i="5"/>
  <c r="CJ44" i="5"/>
  <c r="FK44" i="5"/>
  <c r="HB76" i="5"/>
  <c r="FX75" i="5"/>
  <c r="AU75" i="5"/>
  <c r="CJ76" i="5"/>
  <c r="FK76" i="5"/>
  <c r="HB59" i="5"/>
  <c r="AU58" i="5"/>
  <c r="FX58" i="5"/>
  <c r="CJ59" i="5"/>
  <c r="FK59" i="5"/>
  <c r="HB35" i="5"/>
  <c r="AU34" i="5"/>
  <c r="FX34" i="5"/>
  <c r="CJ35" i="5"/>
  <c r="FK35" i="5"/>
  <c r="HB47" i="5"/>
  <c r="AU46" i="5"/>
  <c r="FX46" i="5"/>
  <c r="CJ47" i="5"/>
  <c r="FK47" i="5"/>
  <c r="HB31" i="5"/>
  <c r="AU30" i="5"/>
  <c r="FX30" i="5"/>
  <c r="CJ31" i="5"/>
  <c r="FK31" i="5"/>
  <c r="HD84" i="5"/>
  <c r="AW83" i="5"/>
  <c r="CL84" i="5"/>
  <c r="FM84" i="5"/>
  <c r="HX84" i="5" s="1"/>
  <c r="HE84" i="5"/>
  <c r="AX83" i="5"/>
  <c r="CM84" i="5"/>
  <c r="FN84" i="5"/>
  <c r="HY84" i="5" s="1"/>
  <c r="HB79" i="5"/>
  <c r="FX78" i="5"/>
  <c r="AU78" i="5"/>
  <c r="CJ79" i="5"/>
  <c r="FK79" i="5"/>
  <c r="HB52" i="5"/>
  <c r="AU51" i="5"/>
  <c r="FX51" i="5"/>
  <c r="CJ52" i="5"/>
  <c r="FK52" i="5"/>
  <c r="HB28" i="5"/>
  <c r="CJ28" i="5"/>
  <c r="DN28" i="5" s="1"/>
  <c r="FK28" i="5"/>
  <c r="HB62" i="5"/>
  <c r="AU61" i="5"/>
  <c r="FX61" i="5"/>
  <c r="CJ62" i="5"/>
  <c r="FK62" i="5"/>
  <c r="HB43" i="5"/>
  <c r="FX42" i="5"/>
  <c r="AU42" i="5"/>
  <c r="CJ43" i="5"/>
  <c r="FK43" i="5"/>
  <c r="HB57" i="5"/>
  <c r="FX56" i="5"/>
  <c r="AU56" i="5"/>
  <c r="CJ57" i="5"/>
  <c r="FK57" i="5"/>
  <c r="HB50" i="5"/>
  <c r="AU49" i="5"/>
  <c r="FX49" i="5"/>
  <c r="CJ50" i="5"/>
  <c r="FK50" i="5"/>
  <c r="HB84" i="5"/>
  <c r="FX83" i="5"/>
  <c r="AU83" i="5"/>
  <c r="CJ84" i="5"/>
  <c r="FK84" i="5"/>
  <c r="HB60" i="5"/>
  <c r="AU59" i="5"/>
  <c r="FX59" i="5"/>
  <c r="CJ60" i="5"/>
  <c r="FK60" i="5"/>
  <c r="HB82" i="5"/>
  <c r="FX81" i="5"/>
  <c r="AU81" i="5"/>
  <c r="CJ82" i="5"/>
  <c r="FK82" i="5"/>
  <c r="HB73" i="5"/>
  <c r="FX72" i="5"/>
  <c r="AU72" i="5"/>
  <c r="CJ73" i="5"/>
  <c r="FK73" i="5"/>
  <c r="HB63" i="5"/>
  <c r="FX62" i="5"/>
  <c r="AU62" i="5"/>
  <c r="CJ63" i="5"/>
  <c r="FK63" i="5"/>
  <c r="EN28" i="5"/>
  <c r="HT28" i="5" s="1"/>
  <c r="IN28" i="5" s="1"/>
  <c r="JG28" i="5" s="1"/>
  <c r="HB41" i="5"/>
  <c r="AU40" i="5"/>
  <c r="FX40" i="5"/>
  <c r="CJ41" i="5"/>
  <c r="FK41" i="5"/>
  <c r="HB83" i="5"/>
  <c r="FX82" i="5"/>
  <c r="AU82" i="5"/>
  <c r="CJ83" i="5"/>
  <c r="FK83" i="5"/>
  <c r="HC84" i="5"/>
  <c r="AV83" i="5"/>
  <c r="CK84" i="5"/>
  <c r="FL84" i="5"/>
  <c r="HJ86" i="5"/>
  <c r="BC85" i="5"/>
  <c r="CR86" i="5"/>
  <c r="FS86" i="5"/>
  <c r="ID86" i="5" s="1"/>
  <c r="IX86" i="5" s="1"/>
  <c r="JQ86" i="5" s="1"/>
  <c r="HJ93" i="5"/>
  <c r="BC92" i="5"/>
  <c r="CR93" i="5"/>
  <c r="FS93" i="5"/>
  <c r="ID93" i="5" s="1"/>
  <c r="IX93" i="5" s="1"/>
  <c r="JQ93" i="5" s="1"/>
  <c r="HJ99" i="5"/>
  <c r="BC98" i="5"/>
  <c r="CR99" i="5"/>
  <c r="FS99" i="5"/>
  <c r="ID99" i="5" s="1"/>
  <c r="IX99" i="5" s="1"/>
  <c r="JQ99" i="5" s="1"/>
  <c r="HJ110" i="5"/>
  <c r="BC109" i="5"/>
  <c r="CR110" i="5"/>
  <c r="FS110" i="5"/>
  <c r="ID110" i="5" s="1"/>
  <c r="IX110" i="5" s="1"/>
  <c r="JQ110" i="5" s="1"/>
  <c r="HJ92" i="5"/>
  <c r="BC91" i="5"/>
  <c r="CR92" i="5"/>
  <c r="FS92" i="5"/>
  <c r="ID92" i="5" s="1"/>
  <c r="IX92" i="5" s="1"/>
  <c r="JQ92" i="5" s="1"/>
  <c r="HJ98" i="5"/>
  <c r="BC97" i="5"/>
  <c r="CR98" i="5"/>
  <c r="FS98" i="5"/>
  <c r="ID98" i="5" s="1"/>
  <c r="IX98" i="5" s="1"/>
  <c r="JQ98" i="5" s="1"/>
  <c r="HJ108" i="5"/>
  <c r="BC107" i="5"/>
  <c r="CR108" i="5"/>
  <c r="FS108" i="5"/>
  <c r="ID108" i="5" s="1"/>
  <c r="IX108" i="5" s="1"/>
  <c r="JQ108" i="5" s="1"/>
  <c r="HB55" i="5"/>
  <c r="AU54" i="5"/>
  <c r="FX54" i="5"/>
  <c r="CJ55" i="5"/>
  <c r="FK55" i="5"/>
  <c r="HB46" i="5"/>
  <c r="AU45" i="5"/>
  <c r="FX45" i="5"/>
  <c r="CJ46" i="5"/>
  <c r="FK46" i="5"/>
  <c r="HB80" i="5"/>
  <c r="FX79" i="5"/>
  <c r="AU79" i="5"/>
  <c r="CJ80" i="5"/>
  <c r="FK80" i="5"/>
  <c r="HB48" i="5"/>
  <c r="AU47" i="5"/>
  <c r="FX47" i="5"/>
  <c r="CJ48" i="5"/>
  <c r="FK48" i="5"/>
  <c r="HB78" i="5"/>
  <c r="AU77" i="5"/>
  <c r="FX77" i="5"/>
  <c r="CJ78" i="5"/>
  <c r="FK78" i="5"/>
  <c r="HJ117" i="5"/>
  <c r="IY117" i="5" s="1"/>
  <c r="JR117" i="5" s="1"/>
  <c r="BC116" i="5"/>
  <c r="CR117" i="5"/>
  <c r="FS117" i="5"/>
  <c r="ID117" i="5" s="1"/>
  <c r="IX117" i="5" s="1"/>
  <c r="JQ117" i="5" s="1"/>
  <c r="HB53" i="5"/>
  <c r="FX52" i="5"/>
  <c r="AU52" i="5"/>
  <c r="CJ53" i="5"/>
  <c r="FK53" i="5"/>
  <c r="HJ90" i="5"/>
  <c r="BC89" i="5"/>
  <c r="CR90" i="5"/>
  <c r="FS90" i="5"/>
  <c r="ID90" i="5" s="1"/>
  <c r="IX90" i="5" s="1"/>
  <c r="JQ90" i="5" s="1"/>
  <c r="HJ102" i="5"/>
  <c r="BC101" i="5"/>
  <c r="CR102" i="5"/>
  <c r="FS102" i="5"/>
  <c r="ID102" i="5" s="1"/>
  <c r="IX102" i="5" s="1"/>
  <c r="JQ102" i="5" s="1"/>
  <c r="HJ104" i="5"/>
  <c r="BC103" i="5"/>
  <c r="CR104" i="5"/>
  <c r="FS104" i="5"/>
  <c r="ID104" i="5" s="1"/>
  <c r="IX104" i="5" s="1"/>
  <c r="JQ104" i="5" s="1"/>
  <c r="HJ115" i="5"/>
  <c r="BC114" i="5"/>
  <c r="CR115" i="5"/>
  <c r="FS115" i="5"/>
  <c r="ID115" i="5" s="1"/>
  <c r="IX115" i="5" s="1"/>
  <c r="JQ115" i="5" s="1"/>
  <c r="HB54" i="5"/>
  <c r="FX53" i="5"/>
  <c r="AU53" i="5"/>
  <c r="CJ54" i="5"/>
  <c r="FK54" i="5"/>
  <c r="HB34" i="5"/>
  <c r="AU33" i="5"/>
  <c r="FX33" i="5"/>
  <c r="CJ34" i="5"/>
  <c r="FK34" i="5"/>
  <c r="HB64" i="5"/>
  <c r="FX63" i="5"/>
  <c r="AU63" i="5"/>
  <c r="CJ64" i="5"/>
  <c r="FK64" i="5"/>
  <c r="HB37" i="5"/>
  <c r="FX36" i="5"/>
  <c r="AU36" i="5"/>
  <c r="CJ37" i="5"/>
  <c r="FK37" i="5"/>
  <c r="HB77" i="5"/>
  <c r="AU76" i="5"/>
  <c r="FX76" i="5"/>
  <c r="CJ77" i="5"/>
  <c r="FK77" i="5"/>
  <c r="HH84" i="5"/>
  <c r="BA83" i="5"/>
  <c r="CP84" i="5"/>
  <c r="FQ84" i="5"/>
  <c r="IB84" i="5" s="1"/>
  <c r="IV84" i="5" s="1"/>
  <c r="JO84" i="5" s="1"/>
  <c r="HB61" i="5"/>
  <c r="FX60" i="5"/>
  <c r="AU60" i="5"/>
  <c r="CJ61" i="5"/>
  <c r="FK61" i="5"/>
  <c r="HB33" i="5"/>
  <c r="FX32" i="5"/>
  <c r="AU32" i="5"/>
  <c r="CJ33" i="5"/>
  <c r="FK33" i="5"/>
  <c r="HB75" i="5"/>
  <c r="AU74" i="5"/>
  <c r="FX74" i="5"/>
  <c r="CJ75" i="5"/>
  <c r="FK75" i="5"/>
  <c r="HB71" i="5"/>
  <c r="FX70" i="5"/>
  <c r="AU70" i="5"/>
  <c r="CJ71" i="5"/>
  <c r="FK71" i="5"/>
  <c r="HB51" i="5"/>
  <c r="AU50" i="5"/>
  <c r="FX50" i="5"/>
  <c r="CJ51" i="5"/>
  <c r="FK51" i="5"/>
  <c r="HJ88" i="5"/>
  <c r="BC87" i="5"/>
  <c r="CR88" i="5"/>
  <c r="FS88" i="5"/>
  <c r="ID88" i="5" s="1"/>
  <c r="IX88" i="5" s="1"/>
  <c r="JQ88" i="5" s="1"/>
  <c r="HJ96" i="5"/>
  <c r="BC95" i="5"/>
  <c r="CR96" i="5"/>
  <c r="FS96" i="5"/>
  <c r="ID96" i="5" s="1"/>
  <c r="IX96" i="5" s="1"/>
  <c r="JQ96" i="5" s="1"/>
  <c r="HJ105" i="5"/>
  <c r="BC104" i="5"/>
  <c r="CR105" i="5"/>
  <c r="FS105" i="5"/>
  <c r="ID105" i="5" s="1"/>
  <c r="IX105" i="5" s="1"/>
  <c r="JQ105" i="5" s="1"/>
  <c r="HJ112" i="5"/>
  <c r="BC111" i="5"/>
  <c r="CR112" i="5"/>
  <c r="FS112" i="5"/>
  <c r="ID112" i="5" s="1"/>
  <c r="IX112" i="5" s="1"/>
  <c r="JQ112" i="5" s="1"/>
  <c r="HB32" i="5"/>
  <c r="AU31" i="5"/>
  <c r="FX31" i="5"/>
  <c r="CJ32" i="5"/>
  <c r="FK32" i="5"/>
  <c r="HB68" i="5"/>
  <c r="AU67" i="5"/>
  <c r="FX67" i="5"/>
  <c r="CJ68" i="5"/>
  <c r="FK68" i="5"/>
  <c r="HB42" i="5"/>
  <c r="FX41" i="5"/>
  <c r="AU41" i="5"/>
  <c r="CJ42" i="5"/>
  <c r="FK42" i="5"/>
  <c r="HB74" i="5"/>
  <c r="FX73" i="5"/>
  <c r="AU73" i="5"/>
  <c r="CJ74" i="5"/>
  <c r="FK74" i="5"/>
  <c r="HB49" i="5"/>
  <c r="FX48" i="5"/>
  <c r="AU48" i="5"/>
  <c r="CJ49" i="5"/>
  <c r="FK49" i="5"/>
  <c r="HB30" i="5"/>
  <c r="FX29" i="5"/>
  <c r="AU29" i="5"/>
  <c r="CJ30" i="5"/>
  <c r="FK30" i="5"/>
  <c r="HB58" i="5"/>
  <c r="FX57" i="5"/>
  <c r="AU57" i="5"/>
  <c r="CJ58" i="5"/>
  <c r="FK58" i="5"/>
  <c r="HB40" i="5"/>
  <c r="FX39" i="5"/>
  <c r="AU39" i="5"/>
  <c r="CJ40" i="5"/>
  <c r="FK40" i="5"/>
  <c r="HB70" i="5"/>
  <c r="AU69" i="5"/>
  <c r="FX69" i="5"/>
  <c r="CJ70" i="5"/>
  <c r="FK70" i="5"/>
  <c r="HJ87" i="5"/>
  <c r="BC86" i="5"/>
  <c r="CR87" i="5"/>
  <c r="FS87" i="5"/>
  <c r="ID87" i="5" s="1"/>
  <c r="IX87" i="5" s="1"/>
  <c r="JQ87" i="5" s="1"/>
  <c r="HJ91" i="5"/>
  <c r="BC90" i="5"/>
  <c r="CR91" i="5"/>
  <c r="FS91" i="5"/>
  <c r="ID91" i="5" s="1"/>
  <c r="IX91" i="5" s="1"/>
  <c r="JQ91" i="5" s="1"/>
  <c r="HJ95" i="5"/>
  <c r="BC94" i="5"/>
  <c r="CR95" i="5"/>
  <c r="FS95" i="5"/>
  <c r="ID95" i="5" s="1"/>
  <c r="IX95" i="5" s="1"/>
  <c r="JQ95" i="5" s="1"/>
  <c r="HJ100" i="5"/>
  <c r="BC99" i="5"/>
  <c r="CR100" i="5"/>
  <c r="FS100" i="5"/>
  <c r="ID100" i="5" s="1"/>
  <c r="IX100" i="5" s="1"/>
  <c r="JQ100" i="5" s="1"/>
  <c r="HJ101" i="5"/>
  <c r="BC100" i="5"/>
  <c r="CR101" i="5"/>
  <c r="FS101" i="5"/>
  <c r="ID101" i="5" s="1"/>
  <c r="IX101" i="5" s="1"/>
  <c r="JQ101" i="5" s="1"/>
  <c r="HJ107" i="5"/>
  <c r="BC106" i="5"/>
  <c r="CR107" i="5"/>
  <c r="FS107" i="5"/>
  <c r="ID107" i="5" s="1"/>
  <c r="IX107" i="5" s="1"/>
  <c r="JQ107" i="5" s="1"/>
  <c r="HJ111" i="5"/>
  <c r="BC110" i="5"/>
  <c r="CR111" i="5"/>
  <c r="FS111" i="5"/>
  <c r="ID111" i="5" s="1"/>
  <c r="IX111" i="5" s="1"/>
  <c r="JQ111" i="5" s="1"/>
  <c r="HJ113" i="5"/>
  <c r="BC112" i="5"/>
  <c r="CR113" i="5"/>
  <c r="FS113" i="5"/>
  <c r="ID113" i="5" s="1"/>
  <c r="IX113" i="5" s="1"/>
  <c r="JQ113" i="5" s="1"/>
  <c r="HB45" i="5"/>
  <c r="AU44" i="5"/>
  <c r="FX44" i="5"/>
  <c r="CJ45" i="5"/>
  <c r="FK45" i="5"/>
  <c r="HB29" i="5"/>
  <c r="FX28" i="5"/>
  <c r="AU28" i="5"/>
  <c r="CJ29" i="5"/>
  <c r="DN29" i="5" s="1"/>
  <c r="FK29" i="5"/>
  <c r="HF84" i="5"/>
  <c r="AY83" i="5"/>
  <c r="CN84" i="5"/>
  <c r="FO84" i="5"/>
  <c r="HZ84" i="5" s="1"/>
  <c r="HB69" i="5"/>
  <c r="FX68" i="5"/>
  <c r="AU68" i="5"/>
  <c r="CJ69" i="5"/>
  <c r="FK69" i="5"/>
  <c r="KF31" i="5"/>
  <c r="Q5" i="5" s="1"/>
  <c r="KE31" i="5"/>
  <c r="P5" i="5" s="1"/>
  <c r="J17" i="5" s="1"/>
  <c r="DV50" i="5"/>
  <c r="EP51" i="5"/>
  <c r="HV51" i="5" s="1"/>
  <c r="IP51" i="5" s="1"/>
  <c r="JI51" i="5" s="1"/>
  <c r="DV31" i="5"/>
  <c r="EP32" i="5"/>
  <c r="DV69" i="5"/>
  <c r="EP70" i="5"/>
  <c r="DT61" i="5"/>
  <c r="EN62" i="5"/>
  <c r="HT62" i="5" s="1"/>
  <c r="IN62" i="5" s="1"/>
  <c r="JG62" i="5" s="1"/>
  <c r="EP30" i="5"/>
  <c r="DV29" i="5"/>
  <c r="EP43" i="5"/>
  <c r="DV42" i="5"/>
  <c r="DV66" i="5"/>
  <c r="EP67" i="5"/>
  <c r="HV67" i="5" s="1"/>
  <c r="IP67" i="5" s="1"/>
  <c r="JI67" i="5" s="1"/>
  <c r="EP68" i="5"/>
  <c r="DV67" i="5"/>
  <c r="DV84" i="5"/>
  <c r="EP85" i="5"/>
  <c r="HV85" i="5" s="1"/>
  <c r="IP85" i="5" s="1"/>
  <c r="JI85" i="5" s="1"/>
  <c r="EN86" i="5"/>
  <c r="HT86" i="5" s="1"/>
  <c r="IN86" i="5" s="1"/>
  <c r="JG86" i="5" s="1"/>
  <c r="DT85" i="5"/>
  <c r="EP54" i="5"/>
  <c r="DV53" i="5"/>
  <c r="DV51" i="5"/>
  <c r="EP52" i="5"/>
  <c r="DV76" i="5"/>
  <c r="EP77" i="5"/>
  <c r="DV74" i="5"/>
  <c r="EP75" i="5"/>
  <c r="HV75" i="5" s="1"/>
  <c r="IP75" i="5" s="1"/>
  <c r="JI75" i="5" s="1"/>
  <c r="EN52" i="5"/>
  <c r="HT52" i="5" s="1"/>
  <c r="IN52" i="5" s="1"/>
  <c r="JG52" i="5" s="1"/>
  <c r="DT51" i="5"/>
  <c r="DV44" i="5"/>
  <c r="EP45" i="5"/>
  <c r="HV45" i="5" s="1"/>
  <c r="IP45" i="5" s="1"/>
  <c r="JI45" i="5" s="1"/>
  <c r="EP78" i="5"/>
  <c r="HV78" i="5" s="1"/>
  <c r="IP78" i="5" s="1"/>
  <c r="JI78" i="5" s="1"/>
  <c r="DV77" i="5"/>
  <c r="EP53" i="5"/>
  <c r="DV52" i="5"/>
  <c r="EP80" i="5"/>
  <c r="HV80" i="5" s="1"/>
  <c r="IP80" i="5" s="1"/>
  <c r="JI80" i="5" s="1"/>
  <c r="DV79" i="5"/>
  <c r="EP46" i="5"/>
  <c r="DV45" i="5"/>
  <c r="EP48" i="5"/>
  <c r="DV47" i="5"/>
  <c r="DU39" i="5"/>
  <c r="EO40" i="5"/>
  <c r="HU40" i="5" s="1"/>
  <c r="IO40" i="5" s="1"/>
  <c r="JH40" i="5" s="1"/>
  <c r="EP31" i="5"/>
  <c r="HV31" i="5" s="1"/>
  <c r="IP31" i="5" s="1"/>
  <c r="JI31" i="5" s="1"/>
  <c r="DV30" i="5"/>
  <c r="EN36" i="5"/>
  <c r="HT36" i="5" s="1"/>
  <c r="IN36" i="5" s="1"/>
  <c r="JG36" i="5" s="1"/>
  <c r="DT35" i="5"/>
  <c r="EO63" i="5"/>
  <c r="HU63" i="5" s="1"/>
  <c r="IO63" i="5" s="1"/>
  <c r="JH63" i="5" s="1"/>
  <c r="DU62" i="5"/>
  <c r="DV32" i="5"/>
  <c r="EP33" i="5"/>
  <c r="DV55" i="5"/>
  <c r="EP56" i="5"/>
  <c r="DV80" i="5"/>
  <c r="EP81" i="5"/>
  <c r="DV56" i="5"/>
  <c r="EP57" i="5"/>
  <c r="DV62" i="5"/>
  <c r="EP63" i="5"/>
  <c r="DV68" i="5"/>
  <c r="EP69" i="5"/>
  <c r="HV69" i="5" s="1"/>
  <c r="IP69" i="5" s="1"/>
  <c r="JI69" i="5" s="1"/>
  <c r="DV60" i="5"/>
  <c r="EP61" i="5"/>
  <c r="HV61" i="5" s="1"/>
  <c r="IP61" i="5" s="1"/>
  <c r="JI61" i="5" s="1"/>
  <c r="DV64" i="5"/>
  <c r="EP65" i="5"/>
  <c r="HV65" i="5" s="1"/>
  <c r="IP65" i="5" s="1"/>
  <c r="JI65" i="5" s="1"/>
  <c r="DT59" i="5"/>
  <c r="EN60" i="5"/>
  <c r="HT60" i="5" s="1"/>
  <c r="IN60" i="5" s="1"/>
  <c r="JG60" i="5" s="1"/>
  <c r="DT29" i="5"/>
  <c r="EN30" i="5"/>
  <c r="HT30" i="5" s="1"/>
  <c r="IN30" i="5" s="1"/>
  <c r="JG30" i="5" s="1"/>
  <c r="DV48" i="5"/>
  <c r="EP49" i="5"/>
  <c r="DV34" i="5"/>
  <c r="EP35" i="5"/>
  <c r="DT75" i="5"/>
  <c r="EN76" i="5"/>
  <c r="HT76" i="5" s="1"/>
  <c r="IN76" i="5" s="1"/>
  <c r="JG76" i="5" s="1"/>
  <c r="DT67" i="5"/>
  <c r="EN68" i="5"/>
  <c r="HT68" i="5" s="1"/>
  <c r="IN68" i="5" s="1"/>
  <c r="JG68" i="5" s="1"/>
  <c r="DV58" i="5"/>
  <c r="EP59" i="5"/>
  <c r="HV59" i="5" s="1"/>
  <c r="IP59" i="5" s="1"/>
  <c r="JI59" i="5" s="1"/>
  <c r="DV71" i="5"/>
  <c r="EP72" i="5"/>
  <c r="EP40" i="5"/>
  <c r="DV39" i="5"/>
  <c r="DV63" i="5"/>
  <c r="EP64" i="5"/>
  <c r="DV78" i="5"/>
  <c r="EP79" i="5"/>
  <c r="HV79" i="5" s="1"/>
  <c r="IP79" i="5" s="1"/>
  <c r="JI79" i="5" s="1"/>
  <c r="DV43" i="5"/>
  <c r="EP44" i="5"/>
  <c r="HV44" i="5" s="1"/>
  <c r="IP44" i="5" s="1"/>
  <c r="JI44" i="5" s="1"/>
  <c r="DV35" i="5"/>
  <c r="EP36" i="5"/>
  <c r="HV36" i="5" s="1"/>
  <c r="IP36" i="5" s="1"/>
  <c r="JI36" i="5" s="1"/>
  <c r="DV72" i="5"/>
  <c r="EP73" i="5"/>
  <c r="HV73" i="5" s="1"/>
  <c r="IP73" i="5" s="1"/>
  <c r="JI73" i="5" s="1"/>
  <c r="DV37" i="5"/>
  <c r="EP38" i="5"/>
  <c r="HV38" i="5" s="1"/>
  <c r="IP38" i="5" s="1"/>
  <c r="JI38" i="5" s="1"/>
  <c r="DV82" i="5"/>
  <c r="EP83" i="5"/>
  <c r="HV83" i="5" s="1"/>
  <c r="IP83" i="5" s="1"/>
  <c r="JI83" i="5" s="1"/>
  <c r="DV54" i="5"/>
  <c r="EP55" i="5"/>
  <c r="DV46" i="5"/>
  <c r="EP47" i="5"/>
  <c r="HV47" i="5" s="1"/>
  <c r="IP47" i="5" s="1"/>
  <c r="JI47" i="5" s="1"/>
  <c r="EN84" i="5"/>
  <c r="HT84" i="5" s="1"/>
  <c r="IN84" i="5" s="1"/>
  <c r="JG84" i="5" s="1"/>
  <c r="DT83" i="5"/>
  <c r="DV36" i="5"/>
  <c r="EP37" i="5"/>
  <c r="HV37" i="5" s="1"/>
  <c r="IP37" i="5" s="1"/>
  <c r="JI37" i="5" s="1"/>
  <c r="EP71" i="5"/>
  <c r="HV71" i="5" s="1"/>
  <c r="IP71" i="5" s="1"/>
  <c r="JI71" i="5" s="1"/>
  <c r="DV70" i="5"/>
  <c r="DT43" i="5"/>
  <c r="EN44" i="5"/>
  <c r="HT44" i="5" s="1"/>
  <c r="IN44" i="5" s="1"/>
  <c r="JG44" i="5" s="1"/>
  <c r="DV28" i="5"/>
  <c r="EQ28" i="5" s="1"/>
  <c r="EP29" i="5"/>
  <c r="DT77" i="5"/>
  <c r="EN78" i="5"/>
  <c r="HT78" i="5" s="1"/>
  <c r="IN78" i="5" s="1"/>
  <c r="JG78" i="5" s="1"/>
  <c r="EP41" i="5"/>
  <c r="HV41" i="5" s="1"/>
  <c r="IP41" i="5" s="1"/>
  <c r="JI41" i="5" s="1"/>
  <c r="DV40" i="5"/>
  <c r="M104" i="7"/>
  <c r="D105" i="7"/>
  <c r="N104" i="7"/>
  <c r="C104" i="7"/>
  <c r="I104" i="7" s="1"/>
  <c r="E104" i="7"/>
  <c r="H104" i="7" s="1"/>
  <c r="G104" i="7"/>
  <c r="B104" i="7"/>
  <c r="F104" i="7" s="1"/>
  <c r="K105" i="7"/>
  <c r="L105" i="7" s="1"/>
  <c r="J106" i="7"/>
  <c r="HV40" i="5" l="1"/>
  <c r="IP40" i="5" s="1"/>
  <c r="JI40" i="5" s="1"/>
  <c r="HV48" i="5"/>
  <c r="IP48" i="5" s="1"/>
  <c r="JI48" i="5" s="1"/>
  <c r="HV46" i="5"/>
  <c r="IP46" i="5" s="1"/>
  <c r="JI46" i="5" s="1"/>
  <c r="HV53" i="5"/>
  <c r="IP53" i="5" s="1"/>
  <c r="JI53" i="5" s="1"/>
  <c r="HV43" i="5"/>
  <c r="IP43" i="5" s="1"/>
  <c r="JI43" i="5" s="1"/>
  <c r="IT84" i="5"/>
  <c r="JM84" i="5" s="1"/>
  <c r="IS84" i="5"/>
  <c r="JL84" i="5" s="1"/>
  <c r="HV29" i="5"/>
  <c r="IP29" i="5" s="1"/>
  <c r="JI29" i="5" s="1"/>
  <c r="HV55" i="5"/>
  <c r="IP55" i="5" s="1"/>
  <c r="JI55" i="5" s="1"/>
  <c r="HV64" i="5"/>
  <c r="IP64" i="5" s="1"/>
  <c r="JI64" i="5" s="1"/>
  <c r="HV72" i="5"/>
  <c r="IP72" i="5" s="1"/>
  <c r="JI72" i="5" s="1"/>
  <c r="HV35" i="5"/>
  <c r="IP35" i="5" s="1"/>
  <c r="JI35" i="5" s="1"/>
  <c r="HV49" i="5"/>
  <c r="IP49" i="5" s="1"/>
  <c r="JI49" i="5" s="1"/>
  <c r="HV63" i="5"/>
  <c r="IP63" i="5" s="1"/>
  <c r="JI63" i="5" s="1"/>
  <c r="HV57" i="5"/>
  <c r="IP57" i="5" s="1"/>
  <c r="JI57" i="5" s="1"/>
  <c r="HV81" i="5"/>
  <c r="IP81" i="5" s="1"/>
  <c r="JI81" i="5" s="1"/>
  <c r="HV56" i="5"/>
  <c r="IP56" i="5" s="1"/>
  <c r="JI56" i="5" s="1"/>
  <c r="HV33" i="5"/>
  <c r="IP33" i="5" s="1"/>
  <c r="JI33" i="5" s="1"/>
  <c r="HV77" i="5"/>
  <c r="IP77" i="5" s="1"/>
  <c r="JI77" i="5" s="1"/>
  <c r="HV52" i="5"/>
  <c r="IP52" i="5" s="1"/>
  <c r="JI52" i="5" s="1"/>
  <c r="HV70" i="5"/>
  <c r="IP70" i="5" s="1"/>
  <c r="JI70" i="5" s="1"/>
  <c r="HV32" i="5"/>
  <c r="IP32" i="5" s="1"/>
  <c r="JI32" i="5" s="1"/>
  <c r="IW84" i="5"/>
  <c r="JP84" i="5" s="1"/>
  <c r="IX85" i="5"/>
  <c r="JQ85" i="5" s="1"/>
  <c r="IU84" i="5"/>
  <c r="JN84" i="5" s="1"/>
  <c r="HV54" i="5"/>
  <c r="IP54" i="5" s="1"/>
  <c r="JI54" i="5" s="1"/>
  <c r="HV68" i="5"/>
  <c r="IP68" i="5" s="1"/>
  <c r="JI68" i="5" s="1"/>
  <c r="HV30" i="5"/>
  <c r="IP30" i="5" s="1"/>
  <c r="JI30" i="5" s="1"/>
  <c r="IR84" i="5"/>
  <c r="JK84" i="5" s="1"/>
  <c r="H15" i="5"/>
  <c r="H16" i="5" s="1"/>
  <c r="H17" i="5" s="1"/>
  <c r="H18" i="5" s="1"/>
  <c r="H19" i="5" s="1"/>
  <c r="H20" i="5" s="1"/>
  <c r="H21" i="5" s="1"/>
  <c r="HC68" i="5"/>
  <c r="AV67" i="5"/>
  <c r="CK68" i="5"/>
  <c r="FL68" i="5"/>
  <c r="HC28" i="5"/>
  <c r="CK28" i="5"/>
  <c r="FL28" i="5"/>
  <c r="HW28" i="5" s="1"/>
  <c r="IQ28" i="5" s="1"/>
  <c r="JJ28" i="5" s="1"/>
  <c r="DN45" i="5"/>
  <c r="HC44" i="5"/>
  <c r="AV43" i="5"/>
  <c r="CK44" i="5"/>
  <c r="FL44" i="5"/>
  <c r="HK112" i="5"/>
  <c r="BD111" i="5"/>
  <c r="CS112" i="5"/>
  <c r="FT112" i="5"/>
  <c r="IE112" i="5" s="1"/>
  <c r="IY112" i="5" s="1"/>
  <c r="JR112" i="5" s="1"/>
  <c r="HK110" i="5"/>
  <c r="BD109" i="5"/>
  <c r="CS110" i="5"/>
  <c r="FT110" i="5"/>
  <c r="IE110" i="5" s="1"/>
  <c r="IY110" i="5" s="1"/>
  <c r="JR110" i="5" s="1"/>
  <c r="HK106" i="5"/>
  <c r="BD105" i="5"/>
  <c r="CS106" i="5"/>
  <c r="FT106" i="5"/>
  <c r="IE106" i="5" s="1"/>
  <c r="IY106" i="5" s="1"/>
  <c r="JR106" i="5" s="1"/>
  <c r="HK100" i="5"/>
  <c r="BD99" i="5"/>
  <c r="CS100" i="5"/>
  <c r="FT100" i="5"/>
  <c r="IE100" i="5" s="1"/>
  <c r="IY100" i="5" s="1"/>
  <c r="JR100" i="5" s="1"/>
  <c r="HK99" i="5"/>
  <c r="BD98" i="5"/>
  <c r="CS99" i="5"/>
  <c r="FT99" i="5"/>
  <c r="IE99" i="5" s="1"/>
  <c r="IY99" i="5" s="1"/>
  <c r="JR99" i="5" s="1"/>
  <c r="HK94" i="5"/>
  <c r="BD93" i="5"/>
  <c r="CS94" i="5"/>
  <c r="FT94" i="5"/>
  <c r="IE94" i="5" s="1"/>
  <c r="IY94" i="5" s="1"/>
  <c r="JR94" i="5" s="1"/>
  <c r="HK90" i="5"/>
  <c r="BD89" i="5"/>
  <c r="CS90" i="5"/>
  <c r="FT90" i="5"/>
  <c r="IE90" i="5" s="1"/>
  <c r="IY90" i="5" s="1"/>
  <c r="JR90" i="5" s="1"/>
  <c r="HK86" i="5"/>
  <c r="BD85" i="5"/>
  <c r="CS86" i="5"/>
  <c r="FT86" i="5"/>
  <c r="IE86" i="5" s="1"/>
  <c r="IY86" i="5" s="1"/>
  <c r="JR86" i="5" s="1"/>
  <c r="DN40" i="5"/>
  <c r="HC57" i="5"/>
  <c r="AV56" i="5"/>
  <c r="CK57" i="5"/>
  <c r="FL57" i="5"/>
  <c r="DN30" i="5"/>
  <c r="HC48" i="5"/>
  <c r="AV47" i="5"/>
  <c r="CK48" i="5"/>
  <c r="FL48" i="5"/>
  <c r="DN74" i="5"/>
  <c r="HC41" i="5"/>
  <c r="AV40" i="5"/>
  <c r="CK41" i="5"/>
  <c r="FL41" i="5"/>
  <c r="DN68" i="5"/>
  <c r="HC67" i="5"/>
  <c r="AV66" i="5"/>
  <c r="CK67" i="5"/>
  <c r="FL67" i="5"/>
  <c r="DN51" i="5"/>
  <c r="HC50" i="5"/>
  <c r="AV49" i="5"/>
  <c r="CK50" i="5"/>
  <c r="FL50" i="5"/>
  <c r="HC70" i="5"/>
  <c r="AV69" i="5"/>
  <c r="CK70" i="5"/>
  <c r="FL70" i="5"/>
  <c r="DN75" i="5"/>
  <c r="HC74" i="5"/>
  <c r="AV73" i="5"/>
  <c r="CK74" i="5"/>
  <c r="FL74" i="5"/>
  <c r="HC32" i="5"/>
  <c r="AV31" i="5"/>
  <c r="CK32" i="5"/>
  <c r="FL32" i="5"/>
  <c r="DN61" i="5"/>
  <c r="HI83" i="5"/>
  <c r="BB82" i="5"/>
  <c r="CQ83" i="5"/>
  <c r="FR83" i="5"/>
  <c r="IC83" i="5" s="1"/>
  <c r="DN77" i="5"/>
  <c r="HC76" i="5"/>
  <c r="AV75" i="5"/>
  <c r="CK76" i="5"/>
  <c r="FL76" i="5"/>
  <c r="HC36" i="5"/>
  <c r="AV35" i="5"/>
  <c r="CK36" i="5"/>
  <c r="FL36" i="5"/>
  <c r="DN64" i="5"/>
  <c r="DN54" i="5"/>
  <c r="HK114" i="5"/>
  <c r="BD113" i="5"/>
  <c r="CS114" i="5"/>
  <c r="FT114" i="5"/>
  <c r="IE114" i="5" s="1"/>
  <c r="IY114" i="5" s="1"/>
  <c r="JR114" i="5" s="1"/>
  <c r="HK103" i="5"/>
  <c r="BD102" i="5"/>
  <c r="CS103" i="5"/>
  <c r="FT103" i="5"/>
  <c r="IE103" i="5" s="1"/>
  <c r="IY103" i="5" s="1"/>
  <c r="JR103" i="5" s="1"/>
  <c r="HK101" i="5"/>
  <c r="BD100" i="5"/>
  <c r="CS101" i="5"/>
  <c r="FT101" i="5"/>
  <c r="IE101" i="5" s="1"/>
  <c r="IY101" i="5" s="1"/>
  <c r="JR101" i="5" s="1"/>
  <c r="HK89" i="5"/>
  <c r="BD88" i="5"/>
  <c r="CS89" i="5"/>
  <c r="FT89" i="5"/>
  <c r="IE89" i="5" s="1"/>
  <c r="IY89" i="5" s="1"/>
  <c r="JR89" i="5" s="1"/>
  <c r="HC52" i="5"/>
  <c r="AV51" i="5"/>
  <c r="CK52" i="5"/>
  <c r="FL52" i="5"/>
  <c r="DN78" i="5"/>
  <c r="HC77" i="5"/>
  <c r="AV76" i="5"/>
  <c r="CK77" i="5"/>
  <c r="FL77" i="5"/>
  <c r="DN80" i="5"/>
  <c r="DN55" i="5"/>
  <c r="HC54" i="5"/>
  <c r="AV53" i="5"/>
  <c r="CK54" i="5"/>
  <c r="FL54" i="5"/>
  <c r="HK107" i="5"/>
  <c r="BD106" i="5"/>
  <c r="CS107" i="5"/>
  <c r="FT107" i="5"/>
  <c r="IE107" i="5" s="1"/>
  <c r="IY107" i="5" s="1"/>
  <c r="JR107" i="5" s="1"/>
  <c r="HK97" i="5"/>
  <c r="BD96" i="5"/>
  <c r="CS97" i="5"/>
  <c r="FT97" i="5"/>
  <c r="IE97" i="5" s="1"/>
  <c r="IY97" i="5" s="1"/>
  <c r="JR97" i="5" s="1"/>
  <c r="HK91" i="5"/>
  <c r="BD90" i="5"/>
  <c r="CS91" i="5"/>
  <c r="FT91" i="5"/>
  <c r="IE91" i="5" s="1"/>
  <c r="IY91" i="5" s="1"/>
  <c r="JR91" i="5" s="1"/>
  <c r="HK109" i="5"/>
  <c r="BD108" i="5"/>
  <c r="CS109" i="5"/>
  <c r="FT109" i="5"/>
  <c r="IE109" i="5" s="1"/>
  <c r="IY109" i="5" s="1"/>
  <c r="JR109" i="5" s="1"/>
  <c r="HK98" i="5"/>
  <c r="BD97" i="5"/>
  <c r="CS98" i="5"/>
  <c r="FT98" i="5"/>
  <c r="IE98" i="5" s="1"/>
  <c r="IY98" i="5" s="1"/>
  <c r="JR98" i="5" s="1"/>
  <c r="HK92" i="5"/>
  <c r="BD91" i="5"/>
  <c r="CS92" i="5"/>
  <c r="FT92" i="5"/>
  <c r="IE92" i="5" s="1"/>
  <c r="IY92" i="5" s="1"/>
  <c r="JR92" i="5" s="1"/>
  <c r="HK85" i="5"/>
  <c r="BD84" i="5"/>
  <c r="CS85" i="5"/>
  <c r="FT85" i="5"/>
  <c r="IE85" i="5" s="1"/>
  <c r="IY85" i="5" s="1"/>
  <c r="JR85" i="5" s="1"/>
  <c r="HD83" i="5"/>
  <c r="AW82" i="5"/>
  <c r="CL83" i="5"/>
  <c r="FM83" i="5"/>
  <c r="HC82" i="5"/>
  <c r="AV81" i="5"/>
  <c r="CK82" i="5"/>
  <c r="FL82" i="5"/>
  <c r="DN41" i="5"/>
  <c r="HC40" i="5"/>
  <c r="AV39" i="5"/>
  <c r="CK40" i="5"/>
  <c r="FL40" i="5"/>
  <c r="HC62" i="5"/>
  <c r="AV61" i="5"/>
  <c r="CK62" i="5"/>
  <c r="FL62" i="5"/>
  <c r="DN73" i="5"/>
  <c r="HC81" i="5"/>
  <c r="AV80" i="5"/>
  <c r="CK81" i="5"/>
  <c r="FL81" i="5"/>
  <c r="DN60" i="5"/>
  <c r="HC59" i="5"/>
  <c r="AV58" i="5"/>
  <c r="CK59" i="5"/>
  <c r="FL59" i="5"/>
  <c r="HC83" i="5"/>
  <c r="AV82" i="5"/>
  <c r="CK83" i="5"/>
  <c r="FL83" i="5"/>
  <c r="DN50" i="5"/>
  <c r="HC49" i="5"/>
  <c r="AV48" i="5"/>
  <c r="CK49" i="5"/>
  <c r="FL49" i="5"/>
  <c r="HC56" i="5"/>
  <c r="AV55" i="5"/>
  <c r="CK56" i="5"/>
  <c r="FL56" i="5"/>
  <c r="DN43" i="5"/>
  <c r="DN79" i="5"/>
  <c r="HF83" i="5"/>
  <c r="AY82" i="5"/>
  <c r="CN83" i="5"/>
  <c r="FO83" i="5"/>
  <c r="HZ83" i="5" s="1"/>
  <c r="DN47" i="5"/>
  <c r="HC46" i="5"/>
  <c r="AV45" i="5"/>
  <c r="CK46" i="5"/>
  <c r="FL46" i="5"/>
  <c r="DN59" i="5"/>
  <c r="HC58" i="5"/>
  <c r="AV57" i="5"/>
  <c r="CK58" i="5"/>
  <c r="FL58" i="5"/>
  <c r="HC75" i="5"/>
  <c r="AV74" i="5"/>
  <c r="CK75" i="5"/>
  <c r="FL75" i="5"/>
  <c r="DN44" i="5"/>
  <c r="HC71" i="5"/>
  <c r="AV70" i="5"/>
  <c r="CK71" i="5"/>
  <c r="FL71" i="5"/>
  <c r="DN36" i="5"/>
  <c r="HC35" i="5"/>
  <c r="AV34" i="5"/>
  <c r="CK35" i="5"/>
  <c r="FL35" i="5"/>
  <c r="DN67" i="5"/>
  <c r="HK115" i="5"/>
  <c r="BD114" i="5"/>
  <c r="CS115" i="5"/>
  <c r="FT115" i="5"/>
  <c r="IE115" i="5" s="1"/>
  <c r="IY115" i="5" s="1"/>
  <c r="JR115" i="5" s="1"/>
  <c r="HK113" i="5"/>
  <c r="BD112" i="5"/>
  <c r="CS113" i="5"/>
  <c r="FT113" i="5"/>
  <c r="IE113" i="5" s="1"/>
  <c r="IY113" i="5" s="1"/>
  <c r="JR113" i="5" s="1"/>
  <c r="HK108" i="5"/>
  <c r="BD107" i="5"/>
  <c r="CS108" i="5"/>
  <c r="FT108" i="5"/>
  <c r="IE108" i="5" s="1"/>
  <c r="IY108" i="5" s="1"/>
  <c r="JR108" i="5" s="1"/>
  <c r="HK105" i="5"/>
  <c r="BD104" i="5"/>
  <c r="CS105" i="5"/>
  <c r="FT105" i="5"/>
  <c r="IE105" i="5" s="1"/>
  <c r="IY105" i="5" s="1"/>
  <c r="JR105" i="5" s="1"/>
  <c r="HK102" i="5"/>
  <c r="BD101" i="5"/>
  <c r="CS102" i="5"/>
  <c r="FT102" i="5"/>
  <c r="IE102" i="5" s="1"/>
  <c r="IY102" i="5" s="1"/>
  <c r="JR102" i="5" s="1"/>
  <c r="HK96" i="5"/>
  <c r="BD95" i="5"/>
  <c r="CS96" i="5"/>
  <c r="FT96" i="5"/>
  <c r="IE96" i="5" s="1"/>
  <c r="IY96" i="5" s="1"/>
  <c r="JR96" i="5" s="1"/>
  <c r="HK93" i="5"/>
  <c r="BD92" i="5"/>
  <c r="CS93" i="5"/>
  <c r="FT93" i="5"/>
  <c r="IE93" i="5" s="1"/>
  <c r="IY93" i="5" s="1"/>
  <c r="JR93" i="5" s="1"/>
  <c r="HK88" i="5"/>
  <c r="BD87" i="5"/>
  <c r="CS88" i="5"/>
  <c r="FT88" i="5"/>
  <c r="IE88" i="5" s="1"/>
  <c r="IY88" i="5" s="1"/>
  <c r="JR88" i="5" s="1"/>
  <c r="HJ84" i="5"/>
  <c r="BC83" i="5"/>
  <c r="CR84" i="5"/>
  <c r="FS84" i="5"/>
  <c r="ID84" i="5" s="1"/>
  <c r="IX84" i="5" s="1"/>
  <c r="JQ84" i="5" s="1"/>
  <c r="DN38" i="5"/>
  <c r="HC37" i="5"/>
  <c r="AV36" i="5"/>
  <c r="CK37" i="5"/>
  <c r="FL37" i="5"/>
  <c r="DN65" i="5"/>
  <c r="DN69" i="5"/>
  <c r="HG83" i="5"/>
  <c r="AZ82" i="5"/>
  <c r="CO83" i="5"/>
  <c r="FP83" i="5"/>
  <c r="IA83" i="5" s="1"/>
  <c r="DN70" i="5"/>
  <c r="HC69" i="5"/>
  <c r="AV68" i="5"/>
  <c r="CK69" i="5"/>
  <c r="FL69" i="5"/>
  <c r="HC39" i="5"/>
  <c r="AV38" i="5"/>
  <c r="CK39" i="5"/>
  <c r="FL39" i="5"/>
  <c r="DN58" i="5"/>
  <c r="HC29" i="5"/>
  <c r="AV28" i="5"/>
  <c r="CK29" i="5"/>
  <c r="FL29" i="5"/>
  <c r="DN49" i="5"/>
  <c r="HC73" i="5"/>
  <c r="AV72" i="5"/>
  <c r="CK73" i="5"/>
  <c r="FL73" i="5"/>
  <c r="DN42" i="5"/>
  <c r="DN32" i="5"/>
  <c r="HC31" i="5"/>
  <c r="AV30" i="5"/>
  <c r="CK31" i="5"/>
  <c r="FL31" i="5"/>
  <c r="HK111" i="5"/>
  <c r="BD110" i="5"/>
  <c r="CS111" i="5"/>
  <c r="FT111" i="5"/>
  <c r="IE111" i="5" s="1"/>
  <c r="IY111" i="5" s="1"/>
  <c r="JR111" i="5" s="1"/>
  <c r="HK104" i="5"/>
  <c r="BD103" i="5"/>
  <c r="CS104" i="5"/>
  <c r="FT104" i="5"/>
  <c r="IE104" i="5" s="1"/>
  <c r="IY104" i="5" s="1"/>
  <c r="JR104" i="5" s="1"/>
  <c r="HK95" i="5"/>
  <c r="BD94" i="5"/>
  <c r="CS95" i="5"/>
  <c r="FT95" i="5"/>
  <c r="IE95" i="5" s="1"/>
  <c r="IY95" i="5" s="1"/>
  <c r="JR95" i="5" s="1"/>
  <c r="HK87" i="5"/>
  <c r="BD86" i="5"/>
  <c r="CS87" i="5"/>
  <c r="FT87" i="5"/>
  <c r="IE87" i="5" s="1"/>
  <c r="IY87" i="5" s="1"/>
  <c r="JR87" i="5" s="1"/>
  <c r="DN71" i="5"/>
  <c r="DN33" i="5"/>
  <c r="HC60" i="5"/>
  <c r="AV59" i="5"/>
  <c r="CK60" i="5"/>
  <c r="FL60" i="5"/>
  <c r="DN37" i="5"/>
  <c r="HC63" i="5"/>
  <c r="AV62" i="5"/>
  <c r="CK63" i="5"/>
  <c r="FL63" i="5"/>
  <c r="DN34" i="5"/>
  <c r="HC33" i="5"/>
  <c r="AV32" i="5"/>
  <c r="CK33" i="5"/>
  <c r="FL33" i="5"/>
  <c r="HC53" i="5"/>
  <c r="AV52" i="5"/>
  <c r="CK53" i="5"/>
  <c r="FL53" i="5"/>
  <c r="DN53" i="5"/>
  <c r="HK116" i="5"/>
  <c r="IZ116" i="5" s="1"/>
  <c r="JS116" i="5" s="1"/>
  <c r="BD115" i="5"/>
  <c r="CS116" i="5"/>
  <c r="FT116" i="5"/>
  <c r="IE116" i="5" s="1"/>
  <c r="IY116" i="5" s="1"/>
  <c r="JR116" i="5" s="1"/>
  <c r="DN48" i="5"/>
  <c r="HC47" i="5"/>
  <c r="AV46" i="5"/>
  <c r="CK47" i="5"/>
  <c r="FL47" i="5"/>
  <c r="HC79" i="5"/>
  <c r="AV78" i="5"/>
  <c r="CK79" i="5"/>
  <c r="FL79" i="5"/>
  <c r="DN46" i="5"/>
  <c r="HC45" i="5"/>
  <c r="AV44" i="5"/>
  <c r="CK45" i="5"/>
  <c r="FL45" i="5"/>
  <c r="DN83" i="5"/>
  <c r="DN63" i="5"/>
  <c r="HC72" i="5"/>
  <c r="AV71" i="5"/>
  <c r="CK72" i="5"/>
  <c r="FL72" i="5"/>
  <c r="DN82" i="5"/>
  <c r="DN84" i="5"/>
  <c r="DN57" i="5"/>
  <c r="HC42" i="5"/>
  <c r="AV41" i="5"/>
  <c r="CK42" i="5"/>
  <c r="FL42" i="5"/>
  <c r="DN62" i="5"/>
  <c r="HC61" i="5"/>
  <c r="AV60" i="5"/>
  <c r="CK61" i="5"/>
  <c r="FL61" i="5"/>
  <c r="DN52" i="5"/>
  <c r="HC51" i="5"/>
  <c r="AV50" i="5"/>
  <c r="CK51" i="5"/>
  <c r="FL51" i="5"/>
  <c r="HC78" i="5"/>
  <c r="AV77" i="5"/>
  <c r="CK78" i="5"/>
  <c r="FL78" i="5"/>
  <c r="HE83" i="5"/>
  <c r="AX82" i="5"/>
  <c r="CM83" i="5"/>
  <c r="FN83" i="5"/>
  <c r="HY83" i="5" s="1"/>
  <c r="DN31" i="5"/>
  <c r="HC30" i="5"/>
  <c r="AV29" i="5"/>
  <c r="CK30" i="5"/>
  <c r="FL30" i="5"/>
  <c r="DN35" i="5"/>
  <c r="HC34" i="5"/>
  <c r="AV33" i="5"/>
  <c r="CK34" i="5"/>
  <c r="FL34" i="5"/>
  <c r="DN76" i="5"/>
  <c r="HC43" i="5"/>
  <c r="AV42" i="5"/>
  <c r="CK43" i="5"/>
  <c r="FL43" i="5"/>
  <c r="DN72" i="5"/>
  <c r="DN81" i="5"/>
  <c r="HC80" i="5"/>
  <c r="AV79" i="5"/>
  <c r="CK80" i="5"/>
  <c r="FL80" i="5"/>
  <c r="HC66" i="5"/>
  <c r="AV65" i="5"/>
  <c r="CK66" i="5"/>
  <c r="FL66" i="5"/>
  <c r="DN66" i="5"/>
  <c r="HC65" i="5"/>
  <c r="AV64" i="5"/>
  <c r="CK65" i="5"/>
  <c r="FL65" i="5"/>
  <c r="DN56" i="5"/>
  <c r="HC55" i="5"/>
  <c r="AV54" i="5"/>
  <c r="CK55" i="5"/>
  <c r="FL55" i="5"/>
  <c r="HJ83" i="5"/>
  <c r="BC82" i="5"/>
  <c r="CR83" i="5"/>
  <c r="FS83" i="5"/>
  <c r="ID83" i="5" s="1"/>
  <c r="HK84" i="5"/>
  <c r="BD83" i="5"/>
  <c r="CS84" i="5"/>
  <c r="FT84" i="5"/>
  <c r="IE84" i="5" s="1"/>
  <c r="IY84" i="5" s="1"/>
  <c r="JR84" i="5" s="1"/>
  <c r="HH83" i="5"/>
  <c r="BA82" i="5"/>
  <c r="CP83" i="5"/>
  <c r="FQ83" i="5"/>
  <c r="IB83" i="5" s="1"/>
  <c r="DN39" i="5"/>
  <c r="HC38" i="5"/>
  <c r="AV37" i="5"/>
  <c r="CK38" i="5"/>
  <c r="FL38" i="5"/>
  <c r="HC64" i="5"/>
  <c r="AV63" i="5"/>
  <c r="CK64" i="5"/>
  <c r="FL64" i="5"/>
  <c r="KE32" i="5"/>
  <c r="P6" i="5" s="1"/>
  <c r="J18" i="5" s="1"/>
  <c r="DW39" i="5"/>
  <c r="EQ40" i="5"/>
  <c r="DU82" i="5"/>
  <c r="EO83" i="5"/>
  <c r="HU83" i="5" s="1"/>
  <c r="IO83" i="5" s="1"/>
  <c r="JH83" i="5" s="1"/>
  <c r="DV61" i="5"/>
  <c r="EP62" i="5"/>
  <c r="HV62" i="5" s="1"/>
  <c r="IP62" i="5" s="1"/>
  <c r="JI62" i="5" s="1"/>
  <c r="DU34" i="5"/>
  <c r="EO35" i="5"/>
  <c r="HU35" i="5" s="1"/>
  <c r="IO35" i="5" s="1"/>
  <c r="JH35" i="5" s="1"/>
  <c r="EQ30" i="5"/>
  <c r="DW29" i="5"/>
  <c r="EQ47" i="5"/>
  <c r="HW47" i="5" s="1"/>
  <c r="IQ47" i="5" s="1"/>
  <c r="JJ47" i="5" s="1"/>
  <c r="DW46" i="5"/>
  <c r="DW44" i="5"/>
  <c r="EQ45" i="5"/>
  <c r="HW45" i="5" s="1"/>
  <c r="IQ45" i="5" s="1"/>
  <c r="JJ45" i="5" s="1"/>
  <c r="EQ79" i="5"/>
  <c r="HW79" i="5" s="1"/>
  <c r="IQ79" i="5" s="1"/>
  <c r="JJ79" i="5" s="1"/>
  <c r="DW78" i="5"/>
  <c r="DW51" i="5"/>
  <c r="EQ52" i="5"/>
  <c r="DW76" i="5"/>
  <c r="EQ77" i="5"/>
  <c r="HW77" i="5" s="1"/>
  <c r="IQ77" i="5" s="1"/>
  <c r="JJ77" i="5" s="1"/>
  <c r="EO51" i="5"/>
  <c r="HU51" i="5" s="1"/>
  <c r="IO51" i="5" s="1"/>
  <c r="JH51" i="5" s="1"/>
  <c r="DU50" i="5"/>
  <c r="DW52" i="5"/>
  <c r="EQ53" i="5"/>
  <c r="DU84" i="5"/>
  <c r="EO85" i="5"/>
  <c r="HU85" i="5" s="1"/>
  <c r="IO85" i="5" s="1"/>
  <c r="JH85" i="5" s="1"/>
  <c r="DW66" i="5"/>
  <c r="EQ67" i="5"/>
  <c r="DW41" i="5"/>
  <c r="EQ42" i="5"/>
  <c r="DW28" i="5"/>
  <c r="ER28" i="5" s="1"/>
  <c r="EQ29" i="5"/>
  <c r="HW29" i="5" s="1"/>
  <c r="IQ29" i="5" s="1"/>
  <c r="JJ29" i="5" s="1"/>
  <c r="DW69" i="5"/>
  <c r="EQ70" i="5"/>
  <c r="HW70" i="5" s="1"/>
  <c r="IQ70" i="5" s="1"/>
  <c r="JJ70" i="5" s="1"/>
  <c r="DW38" i="5"/>
  <c r="EQ39" i="5"/>
  <c r="DU76" i="5"/>
  <c r="EO77" i="5"/>
  <c r="HU77" i="5" s="1"/>
  <c r="IO77" i="5" s="1"/>
  <c r="JH77" i="5" s="1"/>
  <c r="DU42" i="5"/>
  <c r="EO43" i="5"/>
  <c r="HU43" i="5" s="1"/>
  <c r="IO43" i="5" s="1"/>
  <c r="JH43" i="5" s="1"/>
  <c r="DW35" i="5"/>
  <c r="EQ36" i="5"/>
  <c r="DW45" i="5"/>
  <c r="EQ46" i="5"/>
  <c r="DW53" i="5"/>
  <c r="EQ54" i="5"/>
  <c r="HW54" i="5" s="1"/>
  <c r="IQ54" i="5" s="1"/>
  <c r="JJ54" i="5" s="1"/>
  <c r="DW81" i="5"/>
  <c r="EQ82" i="5"/>
  <c r="HW82" i="5" s="1"/>
  <c r="IQ82" i="5" s="1"/>
  <c r="JJ82" i="5" s="1"/>
  <c r="DW36" i="5"/>
  <c r="EQ37" i="5"/>
  <c r="HW37" i="5" s="1"/>
  <c r="IQ37" i="5" s="1"/>
  <c r="JJ37" i="5" s="1"/>
  <c r="DW71" i="5"/>
  <c r="EQ72" i="5"/>
  <c r="HW72" i="5" s="1"/>
  <c r="IQ72" i="5" s="1"/>
  <c r="JJ72" i="5" s="1"/>
  <c r="DW34" i="5"/>
  <c r="EQ35" i="5"/>
  <c r="HW35" i="5" s="1"/>
  <c r="IQ35" i="5" s="1"/>
  <c r="JJ35" i="5" s="1"/>
  <c r="DW42" i="5"/>
  <c r="EQ43" i="5"/>
  <c r="DW77" i="5"/>
  <c r="EQ78" i="5"/>
  <c r="DW62" i="5"/>
  <c r="EQ63" i="5"/>
  <c r="HW63" i="5" s="1"/>
  <c r="IQ63" i="5" s="1"/>
  <c r="JJ63" i="5" s="1"/>
  <c r="DW70" i="5"/>
  <c r="EQ71" i="5"/>
  <c r="DW57" i="5"/>
  <c r="EQ58" i="5"/>
  <c r="HW58" i="5" s="1"/>
  <c r="IQ58" i="5" s="1"/>
  <c r="JJ58" i="5" s="1"/>
  <c r="EO67" i="5"/>
  <c r="HU67" i="5" s="1"/>
  <c r="IO67" i="5" s="1"/>
  <c r="JH67" i="5" s="1"/>
  <c r="DU66" i="5"/>
  <c r="EO75" i="5"/>
  <c r="HU75" i="5" s="1"/>
  <c r="IO75" i="5" s="1"/>
  <c r="JH75" i="5" s="1"/>
  <c r="DU74" i="5"/>
  <c r="EQ34" i="5"/>
  <c r="HW34" i="5" s="1"/>
  <c r="IQ34" i="5" s="1"/>
  <c r="JJ34" i="5" s="1"/>
  <c r="DW33" i="5"/>
  <c r="EQ48" i="5"/>
  <c r="HW48" i="5" s="1"/>
  <c r="IQ48" i="5" s="1"/>
  <c r="JJ48" i="5" s="1"/>
  <c r="DW47" i="5"/>
  <c r="DU28" i="5"/>
  <c r="EP28" i="5" s="1"/>
  <c r="HV28" i="5" s="1"/>
  <c r="IP28" i="5" s="1"/>
  <c r="JI28" i="5" s="1"/>
  <c r="EO29" i="5"/>
  <c r="HU29" i="5" s="1"/>
  <c r="IO29" i="5" s="1"/>
  <c r="JH29" i="5" s="1"/>
  <c r="EO59" i="5"/>
  <c r="HU59" i="5" s="1"/>
  <c r="IO59" i="5" s="1"/>
  <c r="JH59" i="5" s="1"/>
  <c r="DU58" i="5"/>
  <c r="EQ64" i="5"/>
  <c r="HW64" i="5" s="1"/>
  <c r="IQ64" i="5" s="1"/>
  <c r="JJ64" i="5" s="1"/>
  <c r="DW63" i="5"/>
  <c r="EQ60" i="5"/>
  <c r="HW60" i="5" s="1"/>
  <c r="IQ60" i="5" s="1"/>
  <c r="JJ60" i="5" s="1"/>
  <c r="DW59" i="5"/>
  <c r="DW67" i="5"/>
  <c r="EQ68" i="5"/>
  <c r="DW61" i="5"/>
  <c r="EQ62" i="5"/>
  <c r="DW55" i="5"/>
  <c r="EQ56" i="5"/>
  <c r="HW56" i="5" s="1"/>
  <c r="IQ56" i="5" s="1"/>
  <c r="JJ56" i="5" s="1"/>
  <c r="DW79" i="5"/>
  <c r="EQ80" i="5"/>
  <c r="DW54" i="5"/>
  <c r="EQ55" i="5"/>
  <c r="DW31" i="5"/>
  <c r="EQ32" i="5"/>
  <c r="EP39" i="5"/>
  <c r="HV39" i="5" s="1"/>
  <c r="IP39" i="5" s="1"/>
  <c r="JI39" i="5" s="1"/>
  <c r="DV38" i="5"/>
  <c r="DW43" i="5"/>
  <c r="EQ44" i="5"/>
  <c r="DW73" i="5"/>
  <c r="EQ74" i="5"/>
  <c r="EQ76" i="5"/>
  <c r="HW76" i="5" s="1"/>
  <c r="IQ76" i="5" s="1"/>
  <c r="JJ76" i="5" s="1"/>
  <c r="DW75" i="5"/>
  <c r="DW50" i="5"/>
  <c r="EQ51" i="5"/>
  <c r="EQ84" i="5"/>
  <c r="HW84" i="5" s="1"/>
  <c r="IQ84" i="5" s="1"/>
  <c r="JJ84" i="5" s="1"/>
  <c r="DW83" i="5"/>
  <c r="DW65" i="5"/>
  <c r="EQ66" i="5"/>
  <c r="DU60" i="5"/>
  <c r="EO61" i="5"/>
  <c r="HU61" i="5" s="1"/>
  <c r="IO61" i="5" s="1"/>
  <c r="JH61" i="5" s="1"/>
  <c r="EQ69" i="5"/>
  <c r="HW69" i="5" s="1"/>
  <c r="IQ69" i="5" s="1"/>
  <c r="JJ69" i="5" s="1"/>
  <c r="DW68" i="5"/>
  <c r="DW30" i="5"/>
  <c r="EQ31" i="5"/>
  <c r="DW49" i="5"/>
  <c r="EQ50" i="5"/>
  <c r="HW50" i="5" s="1"/>
  <c r="IQ50" i="5" s="1"/>
  <c r="JJ50" i="5" s="1"/>
  <c r="M105" i="7"/>
  <c r="D106" i="7"/>
  <c r="N105" i="7"/>
  <c r="C105" i="7"/>
  <c r="I105" i="7" s="1"/>
  <c r="E105" i="7"/>
  <c r="H105" i="7" s="1"/>
  <c r="G105" i="7"/>
  <c r="B105" i="7"/>
  <c r="F105" i="7" s="1"/>
  <c r="K106" i="7"/>
  <c r="L106" i="7" s="1"/>
  <c r="J107" i="7"/>
  <c r="HW30" i="5" l="1"/>
  <c r="IQ30" i="5" s="1"/>
  <c r="JJ30" i="5" s="1"/>
  <c r="HW31" i="5"/>
  <c r="IQ31" i="5" s="1"/>
  <c r="JJ31" i="5" s="1"/>
  <c r="HW74" i="5"/>
  <c r="IQ74" i="5" s="1"/>
  <c r="JJ74" i="5" s="1"/>
  <c r="HW44" i="5"/>
  <c r="IQ44" i="5" s="1"/>
  <c r="JJ44" i="5" s="1"/>
  <c r="HW32" i="5"/>
  <c r="IQ32" i="5" s="1"/>
  <c r="JJ32" i="5" s="1"/>
  <c r="HW62" i="5"/>
  <c r="IQ62" i="5" s="1"/>
  <c r="JJ62" i="5" s="1"/>
  <c r="HW68" i="5"/>
  <c r="IQ68" i="5" s="1"/>
  <c r="JJ68" i="5" s="1"/>
  <c r="HW71" i="5"/>
  <c r="IQ71" i="5" s="1"/>
  <c r="JJ71" i="5" s="1"/>
  <c r="HW36" i="5"/>
  <c r="IQ36" i="5" s="1"/>
  <c r="JJ36" i="5" s="1"/>
  <c r="HW67" i="5"/>
  <c r="IQ67" i="5" s="1"/>
  <c r="JJ67" i="5" s="1"/>
  <c r="IV83" i="5"/>
  <c r="JO83" i="5" s="1"/>
  <c r="IX83" i="5"/>
  <c r="JQ83" i="5" s="1"/>
  <c r="IU83" i="5"/>
  <c r="JN83" i="5" s="1"/>
  <c r="IW83" i="5"/>
  <c r="JP83" i="5" s="1"/>
  <c r="HW66" i="5"/>
  <c r="IQ66" i="5" s="1"/>
  <c r="JJ66" i="5" s="1"/>
  <c r="HW51" i="5"/>
  <c r="IQ51" i="5" s="1"/>
  <c r="JJ51" i="5" s="1"/>
  <c r="HW55" i="5"/>
  <c r="IQ55" i="5" s="1"/>
  <c r="JJ55" i="5" s="1"/>
  <c r="HW80" i="5"/>
  <c r="IQ80" i="5" s="1"/>
  <c r="JJ80" i="5" s="1"/>
  <c r="HW78" i="5"/>
  <c r="IQ78" i="5" s="1"/>
  <c r="JJ78" i="5" s="1"/>
  <c r="HW43" i="5"/>
  <c r="IQ43" i="5" s="1"/>
  <c r="JJ43" i="5" s="1"/>
  <c r="HW46" i="5"/>
  <c r="IQ46" i="5" s="1"/>
  <c r="JJ46" i="5" s="1"/>
  <c r="HW39" i="5"/>
  <c r="IQ39" i="5" s="1"/>
  <c r="JJ39" i="5" s="1"/>
  <c r="HW42" i="5"/>
  <c r="IQ42" i="5" s="1"/>
  <c r="JJ42" i="5" s="1"/>
  <c r="HW53" i="5"/>
  <c r="IQ53" i="5" s="1"/>
  <c r="JJ53" i="5" s="1"/>
  <c r="HW52" i="5"/>
  <c r="IQ52" i="5" s="1"/>
  <c r="JJ52" i="5" s="1"/>
  <c r="HW40" i="5"/>
  <c r="IQ40" i="5" s="1"/>
  <c r="JJ40" i="5" s="1"/>
  <c r="IS83" i="5"/>
  <c r="JL83" i="5" s="1"/>
  <c r="IT83" i="5"/>
  <c r="JM83" i="5" s="1"/>
  <c r="KE34" i="5"/>
  <c r="P8" i="5" s="1"/>
  <c r="J20" i="5" s="1"/>
  <c r="KF34" i="5"/>
  <c r="Q8" i="5" s="1"/>
  <c r="JJ26" i="5"/>
  <c r="HL83" i="5"/>
  <c r="BE82" i="5"/>
  <c r="CT83" i="5"/>
  <c r="FU83" i="5"/>
  <c r="IF83" i="5" s="1"/>
  <c r="HD64" i="5"/>
  <c r="AW63" i="5"/>
  <c r="CL64" i="5"/>
  <c r="FM64" i="5"/>
  <c r="HD41" i="5"/>
  <c r="AW40" i="5"/>
  <c r="CL41" i="5"/>
  <c r="FM41" i="5"/>
  <c r="HL86" i="5"/>
  <c r="BE85" i="5"/>
  <c r="CT86" i="5"/>
  <c r="FU86" i="5"/>
  <c r="IF86" i="5" s="1"/>
  <c r="IZ86" i="5" s="1"/>
  <c r="JS86" i="5" s="1"/>
  <c r="HL103" i="5"/>
  <c r="BE102" i="5"/>
  <c r="CT103" i="5"/>
  <c r="FU103" i="5"/>
  <c r="IF103" i="5" s="1"/>
  <c r="IZ103" i="5" s="1"/>
  <c r="JS103" i="5" s="1"/>
  <c r="HD72" i="5"/>
  <c r="AW71" i="5"/>
  <c r="CL72" i="5"/>
  <c r="FM72" i="5"/>
  <c r="HD28" i="5"/>
  <c r="CL28" i="5"/>
  <c r="FM28" i="5"/>
  <c r="HX28" i="5" s="1"/>
  <c r="IR28" i="5" s="1"/>
  <c r="JK28" i="5" s="1"/>
  <c r="HD38" i="5"/>
  <c r="AW37" i="5"/>
  <c r="CL38" i="5"/>
  <c r="FM38" i="5"/>
  <c r="HD68" i="5"/>
  <c r="AW67" i="5"/>
  <c r="CL68" i="5"/>
  <c r="FM68" i="5"/>
  <c r="HK83" i="5"/>
  <c r="BD82" i="5"/>
  <c r="CS83" i="5"/>
  <c r="FT83" i="5"/>
  <c r="IE83" i="5" s="1"/>
  <c r="IY83" i="5" s="1"/>
  <c r="JR83" i="5" s="1"/>
  <c r="HL95" i="5"/>
  <c r="BE94" i="5"/>
  <c r="CT95" i="5"/>
  <c r="FU95" i="5"/>
  <c r="IF95" i="5" s="1"/>
  <c r="IZ95" i="5" s="1"/>
  <c r="JS95" i="5" s="1"/>
  <c r="HL101" i="5"/>
  <c r="BE100" i="5"/>
  <c r="CT101" i="5"/>
  <c r="FU101" i="5"/>
  <c r="IF101" i="5" s="1"/>
  <c r="IZ101" i="5" s="1"/>
  <c r="JS101" i="5" s="1"/>
  <c r="HL104" i="5"/>
  <c r="BE103" i="5"/>
  <c r="CT104" i="5"/>
  <c r="FU104" i="5"/>
  <c r="IF104" i="5" s="1"/>
  <c r="IZ104" i="5" s="1"/>
  <c r="JS104" i="5" s="1"/>
  <c r="HL107" i="5"/>
  <c r="BE106" i="5"/>
  <c r="CT107" i="5"/>
  <c r="FU107" i="5"/>
  <c r="IF107" i="5" s="1"/>
  <c r="IZ107" i="5" s="1"/>
  <c r="JS107" i="5" s="1"/>
  <c r="HL112" i="5"/>
  <c r="BE111" i="5"/>
  <c r="CT112" i="5"/>
  <c r="FU112" i="5"/>
  <c r="IF112" i="5" s="1"/>
  <c r="IZ112" i="5" s="1"/>
  <c r="JS112" i="5" s="1"/>
  <c r="HL114" i="5"/>
  <c r="BE113" i="5"/>
  <c r="CT114" i="5"/>
  <c r="FU114" i="5"/>
  <c r="IF114" i="5" s="1"/>
  <c r="IZ114" i="5" s="1"/>
  <c r="JS114" i="5" s="1"/>
  <c r="HD55" i="5"/>
  <c r="AW54" i="5"/>
  <c r="CL55" i="5"/>
  <c r="FM55" i="5"/>
  <c r="HD48" i="5"/>
  <c r="AW47" i="5"/>
  <c r="CL48" i="5"/>
  <c r="FM48" i="5"/>
  <c r="HD82" i="5"/>
  <c r="AW81" i="5"/>
  <c r="CL82" i="5"/>
  <c r="FM82" i="5"/>
  <c r="HD58" i="5"/>
  <c r="AW57" i="5"/>
  <c r="CL58" i="5"/>
  <c r="FM58" i="5"/>
  <c r="HD80" i="5"/>
  <c r="AW79" i="5"/>
  <c r="CL80" i="5"/>
  <c r="FM80" i="5"/>
  <c r="HD61" i="5"/>
  <c r="AW60" i="5"/>
  <c r="CL61" i="5"/>
  <c r="FM61" i="5"/>
  <c r="HD39" i="5"/>
  <c r="AW38" i="5"/>
  <c r="CL39" i="5"/>
  <c r="FM39" i="5"/>
  <c r="HD81" i="5"/>
  <c r="AW80" i="5"/>
  <c r="CL81" i="5"/>
  <c r="FM81" i="5"/>
  <c r="HE82" i="5"/>
  <c r="AX81" i="5"/>
  <c r="CM82" i="5"/>
  <c r="FN82" i="5"/>
  <c r="HL84" i="5"/>
  <c r="BE83" i="5"/>
  <c r="CT84" i="5"/>
  <c r="FU84" i="5"/>
  <c r="IF84" i="5" s="1"/>
  <c r="IZ84" i="5" s="1"/>
  <c r="JS84" i="5" s="1"/>
  <c r="HL91" i="5"/>
  <c r="BE90" i="5"/>
  <c r="CT91" i="5"/>
  <c r="FU91" i="5"/>
  <c r="IF91" i="5" s="1"/>
  <c r="IZ91" i="5" s="1"/>
  <c r="JS91" i="5" s="1"/>
  <c r="HL97" i="5"/>
  <c r="BE96" i="5"/>
  <c r="CT97" i="5"/>
  <c r="FU97" i="5"/>
  <c r="IF97" i="5" s="1"/>
  <c r="IZ97" i="5" s="1"/>
  <c r="JS97" i="5" s="1"/>
  <c r="HL108" i="5"/>
  <c r="BE107" i="5"/>
  <c r="CT108" i="5"/>
  <c r="FU108" i="5"/>
  <c r="IF108" i="5" s="1"/>
  <c r="IZ108" i="5" s="1"/>
  <c r="JS108" i="5" s="1"/>
  <c r="HL90" i="5"/>
  <c r="BE89" i="5"/>
  <c r="CT90" i="5"/>
  <c r="FU90" i="5"/>
  <c r="IF90" i="5" s="1"/>
  <c r="IZ90" i="5" s="1"/>
  <c r="JS90" i="5" s="1"/>
  <c r="HL96" i="5"/>
  <c r="BE95" i="5"/>
  <c r="CT96" i="5"/>
  <c r="FU96" i="5"/>
  <c r="IF96" i="5" s="1"/>
  <c r="IZ96" i="5" s="1"/>
  <c r="JS96" i="5" s="1"/>
  <c r="HL106" i="5"/>
  <c r="BE105" i="5"/>
  <c r="CT106" i="5"/>
  <c r="FU106" i="5"/>
  <c r="IF106" i="5" s="1"/>
  <c r="IZ106" i="5" s="1"/>
  <c r="JS106" i="5" s="1"/>
  <c r="HD53" i="5"/>
  <c r="AW52" i="5"/>
  <c r="CL53" i="5"/>
  <c r="FM53" i="5"/>
  <c r="HD47" i="5"/>
  <c r="AW46" i="5"/>
  <c r="CL47" i="5"/>
  <c r="FM47" i="5"/>
  <c r="HD56" i="5"/>
  <c r="AW55" i="5"/>
  <c r="CL56" i="5"/>
  <c r="FM56" i="5"/>
  <c r="HL85" i="5"/>
  <c r="BE84" i="5"/>
  <c r="CT85" i="5"/>
  <c r="FU85" i="5"/>
  <c r="IF85" i="5" s="1"/>
  <c r="IZ85" i="5" s="1"/>
  <c r="JS85" i="5" s="1"/>
  <c r="HL89" i="5"/>
  <c r="BE88" i="5"/>
  <c r="CT89" i="5"/>
  <c r="FU89" i="5"/>
  <c r="IF89" i="5" s="1"/>
  <c r="IZ89" i="5" s="1"/>
  <c r="JS89" i="5" s="1"/>
  <c r="HL93" i="5"/>
  <c r="BE92" i="5"/>
  <c r="CT93" i="5"/>
  <c r="FU93" i="5"/>
  <c r="IF93" i="5" s="1"/>
  <c r="IZ93" i="5" s="1"/>
  <c r="JS93" i="5" s="1"/>
  <c r="HL98" i="5"/>
  <c r="BE97" i="5"/>
  <c r="CT98" i="5"/>
  <c r="FU98" i="5"/>
  <c r="IF98" i="5" s="1"/>
  <c r="IZ98" i="5" s="1"/>
  <c r="JS98" i="5" s="1"/>
  <c r="HL99" i="5"/>
  <c r="BE98" i="5"/>
  <c r="CT99" i="5"/>
  <c r="FU99" i="5"/>
  <c r="IF99" i="5" s="1"/>
  <c r="IZ99" i="5" s="1"/>
  <c r="JS99" i="5" s="1"/>
  <c r="HL105" i="5"/>
  <c r="BE104" i="5"/>
  <c r="CT105" i="5"/>
  <c r="FU105" i="5"/>
  <c r="IF105" i="5" s="1"/>
  <c r="IZ105" i="5" s="1"/>
  <c r="JS105" i="5" s="1"/>
  <c r="HL109" i="5"/>
  <c r="BE108" i="5"/>
  <c r="CT109" i="5"/>
  <c r="FU109" i="5"/>
  <c r="IF109" i="5" s="1"/>
  <c r="IZ109" i="5" s="1"/>
  <c r="JS109" i="5" s="1"/>
  <c r="HL111" i="5"/>
  <c r="BE110" i="5"/>
  <c r="CT111" i="5"/>
  <c r="FU111" i="5"/>
  <c r="IF111" i="5" s="1"/>
  <c r="IZ111" i="5" s="1"/>
  <c r="JS111" i="5" s="1"/>
  <c r="HD43" i="5"/>
  <c r="AW42" i="5"/>
  <c r="CL43" i="5"/>
  <c r="FM43" i="5"/>
  <c r="HD54" i="5"/>
  <c r="AW53" i="5"/>
  <c r="CL54" i="5"/>
  <c r="FM54" i="5"/>
  <c r="HD65" i="5"/>
  <c r="AW64" i="5"/>
  <c r="CL65" i="5"/>
  <c r="FM65" i="5"/>
  <c r="HD79" i="5"/>
  <c r="AW78" i="5"/>
  <c r="CL79" i="5"/>
  <c r="FM79" i="5"/>
  <c r="HD42" i="5"/>
  <c r="AW41" i="5"/>
  <c r="CL42" i="5"/>
  <c r="FM42" i="5"/>
  <c r="HD77" i="5"/>
  <c r="AW76" i="5"/>
  <c r="CL77" i="5"/>
  <c r="FM77" i="5"/>
  <c r="HD50" i="5"/>
  <c r="AW49" i="5"/>
  <c r="CL50" i="5"/>
  <c r="FM50" i="5"/>
  <c r="HD60" i="5"/>
  <c r="AW59" i="5"/>
  <c r="CL60" i="5"/>
  <c r="FM60" i="5"/>
  <c r="HD71" i="5"/>
  <c r="AW70" i="5"/>
  <c r="CL71" i="5"/>
  <c r="FM71" i="5"/>
  <c r="HL115" i="5"/>
  <c r="JA115" i="5" s="1"/>
  <c r="JT115" i="5" s="1"/>
  <c r="BE114" i="5"/>
  <c r="CT115" i="5"/>
  <c r="FU115" i="5"/>
  <c r="IF115" i="5" s="1"/>
  <c r="IZ115" i="5" s="1"/>
  <c r="JS115" i="5" s="1"/>
  <c r="HD52" i="5"/>
  <c r="AW51" i="5"/>
  <c r="CL52" i="5"/>
  <c r="FM52" i="5"/>
  <c r="HD32" i="5"/>
  <c r="AW31" i="5"/>
  <c r="CL32" i="5"/>
  <c r="FM32" i="5"/>
  <c r="HD62" i="5"/>
  <c r="AW61" i="5"/>
  <c r="CL62" i="5"/>
  <c r="FM62" i="5"/>
  <c r="HL94" i="5"/>
  <c r="BE93" i="5"/>
  <c r="CT94" i="5"/>
  <c r="FU94" i="5"/>
  <c r="IF94" i="5" s="1"/>
  <c r="IZ94" i="5" s="1"/>
  <c r="JS94" i="5" s="1"/>
  <c r="HL110" i="5"/>
  <c r="BE109" i="5"/>
  <c r="CT110" i="5"/>
  <c r="FU110" i="5"/>
  <c r="IF110" i="5" s="1"/>
  <c r="IZ110" i="5" s="1"/>
  <c r="JS110" i="5" s="1"/>
  <c r="HD30" i="5"/>
  <c r="AW29" i="5"/>
  <c r="CL30" i="5"/>
  <c r="FM30" i="5"/>
  <c r="HH82" i="5"/>
  <c r="BA81" i="5"/>
  <c r="CP82" i="5"/>
  <c r="FQ82" i="5"/>
  <c r="IB82" i="5" s="1"/>
  <c r="HD36" i="5"/>
  <c r="AW35" i="5"/>
  <c r="CL36" i="5"/>
  <c r="FM36" i="5"/>
  <c r="HL87" i="5"/>
  <c r="BE86" i="5"/>
  <c r="CT87" i="5"/>
  <c r="FU87" i="5"/>
  <c r="IF87" i="5" s="1"/>
  <c r="IZ87" i="5" s="1"/>
  <c r="JS87" i="5" s="1"/>
  <c r="HL92" i="5"/>
  <c r="BE91" i="5"/>
  <c r="CT92" i="5"/>
  <c r="FU92" i="5"/>
  <c r="IF92" i="5" s="1"/>
  <c r="IZ92" i="5" s="1"/>
  <c r="JS92" i="5" s="1"/>
  <c r="HD63" i="5"/>
  <c r="AW62" i="5"/>
  <c r="CL63" i="5"/>
  <c r="FM63" i="5"/>
  <c r="HD37" i="5"/>
  <c r="AW36" i="5"/>
  <c r="CL37" i="5"/>
  <c r="FM37" i="5"/>
  <c r="HI82" i="5"/>
  <c r="BB81" i="5"/>
  <c r="CQ82" i="5"/>
  <c r="FR82" i="5"/>
  <c r="IC82" i="5" s="1"/>
  <c r="HK82" i="5"/>
  <c r="BD81" i="5"/>
  <c r="CS82" i="5"/>
  <c r="FT82" i="5"/>
  <c r="IE82" i="5" s="1"/>
  <c r="HD33" i="5"/>
  <c r="AW32" i="5"/>
  <c r="CL33" i="5"/>
  <c r="FM33" i="5"/>
  <c r="HD29" i="5"/>
  <c r="AW28" i="5"/>
  <c r="CL29" i="5"/>
  <c r="FM29" i="5"/>
  <c r="HF82" i="5"/>
  <c r="AY81" i="5"/>
  <c r="CN82" i="5"/>
  <c r="FO82" i="5"/>
  <c r="HZ82" i="5" s="1"/>
  <c r="HD44" i="5"/>
  <c r="AW43" i="5"/>
  <c r="CL44" i="5"/>
  <c r="FM44" i="5"/>
  <c r="HD78" i="5"/>
  <c r="AW77" i="5"/>
  <c r="CL78" i="5"/>
  <c r="FM78" i="5"/>
  <c r="HD46" i="5"/>
  <c r="AW45" i="5"/>
  <c r="CL46" i="5"/>
  <c r="FM46" i="5"/>
  <c r="HD59" i="5"/>
  <c r="AW58" i="5"/>
  <c r="CL59" i="5"/>
  <c r="FM59" i="5"/>
  <c r="HD34" i="5"/>
  <c r="AW33" i="5"/>
  <c r="CL34" i="5"/>
  <c r="FM34" i="5"/>
  <c r="HD70" i="5"/>
  <c r="AW69" i="5"/>
  <c r="CL70" i="5"/>
  <c r="FM70" i="5"/>
  <c r="HD74" i="5"/>
  <c r="AW73" i="5"/>
  <c r="CL74" i="5"/>
  <c r="FM74" i="5"/>
  <c r="HD57" i="5"/>
  <c r="AW56" i="5"/>
  <c r="CL57" i="5"/>
  <c r="FM57" i="5"/>
  <c r="HD45" i="5"/>
  <c r="AW44" i="5"/>
  <c r="CL45" i="5"/>
  <c r="FM45" i="5"/>
  <c r="HG82" i="5"/>
  <c r="AZ81" i="5"/>
  <c r="CO82" i="5"/>
  <c r="FP82" i="5"/>
  <c r="IA82" i="5" s="1"/>
  <c r="HD76" i="5"/>
  <c r="AW75" i="5"/>
  <c r="CL76" i="5"/>
  <c r="FM76" i="5"/>
  <c r="HD51" i="5"/>
  <c r="AW50" i="5"/>
  <c r="CL51" i="5"/>
  <c r="FM51" i="5"/>
  <c r="HL88" i="5"/>
  <c r="BE87" i="5"/>
  <c r="CT88" i="5"/>
  <c r="FU88" i="5"/>
  <c r="IF88" i="5" s="1"/>
  <c r="IZ88" i="5" s="1"/>
  <c r="JS88" i="5" s="1"/>
  <c r="HL100" i="5"/>
  <c r="BE99" i="5"/>
  <c r="CT100" i="5"/>
  <c r="FU100" i="5"/>
  <c r="IF100" i="5" s="1"/>
  <c r="IZ100" i="5" s="1"/>
  <c r="JS100" i="5" s="1"/>
  <c r="HL102" i="5"/>
  <c r="BE101" i="5"/>
  <c r="CT102" i="5"/>
  <c r="FU102" i="5"/>
  <c r="IF102" i="5" s="1"/>
  <c r="IZ102" i="5" s="1"/>
  <c r="JS102" i="5" s="1"/>
  <c r="HL113" i="5"/>
  <c r="BE112" i="5"/>
  <c r="CT113" i="5"/>
  <c r="FU113" i="5"/>
  <c r="IF113" i="5" s="1"/>
  <c r="IZ113" i="5" s="1"/>
  <c r="JS113" i="5" s="1"/>
  <c r="HD35" i="5"/>
  <c r="AW34" i="5"/>
  <c r="CL35" i="5"/>
  <c r="FM35" i="5"/>
  <c r="HD75" i="5"/>
  <c r="AW74" i="5"/>
  <c r="CL75" i="5"/>
  <c r="FM75" i="5"/>
  <c r="HJ82" i="5"/>
  <c r="BC81" i="5"/>
  <c r="CR82" i="5"/>
  <c r="FS82" i="5"/>
  <c r="ID82" i="5" s="1"/>
  <c r="HD31" i="5"/>
  <c r="AW30" i="5"/>
  <c r="CL31" i="5"/>
  <c r="FM31" i="5"/>
  <c r="HD73" i="5"/>
  <c r="AW72" i="5"/>
  <c r="CL73" i="5"/>
  <c r="FM73" i="5"/>
  <c r="HD69" i="5"/>
  <c r="AW68" i="5"/>
  <c r="CL69" i="5"/>
  <c r="FM69" i="5"/>
  <c r="HD49" i="5"/>
  <c r="AW48" i="5"/>
  <c r="CL49" i="5"/>
  <c r="FM49" i="5"/>
  <c r="HD66" i="5"/>
  <c r="AW65" i="5"/>
  <c r="CL66" i="5"/>
  <c r="FM66" i="5"/>
  <c r="HD40" i="5"/>
  <c r="AW39" i="5"/>
  <c r="CL40" i="5"/>
  <c r="FM40" i="5"/>
  <c r="HD67" i="5"/>
  <c r="AW66" i="5"/>
  <c r="CL67" i="5"/>
  <c r="FM67" i="5"/>
  <c r="KF32" i="5"/>
  <c r="Q6" i="5" s="1"/>
  <c r="DX67" i="5"/>
  <c r="ER68" i="5"/>
  <c r="HX68" i="5" s="1"/>
  <c r="IR68" i="5" s="1"/>
  <c r="JK68" i="5" s="1"/>
  <c r="DX82" i="5"/>
  <c r="ER83" i="5"/>
  <c r="HX83" i="5" s="1"/>
  <c r="IR83" i="5" s="1"/>
  <c r="JK83" i="5" s="1"/>
  <c r="DX46" i="5"/>
  <c r="ER47" i="5"/>
  <c r="DX32" i="5"/>
  <c r="ER33" i="5"/>
  <c r="DV73" i="5"/>
  <c r="EP74" i="5"/>
  <c r="HV74" i="5" s="1"/>
  <c r="IP74" i="5" s="1"/>
  <c r="JI74" i="5" s="1"/>
  <c r="DV65" i="5"/>
  <c r="EP66" i="5"/>
  <c r="HV66" i="5" s="1"/>
  <c r="IP66" i="5" s="1"/>
  <c r="JI66" i="5" s="1"/>
  <c r="EP50" i="5"/>
  <c r="HV50" i="5" s="1"/>
  <c r="IP50" i="5" s="1"/>
  <c r="JI50" i="5" s="1"/>
  <c r="DV49" i="5"/>
  <c r="DX77" i="5"/>
  <c r="ER78" i="5"/>
  <c r="DX45" i="5"/>
  <c r="ER46" i="5"/>
  <c r="ER29" i="5"/>
  <c r="HX29" i="5" s="1"/>
  <c r="IR29" i="5" s="1"/>
  <c r="JK29" i="5" s="1"/>
  <c r="DX28" i="5"/>
  <c r="ES28" i="5" s="1"/>
  <c r="ER75" i="5"/>
  <c r="HX75" i="5" s="1"/>
  <c r="IR75" i="5" s="1"/>
  <c r="JK75" i="5" s="1"/>
  <c r="DX74" i="5"/>
  <c r="EQ38" i="5"/>
  <c r="HW38" i="5" s="1"/>
  <c r="IQ38" i="5" s="1"/>
  <c r="JJ38" i="5" s="1"/>
  <c r="DW37" i="5"/>
  <c r="DX58" i="5"/>
  <c r="ER59" i="5"/>
  <c r="DX62" i="5"/>
  <c r="ER63" i="5"/>
  <c r="DV57" i="5"/>
  <c r="EP58" i="5"/>
  <c r="HV58" i="5" s="1"/>
  <c r="IP58" i="5" s="1"/>
  <c r="JI58" i="5" s="1"/>
  <c r="DX48" i="5"/>
  <c r="ER49" i="5"/>
  <c r="DX29" i="5"/>
  <c r="ER30" i="5"/>
  <c r="DV59" i="5"/>
  <c r="EP60" i="5"/>
  <c r="HV60" i="5" s="1"/>
  <c r="IP60" i="5" s="1"/>
  <c r="JI60" i="5" s="1"/>
  <c r="DX64" i="5"/>
  <c r="ER65" i="5"/>
  <c r="DX49" i="5"/>
  <c r="ER50" i="5"/>
  <c r="DX72" i="5"/>
  <c r="ER73" i="5"/>
  <c r="ER43" i="5"/>
  <c r="HX43" i="5" s="1"/>
  <c r="IR43" i="5" s="1"/>
  <c r="JK43" i="5" s="1"/>
  <c r="DX42" i="5"/>
  <c r="DX30" i="5"/>
  <c r="ER31" i="5"/>
  <c r="ER54" i="5"/>
  <c r="HX54" i="5" s="1"/>
  <c r="IR54" i="5" s="1"/>
  <c r="JK54" i="5" s="1"/>
  <c r="DX53" i="5"/>
  <c r="DX78" i="5"/>
  <c r="ER79" i="5"/>
  <c r="DX54" i="5"/>
  <c r="ER55" i="5"/>
  <c r="DX60" i="5"/>
  <c r="ER61" i="5"/>
  <c r="DX66" i="5"/>
  <c r="ER67" i="5"/>
  <c r="DX56" i="5"/>
  <c r="ER57" i="5"/>
  <c r="ER70" i="5"/>
  <c r="HX70" i="5" s="1"/>
  <c r="IR70" i="5" s="1"/>
  <c r="JK70" i="5" s="1"/>
  <c r="DX69" i="5"/>
  <c r="DX61" i="5"/>
  <c r="ER62" i="5"/>
  <c r="DX76" i="5"/>
  <c r="ER77" i="5"/>
  <c r="DX41" i="5"/>
  <c r="ER42" i="5"/>
  <c r="ER34" i="5"/>
  <c r="HX34" i="5" s="1"/>
  <c r="IR34" i="5" s="1"/>
  <c r="JK34" i="5" s="1"/>
  <c r="DX33" i="5"/>
  <c r="DX70" i="5"/>
  <c r="ER71" i="5"/>
  <c r="ER36" i="5"/>
  <c r="HX36" i="5" s="1"/>
  <c r="IR36" i="5" s="1"/>
  <c r="JK36" i="5" s="1"/>
  <c r="DX35" i="5"/>
  <c r="ER81" i="5"/>
  <c r="HX81" i="5" s="1"/>
  <c r="IR81" i="5" s="1"/>
  <c r="JK81" i="5" s="1"/>
  <c r="DX80" i="5"/>
  <c r="DX52" i="5"/>
  <c r="ER53" i="5"/>
  <c r="ER45" i="5"/>
  <c r="HX45" i="5" s="1"/>
  <c r="IR45" i="5" s="1"/>
  <c r="JK45" i="5" s="1"/>
  <c r="DX44" i="5"/>
  <c r="DX34" i="5"/>
  <c r="ER35" i="5"/>
  <c r="EP42" i="5"/>
  <c r="HV42" i="5" s="1"/>
  <c r="IP42" i="5" s="1"/>
  <c r="JI42" i="5" s="1"/>
  <c r="DV41" i="5"/>
  <c r="EP76" i="5"/>
  <c r="HV76" i="5" s="1"/>
  <c r="IP76" i="5" s="1"/>
  <c r="JI76" i="5" s="1"/>
  <c r="DV75" i="5"/>
  <c r="DX37" i="5"/>
  <c r="ER38" i="5"/>
  <c r="HX38" i="5" s="1"/>
  <c r="IR38" i="5" s="1"/>
  <c r="JK38" i="5" s="1"/>
  <c r="DX68" i="5"/>
  <c r="ER69" i="5"/>
  <c r="DX40" i="5"/>
  <c r="ER41" i="5"/>
  <c r="HX41" i="5" s="1"/>
  <c r="IR41" i="5" s="1"/>
  <c r="JK41" i="5" s="1"/>
  <c r="DX65" i="5"/>
  <c r="ER66" i="5"/>
  <c r="EP84" i="5"/>
  <c r="HV84" i="5" s="1"/>
  <c r="IP84" i="5" s="1"/>
  <c r="JI84" i="5" s="1"/>
  <c r="DV83" i="5"/>
  <c r="ER52" i="5"/>
  <c r="HX52" i="5" s="1"/>
  <c r="IR52" i="5" s="1"/>
  <c r="JK52" i="5" s="1"/>
  <c r="DX51" i="5"/>
  <c r="DX75" i="5"/>
  <c r="ER76" i="5"/>
  <c r="ER51" i="5"/>
  <c r="HX51" i="5" s="1"/>
  <c r="IR51" i="5" s="1"/>
  <c r="JK51" i="5" s="1"/>
  <c r="DX50" i="5"/>
  <c r="ER44" i="5"/>
  <c r="HX44" i="5" s="1"/>
  <c r="IR44" i="5" s="1"/>
  <c r="JK44" i="5" s="1"/>
  <c r="DX43" i="5"/>
  <c r="EP34" i="5"/>
  <c r="HV34" i="5" s="1"/>
  <c r="IP34" i="5" s="1"/>
  <c r="JI34" i="5" s="1"/>
  <c r="DV33" i="5"/>
  <c r="EQ61" i="5"/>
  <c r="HW61" i="5" s="1"/>
  <c r="IQ61" i="5" s="1"/>
  <c r="JJ61" i="5" s="1"/>
  <c r="DW60" i="5"/>
  <c r="DV81" i="5"/>
  <c r="EP82" i="5"/>
  <c r="HV82" i="5" s="1"/>
  <c r="IP82" i="5" s="1"/>
  <c r="JI82" i="5" s="1"/>
  <c r="DX38" i="5"/>
  <c r="ER39" i="5"/>
  <c r="N106" i="7"/>
  <c r="M106" i="7"/>
  <c r="D107" i="7"/>
  <c r="C106" i="7"/>
  <c r="I106" i="7" s="1"/>
  <c r="E106" i="7"/>
  <c r="H106" i="7" s="1"/>
  <c r="G106" i="7"/>
  <c r="B106" i="7"/>
  <c r="F106" i="7" s="1"/>
  <c r="K107" i="7"/>
  <c r="L107" i="7" s="1"/>
  <c r="J108" i="7"/>
  <c r="HX39" i="5" l="1"/>
  <c r="IR39" i="5" s="1"/>
  <c r="JK39" i="5" s="1"/>
  <c r="HX53" i="5"/>
  <c r="IR53" i="5" s="1"/>
  <c r="JK53" i="5" s="1"/>
  <c r="HX61" i="5"/>
  <c r="IR61" i="5" s="1"/>
  <c r="JK61" i="5" s="1"/>
  <c r="HX55" i="5"/>
  <c r="IR55" i="5" s="1"/>
  <c r="JK55" i="5" s="1"/>
  <c r="HX71" i="5"/>
  <c r="IR71" i="5" s="1"/>
  <c r="JK71" i="5" s="1"/>
  <c r="HX42" i="5"/>
  <c r="IR42" i="5" s="1"/>
  <c r="JK42" i="5" s="1"/>
  <c r="HX77" i="5"/>
  <c r="IR77" i="5" s="1"/>
  <c r="JK77" i="5" s="1"/>
  <c r="HX47" i="5"/>
  <c r="IR47" i="5" s="1"/>
  <c r="JK47" i="5" s="1"/>
  <c r="HX76" i="5"/>
  <c r="IR76" i="5" s="1"/>
  <c r="JK76" i="5" s="1"/>
  <c r="HX62" i="5"/>
  <c r="IR62" i="5" s="1"/>
  <c r="JK62" i="5" s="1"/>
  <c r="HX79" i="5"/>
  <c r="IR79" i="5" s="1"/>
  <c r="JK79" i="5" s="1"/>
  <c r="HX66" i="5"/>
  <c r="IR66" i="5" s="1"/>
  <c r="JK66" i="5" s="1"/>
  <c r="HX69" i="5"/>
  <c r="IR69" i="5" s="1"/>
  <c r="JK69" i="5" s="1"/>
  <c r="HX35" i="5"/>
  <c r="IR35" i="5" s="1"/>
  <c r="JK35" i="5" s="1"/>
  <c r="HX57" i="5"/>
  <c r="IR57" i="5" s="1"/>
  <c r="JK57" i="5" s="1"/>
  <c r="HX67" i="5"/>
  <c r="IR67" i="5" s="1"/>
  <c r="JK67" i="5" s="1"/>
  <c r="HX31" i="5"/>
  <c r="IR31" i="5" s="1"/>
  <c r="JK31" i="5" s="1"/>
  <c r="HX73" i="5"/>
  <c r="IR73" i="5" s="1"/>
  <c r="JK73" i="5" s="1"/>
  <c r="HX50" i="5"/>
  <c r="IR50" i="5" s="1"/>
  <c r="JK50" i="5" s="1"/>
  <c r="HX65" i="5"/>
  <c r="IR65" i="5" s="1"/>
  <c r="JK65" i="5" s="1"/>
  <c r="HX30" i="5"/>
  <c r="IR30" i="5" s="1"/>
  <c r="JK30" i="5" s="1"/>
  <c r="HX63" i="5"/>
  <c r="IR63" i="5" s="1"/>
  <c r="JK63" i="5" s="1"/>
  <c r="HX59" i="5"/>
  <c r="IR59" i="5" s="1"/>
  <c r="JK59" i="5" s="1"/>
  <c r="HX46" i="5"/>
  <c r="IR46" i="5" s="1"/>
  <c r="JK46" i="5" s="1"/>
  <c r="IX82" i="5"/>
  <c r="JQ82" i="5" s="1"/>
  <c r="IU82" i="5"/>
  <c r="JN82" i="5" s="1"/>
  <c r="IT82" i="5"/>
  <c r="JM82" i="5" s="1"/>
  <c r="IY82" i="5"/>
  <c r="JR82" i="5" s="1"/>
  <c r="IW82" i="5"/>
  <c r="JP82" i="5" s="1"/>
  <c r="IV82" i="5"/>
  <c r="JO82" i="5" s="1"/>
  <c r="HX49" i="5"/>
  <c r="IR49" i="5" s="1"/>
  <c r="JK49" i="5" s="1"/>
  <c r="HX78" i="5"/>
  <c r="IR78" i="5" s="1"/>
  <c r="JK78" i="5" s="1"/>
  <c r="HX33" i="5"/>
  <c r="IR33" i="5" s="1"/>
  <c r="JK33" i="5" s="1"/>
  <c r="IZ83" i="5"/>
  <c r="JS83" i="5" s="1"/>
  <c r="KE33" i="5"/>
  <c r="P7" i="5" s="1"/>
  <c r="J19" i="5" s="1"/>
  <c r="KF33" i="5"/>
  <c r="Q7" i="5" s="1"/>
  <c r="HE66" i="5"/>
  <c r="AX65" i="5"/>
  <c r="CM66" i="5"/>
  <c r="FN66" i="5"/>
  <c r="HE39" i="5"/>
  <c r="AX38" i="5"/>
  <c r="CM39" i="5"/>
  <c r="FN39" i="5"/>
  <c r="HE65" i="5"/>
  <c r="AX64" i="5"/>
  <c r="CM65" i="5"/>
  <c r="FN65" i="5"/>
  <c r="HE48" i="5"/>
  <c r="AX47" i="5"/>
  <c r="CM48" i="5"/>
  <c r="FN48" i="5"/>
  <c r="HE68" i="5"/>
  <c r="AX67" i="5"/>
  <c r="CM68" i="5"/>
  <c r="FN68" i="5"/>
  <c r="HE72" i="5"/>
  <c r="AX71" i="5"/>
  <c r="CM72" i="5"/>
  <c r="FN72" i="5"/>
  <c r="HE30" i="5"/>
  <c r="AX29" i="5"/>
  <c r="CM30" i="5"/>
  <c r="FN30" i="5"/>
  <c r="HK81" i="5"/>
  <c r="BD80" i="5"/>
  <c r="CS81" i="5"/>
  <c r="FT81" i="5"/>
  <c r="IE81" i="5" s="1"/>
  <c r="HE44" i="5"/>
  <c r="AX43" i="5"/>
  <c r="CM44" i="5"/>
  <c r="FN44" i="5"/>
  <c r="HE56" i="5"/>
  <c r="AX55" i="5"/>
  <c r="CM56" i="5"/>
  <c r="FN56" i="5"/>
  <c r="HE73" i="5"/>
  <c r="AX72" i="5"/>
  <c r="CM73" i="5"/>
  <c r="FN73" i="5"/>
  <c r="HE69" i="5"/>
  <c r="AX68" i="5"/>
  <c r="CM69" i="5"/>
  <c r="FN69" i="5"/>
  <c r="HE33" i="5"/>
  <c r="AX32" i="5"/>
  <c r="CM33" i="5"/>
  <c r="FN33" i="5"/>
  <c r="HE58" i="5"/>
  <c r="AX57" i="5"/>
  <c r="CM58" i="5"/>
  <c r="FN58" i="5"/>
  <c r="HE45" i="5"/>
  <c r="AX44" i="5"/>
  <c r="CM45" i="5"/>
  <c r="FN45" i="5"/>
  <c r="HE77" i="5"/>
  <c r="AX76" i="5"/>
  <c r="CM77" i="5"/>
  <c r="FN77" i="5"/>
  <c r="HE43" i="5"/>
  <c r="AX42" i="5"/>
  <c r="CM43" i="5"/>
  <c r="FN43" i="5"/>
  <c r="HG81" i="5"/>
  <c r="AZ80" i="5"/>
  <c r="CO81" i="5"/>
  <c r="FP81" i="5"/>
  <c r="IA81" i="5" s="1"/>
  <c r="HE28" i="5"/>
  <c r="CM28" i="5"/>
  <c r="FN28" i="5"/>
  <c r="HY28" i="5" s="1"/>
  <c r="IS28" i="5" s="1"/>
  <c r="JL28" i="5" s="1"/>
  <c r="HE32" i="5"/>
  <c r="AX31" i="5"/>
  <c r="CM32" i="5"/>
  <c r="FN32" i="5"/>
  <c r="HL81" i="5"/>
  <c r="BE80" i="5"/>
  <c r="CT81" i="5"/>
  <c r="FU81" i="5"/>
  <c r="IF81" i="5" s="1"/>
  <c r="IZ81" i="5" s="1"/>
  <c r="JS81" i="5" s="1"/>
  <c r="HJ81" i="5"/>
  <c r="BC80" i="5"/>
  <c r="CR81" i="5"/>
  <c r="FS81" i="5"/>
  <c r="ID81" i="5" s="1"/>
  <c r="HE36" i="5"/>
  <c r="AX35" i="5"/>
  <c r="CM36" i="5"/>
  <c r="FN36" i="5"/>
  <c r="HE62" i="5"/>
  <c r="AX61" i="5"/>
  <c r="CM62" i="5"/>
  <c r="FN62" i="5"/>
  <c r="HM91" i="5"/>
  <c r="BF90" i="5"/>
  <c r="CU91" i="5"/>
  <c r="FV91" i="5"/>
  <c r="IG91" i="5" s="1"/>
  <c r="JA91" i="5" s="1"/>
  <c r="JT91" i="5" s="1"/>
  <c r="HM86" i="5"/>
  <c r="BF85" i="5"/>
  <c r="CU86" i="5"/>
  <c r="FV86" i="5"/>
  <c r="IG86" i="5" s="1"/>
  <c r="JA86" i="5" s="1"/>
  <c r="JT86" i="5" s="1"/>
  <c r="HE35" i="5"/>
  <c r="AX34" i="5"/>
  <c r="CM35" i="5"/>
  <c r="FN35" i="5"/>
  <c r="HI81" i="5"/>
  <c r="BB80" i="5"/>
  <c r="CQ81" i="5"/>
  <c r="FR81" i="5"/>
  <c r="IC81" i="5" s="1"/>
  <c r="HE29" i="5"/>
  <c r="AX28" i="5"/>
  <c r="CM29" i="5"/>
  <c r="FN29" i="5"/>
  <c r="HM109" i="5"/>
  <c r="BF108" i="5"/>
  <c r="CU109" i="5"/>
  <c r="FV109" i="5"/>
  <c r="IG109" i="5" s="1"/>
  <c r="JA109" i="5" s="1"/>
  <c r="JT109" i="5" s="1"/>
  <c r="HM93" i="5"/>
  <c r="BF92" i="5"/>
  <c r="CU93" i="5"/>
  <c r="FV93" i="5"/>
  <c r="IG93" i="5" s="1"/>
  <c r="JA93" i="5" s="1"/>
  <c r="JT93" i="5" s="1"/>
  <c r="HE61" i="5"/>
  <c r="AX60" i="5"/>
  <c r="CM61" i="5"/>
  <c r="FN61" i="5"/>
  <c r="HE31" i="5"/>
  <c r="AX30" i="5"/>
  <c r="CM31" i="5"/>
  <c r="FN31" i="5"/>
  <c r="HE51" i="5"/>
  <c r="AX50" i="5"/>
  <c r="CM51" i="5"/>
  <c r="FN51" i="5"/>
  <c r="HM114" i="5"/>
  <c r="JB114" i="5" s="1"/>
  <c r="JU114" i="5" s="1"/>
  <c r="BF113" i="5"/>
  <c r="CU114" i="5"/>
  <c r="FV114" i="5"/>
  <c r="IG114" i="5" s="1"/>
  <c r="JA114" i="5" s="1"/>
  <c r="JT114" i="5" s="1"/>
  <c r="HE70" i="5"/>
  <c r="AX69" i="5"/>
  <c r="CM70" i="5"/>
  <c r="FN70" i="5"/>
  <c r="HE59" i="5"/>
  <c r="AX58" i="5"/>
  <c r="CM59" i="5"/>
  <c r="FN59" i="5"/>
  <c r="HE49" i="5"/>
  <c r="AX48" i="5"/>
  <c r="CM49" i="5"/>
  <c r="FN49" i="5"/>
  <c r="HE76" i="5"/>
  <c r="AX75" i="5"/>
  <c r="CM76" i="5"/>
  <c r="FN76" i="5"/>
  <c r="HE41" i="5"/>
  <c r="AX40" i="5"/>
  <c r="CM41" i="5"/>
  <c r="FN41" i="5"/>
  <c r="HE78" i="5"/>
  <c r="AX77" i="5"/>
  <c r="CM78" i="5"/>
  <c r="FN78" i="5"/>
  <c r="HE64" i="5"/>
  <c r="AX63" i="5"/>
  <c r="CM64" i="5"/>
  <c r="FN64" i="5"/>
  <c r="HE53" i="5"/>
  <c r="AX52" i="5"/>
  <c r="CM53" i="5"/>
  <c r="FN53" i="5"/>
  <c r="HE42" i="5"/>
  <c r="AX41" i="5"/>
  <c r="CM42" i="5"/>
  <c r="FN42" i="5"/>
  <c r="HM110" i="5"/>
  <c r="BF109" i="5"/>
  <c r="CU110" i="5"/>
  <c r="FV110" i="5"/>
  <c r="IG110" i="5" s="1"/>
  <c r="JA110" i="5" s="1"/>
  <c r="JT110" i="5" s="1"/>
  <c r="HM108" i="5"/>
  <c r="BF107" i="5"/>
  <c r="CU108" i="5"/>
  <c r="FV108" i="5"/>
  <c r="IG108" i="5" s="1"/>
  <c r="JA108" i="5" s="1"/>
  <c r="JT108" i="5" s="1"/>
  <c r="HM104" i="5"/>
  <c r="BF103" i="5"/>
  <c r="CU104" i="5"/>
  <c r="FV104" i="5"/>
  <c r="IG104" i="5" s="1"/>
  <c r="JA104" i="5" s="1"/>
  <c r="JT104" i="5" s="1"/>
  <c r="HM98" i="5"/>
  <c r="BF97" i="5"/>
  <c r="CU98" i="5"/>
  <c r="FV98" i="5"/>
  <c r="IG98" i="5" s="1"/>
  <c r="JA98" i="5" s="1"/>
  <c r="JT98" i="5" s="1"/>
  <c r="HM97" i="5"/>
  <c r="BF96" i="5"/>
  <c r="CU97" i="5"/>
  <c r="FV97" i="5"/>
  <c r="IG97" i="5" s="1"/>
  <c r="JA97" i="5" s="1"/>
  <c r="JT97" i="5" s="1"/>
  <c r="HM92" i="5"/>
  <c r="BF91" i="5"/>
  <c r="CU92" i="5"/>
  <c r="FV92" i="5"/>
  <c r="IG92" i="5" s="1"/>
  <c r="JA92" i="5" s="1"/>
  <c r="JT92" i="5" s="1"/>
  <c r="HM88" i="5"/>
  <c r="BF87" i="5"/>
  <c r="CU88" i="5"/>
  <c r="FV88" i="5"/>
  <c r="IG88" i="5" s="1"/>
  <c r="JA88" i="5" s="1"/>
  <c r="JT88" i="5" s="1"/>
  <c r="HM84" i="5"/>
  <c r="BF83" i="5"/>
  <c r="CU84" i="5"/>
  <c r="FV84" i="5"/>
  <c r="IG84" i="5" s="1"/>
  <c r="JA84" i="5" s="1"/>
  <c r="JT84" i="5" s="1"/>
  <c r="HE55" i="5"/>
  <c r="AX54" i="5"/>
  <c r="CM55" i="5"/>
  <c r="FN55" i="5"/>
  <c r="HE46" i="5"/>
  <c r="AX45" i="5"/>
  <c r="CM46" i="5"/>
  <c r="FN46" i="5"/>
  <c r="HE52" i="5"/>
  <c r="AX51" i="5"/>
  <c r="CM52" i="5"/>
  <c r="FN52" i="5"/>
  <c r="HM105" i="5"/>
  <c r="BF104" i="5"/>
  <c r="CU105" i="5"/>
  <c r="FV105" i="5"/>
  <c r="IG105" i="5" s="1"/>
  <c r="JA105" i="5" s="1"/>
  <c r="JT105" i="5" s="1"/>
  <c r="HM95" i="5"/>
  <c r="BF94" i="5"/>
  <c r="CU95" i="5"/>
  <c r="FV95" i="5"/>
  <c r="IG95" i="5" s="1"/>
  <c r="JA95" i="5" s="1"/>
  <c r="JT95" i="5" s="1"/>
  <c r="HM89" i="5"/>
  <c r="BF88" i="5"/>
  <c r="CU89" i="5"/>
  <c r="FV89" i="5"/>
  <c r="IG89" i="5" s="1"/>
  <c r="JA89" i="5" s="1"/>
  <c r="JT89" i="5" s="1"/>
  <c r="HM107" i="5"/>
  <c r="BF106" i="5"/>
  <c r="CU107" i="5"/>
  <c r="FV107" i="5"/>
  <c r="IG107" i="5" s="1"/>
  <c r="JA107" i="5" s="1"/>
  <c r="JT107" i="5" s="1"/>
  <c r="HM96" i="5"/>
  <c r="BF95" i="5"/>
  <c r="CU96" i="5"/>
  <c r="FV96" i="5"/>
  <c r="IG96" i="5" s="1"/>
  <c r="JA96" i="5" s="1"/>
  <c r="JT96" i="5" s="1"/>
  <c r="HM90" i="5"/>
  <c r="BF89" i="5"/>
  <c r="CU90" i="5"/>
  <c r="FV90" i="5"/>
  <c r="IG90" i="5" s="1"/>
  <c r="JA90" i="5" s="1"/>
  <c r="JT90" i="5" s="1"/>
  <c r="HM83" i="5"/>
  <c r="BF82" i="5"/>
  <c r="CU83" i="5"/>
  <c r="FV83" i="5"/>
  <c r="IG83" i="5" s="1"/>
  <c r="JA83" i="5" s="1"/>
  <c r="JT83" i="5" s="1"/>
  <c r="HF81" i="5"/>
  <c r="AY80" i="5"/>
  <c r="CN81" i="5"/>
  <c r="FO81" i="5"/>
  <c r="HE80" i="5"/>
  <c r="AX79" i="5"/>
  <c r="CM80" i="5"/>
  <c r="FN80" i="5"/>
  <c r="HE38" i="5"/>
  <c r="AX37" i="5"/>
  <c r="CM38" i="5"/>
  <c r="FN38" i="5"/>
  <c r="HE60" i="5"/>
  <c r="AX59" i="5"/>
  <c r="CM60" i="5"/>
  <c r="FN60" i="5"/>
  <c r="HE79" i="5"/>
  <c r="AX78" i="5"/>
  <c r="CM79" i="5"/>
  <c r="FN79" i="5"/>
  <c r="HE57" i="5"/>
  <c r="AX56" i="5"/>
  <c r="CM57" i="5"/>
  <c r="FN57" i="5"/>
  <c r="HE81" i="5"/>
  <c r="AX80" i="5"/>
  <c r="CM81" i="5"/>
  <c r="FN81" i="5"/>
  <c r="HE47" i="5"/>
  <c r="AX46" i="5"/>
  <c r="CM47" i="5"/>
  <c r="FN47" i="5"/>
  <c r="HE54" i="5"/>
  <c r="AX53" i="5"/>
  <c r="CM54" i="5"/>
  <c r="FN54" i="5"/>
  <c r="HM113" i="5"/>
  <c r="BF112" i="5"/>
  <c r="CU113" i="5"/>
  <c r="FV113" i="5"/>
  <c r="IG113" i="5" s="1"/>
  <c r="JA113" i="5" s="1"/>
  <c r="JT113" i="5" s="1"/>
  <c r="HM111" i="5"/>
  <c r="BF110" i="5"/>
  <c r="CU111" i="5"/>
  <c r="FV111" i="5"/>
  <c r="IG111" i="5" s="1"/>
  <c r="JA111" i="5" s="1"/>
  <c r="JT111" i="5" s="1"/>
  <c r="HM106" i="5"/>
  <c r="BF105" i="5"/>
  <c r="CU106" i="5"/>
  <c r="FV106" i="5"/>
  <c r="IG106" i="5" s="1"/>
  <c r="JA106" i="5" s="1"/>
  <c r="JT106" i="5" s="1"/>
  <c r="HM103" i="5"/>
  <c r="BF102" i="5"/>
  <c r="CU103" i="5"/>
  <c r="FV103" i="5"/>
  <c r="IG103" i="5" s="1"/>
  <c r="JA103" i="5" s="1"/>
  <c r="JT103" i="5" s="1"/>
  <c r="HM100" i="5"/>
  <c r="BF99" i="5"/>
  <c r="CU100" i="5"/>
  <c r="FV100" i="5"/>
  <c r="IG100" i="5" s="1"/>
  <c r="JA100" i="5" s="1"/>
  <c r="JT100" i="5" s="1"/>
  <c r="HM94" i="5"/>
  <c r="BF93" i="5"/>
  <c r="CU94" i="5"/>
  <c r="FV94" i="5"/>
  <c r="IG94" i="5" s="1"/>
  <c r="JA94" i="5" s="1"/>
  <c r="JT94" i="5" s="1"/>
  <c r="HL82" i="5"/>
  <c r="BE81" i="5"/>
  <c r="CT82" i="5"/>
  <c r="FU82" i="5"/>
  <c r="IF82" i="5" s="1"/>
  <c r="IZ82" i="5" s="1"/>
  <c r="JS82" i="5" s="1"/>
  <c r="HE67" i="5"/>
  <c r="AX66" i="5"/>
  <c r="CM67" i="5"/>
  <c r="FN67" i="5"/>
  <c r="HE37" i="5"/>
  <c r="AX36" i="5"/>
  <c r="CM37" i="5"/>
  <c r="FN37" i="5"/>
  <c r="HE74" i="5"/>
  <c r="AX73" i="5"/>
  <c r="CM74" i="5"/>
  <c r="FN74" i="5"/>
  <c r="HE34" i="5"/>
  <c r="AX33" i="5"/>
  <c r="CM34" i="5"/>
  <c r="FN34" i="5"/>
  <c r="HM112" i="5"/>
  <c r="BF111" i="5"/>
  <c r="CU112" i="5"/>
  <c r="FV112" i="5"/>
  <c r="IG112" i="5" s="1"/>
  <c r="JA112" i="5" s="1"/>
  <c r="JT112" i="5" s="1"/>
  <c r="HM101" i="5"/>
  <c r="BF100" i="5"/>
  <c r="CU101" i="5"/>
  <c r="FV101" i="5"/>
  <c r="IG101" i="5" s="1"/>
  <c r="JA101" i="5" s="1"/>
  <c r="JT101" i="5" s="1"/>
  <c r="HM99" i="5"/>
  <c r="BF98" i="5"/>
  <c r="CU99" i="5"/>
  <c r="FV99" i="5"/>
  <c r="IG99" i="5" s="1"/>
  <c r="JA99" i="5" s="1"/>
  <c r="JT99" i="5" s="1"/>
  <c r="HM87" i="5"/>
  <c r="BF86" i="5"/>
  <c r="CU87" i="5"/>
  <c r="FV87" i="5"/>
  <c r="IG87" i="5" s="1"/>
  <c r="JA87" i="5" s="1"/>
  <c r="JT87" i="5" s="1"/>
  <c r="HE50" i="5"/>
  <c r="AX49" i="5"/>
  <c r="CM50" i="5"/>
  <c r="FN50" i="5"/>
  <c r="HE75" i="5"/>
  <c r="AX74" i="5"/>
  <c r="CM75" i="5"/>
  <c r="FN75" i="5"/>
  <c r="HH81" i="5"/>
  <c r="BA80" i="5"/>
  <c r="CP81" i="5"/>
  <c r="FQ81" i="5"/>
  <c r="IB81" i="5" s="1"/>
  <c r="IV81" i="5" s="1"/>
  <c r="JO81" i="5" s="1"/>
  <c r="HE71" i="5"/>
  <c r="AX70" i="5"/>
  <c r="CM71" i="5"/>
  <c r="FN71" i="5"/>
  <c r="HM102" i="5"/>
  <c r="BF101" i="5"/>
  <c r="CU102" i="5"/>
  <c r="FV102" i="5"/>
  <c r="IG102" i="5" s="1"/>
  <c r="JA102" i="5" s="1"/>
  <c r="JT102" i="5" s="1"/>
  <c r="HM85" i="5"/>
  <c r="BF84" i="5"/>
  <c r="CU85" i="5"/>
  <c r="FV85" i="5"/>
  <c r="IG85" i="5" s="1"/>
  <c r="JA85" i="5" s="1"/>
  <c r="JT85" i="5" s="1"/>
  <c r="HE40" i="5"/>
  <c r="AX39" i="5"/>
  <c r="CM40" i="5"/>
  <c r="FN40" i="5"/>
  <c r="HE63" i="5"/>
  <c r="AX62" i="5"/>
  <c r="CM63" i="5"/>
  <c r="FN63" i="5"/>
  <c r="HM82" i="5"/>
  <c r="BF81" i="5"/>
  <c r="CU82" i="5"/>
  <c r="FV82" i="5"/>
  <c r="IG82" i="5" s="1"/>
  <c r="KF35" i="5"/>
  <c r="Q9" i="5" s="1"/>
  <c r="DY50" i="5"/>
  <c r="ES51" i="5"/>
  <c r="DW82" i="5"/>
  <c r="EQ83" i="5"/>
  <c r="HW83" i="5" s="1"/>
  <c r="IQ83" i="5" s="1"/>
  <c r="JJ83" i="5" s="1"/>
  <c r="DW74" i="5"/>
  <c r="EQ75" i="5"/>
  <c r="HW75" i="5" s="1"/>
  <c r="IQ75" i="5" s="1"/>
  <c r="JJ75" i="5" s="1"/>
  <c r="DW40" i="5"/>
  <c r="EQ41" i="5"/>
  <c r="HW41" i="5" s="1"/>
  <c r="IQ41" i="5" s="1"/>
  <c r="JJ41" i="5" s="1"/>
  <c r="ES80" i="5"/>
  <c r="HY80" i="5" s="1"/>
  <c r="IS80" i="5" s="1"/>
  <c r="JL80" i="5" s="1"/>
  <c r="DY79" i="5"/>
  <c r="DY34" i="5"/>
  <c r="ES35" i="5"/>
  <c r="DY68" i="5"/>
  <c r="ES69" i="5"/>
  <c r="HY69" i="5" s="1"/>
  <c r="IS69" i="5" s="1"/>
  <c r="JL69" i="5" s="1"/>
  <c r="DY52" i="5"/>
  <c r="ES53" i="5"/>
  <c r="ES42" i="5"/>
  <c r="HY42" i="5" s="1"/>
  <c r="IS42" i="5" s="1"/>
  <c r="JL42" i="5" s="1"/>
  <c r="DY41" i="5"/>
  <c r="ER37" i="5"/>
  <c r="HX37" i="5" s="1"/>
  <c r="IR37" i="5" s="1"/>
  <c r="JK37" i="5" s="1"/>
  <c r="DX36" i="5"/>
  <c r="DY73" i="5"/>
  <c r="ES74" i="5"/>
  <c r="DW48" i="5"/>
  <c r="EQ49" i="5"/>
  <c r="HW49" i="5" s="1"/>
  <c r="IQ49" i="5" s="1"/>
  <c r="JJ49" i="5" s="1"/>
  <c r="DX59" i="5"/>
  <c r="ER60" i="5"/>
  <c r="HX60" i="5" s="1"/>
  <c r="IR60" i="5" s="1"/>
  <c r="JK60" i="5" s="1"/>
  <c r="DW32" i="5"/>
  <c r="EQ33" i="5"/>
  <c r="HW33" i="5" s="1"/>
  <c r="IQ33" i="5" s="1"/>
  <c r="JJ33" i="5" s="1"/>
  <c r="ES43" i="5"/>
  <c r="DY42" i="5"/>
  <c r="DY49" i="5"/>
  <c r="ES50" i="5"/>
  <c r="DY43" i="5"/>
  <c r="ES44" i="5"/>
  <c r="HY44" i="5" s="1"/>
  <c r="IS44" i="5" s="1"/>
  <c r="JL44" i="5" s="1"/>
  <c r="DY32" i="5"/>
  <c r="ES33" i="5"/>
  <c r="HY33" i="5" s="1"/>
  <c r="IS33" i="5" s="1"/>
  <c r="JL33" i="5" s="1"/>
  <c r="ES38" i="5"/>
  <c r="HY38" i="5" s="1"/>
  <c r="IS38" i="5" s="1"/>
  <c r="JL38" i="5" s="1"/>
  <c r="DY37" i="5"/>
  <c r="DW80" i="5"/>
  <c r="EQ81" i="5"/>
  <c r="HW81" i="5" s="1"/>
  <c r="IQ81" i="5" s="1"/>
  <c r="JJ81" i="5" s="1"/>
  <c r="DY74" i="5"/>
  <c r="ES75" i="5"/>
  <c r="DY64" i="5"/>
  <c r="ES65" i="5"/>
  <c r="HY65" i="5" s="1"/>
  <c r="IS65" i="5" s="1"/>
  <c r="JL65" i="5" s="1"/>
  <c r="DY39" i="5"/>
  <c r="ES40" i="5"/>
  <c r="ES68" i="5"/>
  <c r="DY67" i="5"/>
  <c r="DY36" i="5"/>
  <c r="ES37" i="5"/>
  <c r="DY33" i="5"/>
  <c r="ES34" i="5"/>
  <c r="DY51" i="5"/>
  <c r="ES52" i="5"/>
  <c r="DY69" i="5"/>
  <c r="ES70" i="5"/>
  <c r="DY40" i="5"/>
  <c r="ES41" i="5"/>
  <c r="ES76" i="5"/>
  <c r="HY76" i="5" s="1"/>
  <c r="IS76" i="5" s="1"/>
  <c r="JL76" i="5" s="1"/>
  <c r="DY75" i="5"/>
  <c r="ES61" i="5"/>
  <c r="HY61" i="5" s="1"/>
  <c r="IS61" i="5" s="1"/>
  <c r="JL61" i="5" s="1"/>
  <c r="DY60" i="5"/>
  <c r="DY55" i="5"/>
  <c r="ES56" i="5"/>
  <c r="HY56" i="5" s="1"/>
  <c r="IS56" i="5" s="1"/>
  <c r="JL56" i="5" s="1"/>
  <c r="ES66" i="5"/>
  <c r="DY65" i="5"/>
  <c r="ES60" i="5"/>
  <c r="HY60" i="5" s="1"/>
  <c r="IS60" i="5" s="1"/>
  <c r="JL60" i="5" s="1"/>
  <c r="DY59" i="5"/>
  <c r="DY53" i="5"/>
  <c r="ES54" i="5"/>
  <c r="DY77" i="5"/>
  <c r="ES78" i="5"/>
  <c r="DY29" i="5"/>
  <c r="ES30" i="5"/>
  <c r="HY30" i="5" s="1"/>
  <c r="IS30" i="5" s="1"/>
  <c r="JL30" i="5" s="1"/>
  <c r="DY71" i="5"/>
  <c r="ES72" i="5"/>
  <c r="HY72" i="5" s="1"/>
  <c r="IS72" i="5" s="1"/>
  <c r="JL72" i="5" s="1"/>
  <c r="ES49" i="5"/>
  <c r="HY49" i="5" s="1"/>
  <c r="IS49" i="5" s="1"/>
  <c r="JL49" i="5" s="1"/>
  <c r="DY48" i="5"/>
  <c r="ES64" i="5"/>
  <c r="HY64" i="5" s="1"/>
  <c r="IS64" i="5" s="1"/>
  <c r="JL64" i="5" s="1"/>
  <c r="DY63" i="5"/>
  <c r="DW58" i="5"/>
  <c r="EQ59" i="5"/>
  <c r="HW59" i="5" s="1"/>
  <c r="IQ59" i="5" s="1"/>
  <c r="JJ59" i="5" s="1"/>
  <c r="DY28" i="5"/>
  <c r="ET28" i="5" s="1"/>
  <c r="ES29" i="5"/>
  <c r="ES48" i="5"/>
  <c r="DY47" i="5"/>
  <c r="EQ57" i="5"/>
  <c r="HW57" i="5" s="1"/>
  <c r="IQ57" i="5" s="1"/>
  <c r="JJ57" i="5" s="1"/>
  <c r="DW56" i="5"/>
  <c r="DY61" i="5"/>
  <c r="ES62" i="5"/>
  <c r="DY57" i="5"/>
  <c r="ES58" i="5"/>
  <c r="HY58" i="5" s="1"/>
  <c r="IS58" i="5" s="1"/>
  <c r="JL58" i="5" s="1"/>
  <c r="ES45" i="5"/>
  <c r="DY44" i="5"/>
  <c r="DY76" i="5"/>
  <c r="ES77" i="5"/>
  <c r="HY77" i="5" s="1"/>
  <c r="IS77" i="5" s="1"/>
  <c r="JL77" i="5" s="1"/>
  <c r="EQ65" i="5"/>
  <c r="HW65" i="5" s="1"/>
  <c r="IQ65" i="5" s="1"/>
  <c r="JJ65" i="5" s="1"/>
  <c r="DW64" i="5"/>
  <c r="EQ73" i="5"/>
  <c r="HW73" i="5" s="1"/>
  <c r="IQ73" i="5" s="1"/>
  <c r="JJ73" i="5" s="1"/>
  <c r="DW72" i="5"/>
  <c r="DY31" i="5"/>
  <c r="ES32" i="5"/>
  <c r="DY45" i="5"/>
  <c r="ES46" i="5"/>
  <c r="DY81" i="5"/>
  <c r="ES82" i="5"/>
  <c r="HY82" i="5" s="1"/>
  <c r="IS82" i="5" s="1"/>
  <c r="JL82" i="5" s="1"/>
  <c r="DY66" i="5"/>
  <c r="ES67" i="5"/>
  <c r="M107" i="7"/>
  <c r="N107" i="7"/>
  <c r="D108" i="7"/>
  <c r="B107" i="7"/>
  <c r="F107" i="7" s="1"/>
  <c r="C107" i="7"/>
  <c r="I107" i="7" s="1"/>
  <c r="E107" i="7"/>
  <c r="H107" i="7" s="1"/>
  <c r="G107" i="7"/>
  <c r="K108" i="7"/>
  <c r="L108" i="7" s="1"/>
  <c r="J109" i="7"/>
  <c r="HY46" i="5" l="1"/>
  <c r="IS46" i="5" s="1"/>
  <c r="JL46" i="5" s="1"/>
  <c r="HY32" i="5"/>
  <c r="IS32" i="5" s="1"/>
  <c r="JL32" i="5" s="1"/>
  <c r="HY62" i="5"/>
  <c r="IS62" i="5" s="1"/>
  <c r="JL62" i="5" s="1"/>
  <c r="HY29" i="5"/>
  <c r="IS29" i="5" s="1"/>
  <c r="JL29" i="5" s="1"/>
  <c r="HY78" i="5"/>
  <c r="IS78" i="5" s="1"/>
  <c r="JL78" i="5" s="1"/>
  <c r="HY41" i="5"/>
  <c r="IS41" i="5" s="1"/>
  <c r="JL41" i="5" s="1"/>
  <c r="HY70" i="5"/>
  <c r="IS70" i="5" s="1"/>
  <c r="JL70" i="5" s="1"/>
  <c r="HY35" i="5"/>
  <c r="IS35" i="5" s="1"/>
  <c r="JL35" i="5" s="1"/>
  <c r="HY67" i="5"/>
  <c r="IS67" i="5" s="1"/>
  <c r="JL67" i="5" s="1"/>
  <c r="HY54" i="5"/>
  <c r="IS54" i="5" s="1"/>
  <c r="JL54" i="5" s="1"/>
  <c r="HY52" i="5"/>
  <c r="IS52" i="5" s="1"/>
  <c r="JL52" i="5" s="1"/>
  <c r="HY53" i="5"/>
  <c r="IS53" i="5" s="1"/>
  <c r="JL53" i="5" s="1"/>
  <c r="HY51" i="5"/>
  <c r="IS51" i="5" s="1"/>
  <c r="JL51" i="5" s="1"/>
  <c r="HY45" i="5"/>
  <c r="IS45" i="5" s="1"/>
  <c r="JL45" i="5" s="1"/>
  <c r="HY48" i="5"/>
  <c r="IS48" i="5" s="1"/>
  <c r="JL48" i="5" s="1"/>
  <c r="HY66" i="5"/>
  <c r="IS66" i="5" s="1"/>
  <c r="JL66" i="5" s="1"/>
  <c r="HY68" i="5"/>
  <c r="IS68" i="5" s="1"/>
  <c r="JL68" i="5" s="1"/>
  <c r="HY43" i="5"/>
  <c r="IS43" i="5" s="1"/>
  <c r="JL43" i="5" s="1"/>
  <c r="JA82" i="5"/>
  <c r="JT82" i="5" s="1"/>
  <c r="IX81" i="5"/>
  <c r="JQ81" i="5" s="1"/>
  <c r="HY34" i="5"/>
  <c r="IS34" i="5" s="1"/>
  <c r="JL34" i="5" s="1"/>
  <c r="HY37" i="5"/>
  <c r="IS37" i="5" s="1"/>
  <c r="JL37" i="5" s="1"/>
  <c r="HY40" i="5"/>
  <c r="IS40" i="5" s="1"/>
  <c r="JL40" i="5" s="1"/>
  <c r="HY75" i="5"/>
  <c r="IS75" i="5" s="1"/>
  <c r="JL75" i="5" s="1"/>
  <c r="HY50" i="5"/>
  <c r="IS50" i="5" s="1"/>
  <c r="JL50" i="5" s="1"/>
  <c r="HY74" i="5"/>
  <c r="IS74" i="5" s="1"/>
  <c r="JL74" i="5" s="1"/>
  <c r="IU81" i="5"/>
  <c r="JN81" i="5" s="1"/>
  <c r="IY81" i="5"/>
  <c r="JR81" i="5" s="1"/>
  <c r="IW81" i="5"/>
  <c r="JP81" i="5" s="1"/>
  <c r="KE35" i="5"/>
  <c r="P9" i="5" s="1"/>
  <c r="J21" i="5" s="1"/>
  <c r="KE36" i="5"/>
  <c r="P10" i="5" s="1"/>
  <c r="KF36" i="5"/>
  <c r="Q10" i="5" s="1"/>
  <c r="HN81" i="5"/>
  <c r="JC81" i="5" s="1"/>
  <c r="JV81" i="5" s="1"/>
  <c r="BG80" i="5"/>
  <c r="CV81" i="5"/>
  <c r="FW81" i="5"/>
  <c r="IH81" i="5" s="1"/>
  <c r="HF34" i="5"/>
  <c r="AY33" i="5"/>
  <c r="CN34" i="5"/>
  <c r="FO34" i="5"/>
  <c r="HN85" i="5"/>
  <c r="JC85" i="5" s="1"/>
  <c r="JV85" i="5" s="1"/>
  <c r="BG84" i="5"/>
  <c r="CV85" i="5"/>
  <c r="FW85" i="5"/>
  <c r="IH85" i="5" s="1"/>
  <c r="JB85" i="5" s="1"/>
  <c r="JU85" i="5" s="1"/>
  <c r="HN90" i="5"/>
  <c r="JC90" i="5" s="1"/>
  <c r="JV90" i="5" s="1"/>
  <c r="BG89" i="5"/>
  <c r="CV90" i="5"/>
  <c r="FW90" i="5"/>
  <c r="IH90" i="5" s="1"/>
  <c r="JB90" i="5" s="1"/>
  <c r="JU90" i="5" s="1"/>
  <c r="HF61" i="5"/>
  <c r="AY60" i="5"/>
  <c r="CN61" i="5"/>
  <c r="FO61" i="5"/>
  <c r="HF35" i="5"/>
  <c r="AY34" i="5"/>
  <c r="CN35" i="5"/>
  <c r="FO35" i="5"/>
  <c r="HK80" i="5"/>
  <c r="BD79" i="5"/>
  <c r="CS80" i="5"/>
  <c r="FT80" i="5"/>
  <c r="IE80" i="5" s="1"/>
  <c r="HM80" i="5"/>
  <c r="BF79" i="5"/>
  <c r="CU80" i="5"/>
  <c r="FV80" i="5"/>
  <c r="IG80" i="5" s="1"/>
  <c r="HF31" i="5"/>
  <c r="AY30" i="5"/>
  <c r="CN31" i="5"/>
  <c r="FO31" i="5"/>
  <c r="HF62" i="5"/>
  <c r="AY61" i="5"/>
  <c r="CN62" i="5"/>
  <c r="FO62" i="5"/>
  <c r="HF39" i="5"/>
  <c r="AY38" i="5"/>
  <c r="CN39" i="5"/>
  <c r="FO39" i="5"/>
  <c r="HN84" i="5"/>
  <c r="JC84" i="5" s="1"/>
  <c r="JV84" i="5" s="1"/>
  <c r="BG83" i="5"/>
  <c r="CV84" i="5"/>
  <c r="FW84" i="5"/>
  <c r="IH84" i="5" s="1"/>
  <c r="JB84" i="5" s="1"/>
  <c r="JU84" i="5" s="1"/>
  <c r="HN101" i="5"/>
  <c r="JC101" i="5" s="1"/>
  <c r="JV101" i="5" s="1"/>
  <c r="BG100" i="5"/>
  <c r="CV101" i="5"/>
  <c r="FW101" i="5"/>
  <c r="IH101" i="5" s="1"/>
  <c r="JB101" i="5" s="1"/>
  <c r="JU101" i="5" s="1"/>
  <c r="HF70" i="5"/>
  <c r="AY69" i="5"/>
  <c r="CN70" i="5"/>
  <c r="FO70" i="5"/>
  <c r="HI80" i="5"/>
  <c r="BB79" i="5"/>
  <c r="CQ80" i="5"/>
  <c r="FR80" i="5"/>
  <c r="IC80" i="5" s="1"/>
  <c r="HF74" i="5"/>
  <c r="AY73" i="5"/>
  <c r="CN74" i="5"/>
  <c r="FO74" i="5"/>
  <c r="HF49" i="5"/>
  <c r="AY48" i="5"/>
  <c r="CN49" i="5"/>
  <c r="FO49" i="5"/>
  <c r="HN86" i="5"/>
  <c r="JC86" i="5" s="1"/>
  <c r="JV86" i="5" s="1"/>
  <c r="BG85" i="5"/>
  <c r="CV86" i="5"/>
  <c r="FW86" i="5"/>
  <c r="IH86" i="5" s="1"/>
  <c r="JB86" i="5" s="1"/>
  <c r="JU86" i="5" s="1"/>
  <c r="HN98" i="5"/>
  <c r="JC98" i="5" s="1"/>
  <c r="JV98" i="5" s="1"/>
  <c r="BG97" i="5"/>
  <c r="CV98" i="5"/>
  <c r="FW98" i="5"/>
  <c r="IH98" i="5" s="1"/>
  <c r="JB98" i="5" s="1"/>
  <c r="JU98" i="5" s="1"/>
  <c r="HN100" i="5"/>
  <c r="JC100" i="5" s="1"/>
  <c r="JV100" i="5" s="1"/>
  <c r="BG99" i="5"/>
  <c r="CV100" i="5"/>
  <c r="FW100" i="5"/>
  <c r="IH100" i="5" s="1"/>
  <c r="JB100" i="5" s="1"/>
  <c r="JU100" i="5" s="1"/>
  <c r="HN111" i="5"/>
  <c r="JC111" i="5" s="1"/>
  <c r="JV111" i="5" s="1"/>
  <c r="BG110" i="5"/>
  <c r="CV111" i="5"/>
  <c r="FW111" i="5"/>
  <c r="IH111" i="5" s="1"/>
  <c r="JB111" i="5" s="1"/>
  <c r="JU111" i="5" s="1"/>
  <c r="HF33" i="5"/>
  <c r="AY32" i="5"/>
  <c r="CN33" i="5"/>
  <c r="FO33" i="5"/>
  <c r="HF73" i="5"/>
  <c r="AY72" i="5"/>
  <c r="CN73" i="5"/>
  <c r="FO73" i="5"/>
  <c r="HF36" i="5"/>
  <c r="AY35" i="5"/>
  <c r="CN36" i="5"/>
  <c r="FO36" i="5"/>
  <c r="HF66" i="5"/>
  <c r="AY65" i="5"/>
  <c r="CN66" i="5"/>
  <c r="FO66" i="5"/>
  <c r="HM81" i="5"/>
  <c r="BF80" i="5"/>
  <c r="CU81" i="5"/>
  <c r="FV81" i="5"/>
  <c r="IG81" i="5" s="1"/>
  <c r="JA81" i="5" s="1"/>
  <c r="JT81" i="5" s="1"/>
  <c r="HN93" i="5"/>
  <c r="JC93" i="5" s="1"/>
  <c r="JV93" i="5" s="1"/>
  <c r="BG92" i="5"/>
  <c r="CV93" i="5"/>
  <c r="FW93" i="5"/>
  <c r="IH93" i="5" s="1"/>
  <c r="JB93" i="5" s="1"/>
  <c r="JU93" i="5" s="1"/>
  <c r="HN99" i="5"/>
  <c r="JC99" i="5" s="1"/>
  <c r="JV99" i="5" s="1"/>
  <c r="BG98" i="5"/>
  <c r="CV99" i="5"/>
  <c r="FW99" i="5"/>
  <c r="IH99" i="5" s="1"/>
  <c r="JB99" i="5" s="1"/>
  <c r="JU99" i="5" s="1"/>
  <c r="HN102" i="5"/>
  <c r="JC102" i="5" s="1"/>
  <c r="JV102" i="5" s="1"/>
  <c r="BG101" i="5"/>
  <c r="CV102" i="5"/>
  <c r="FW102" i="5"/>
  <c r="IH102" i="5" s="1"/>
  <c r="JB102" i="5" s="1"/>
  <c r="JU102" i="5" s="1"/>
  <c r="HN105" i="5"/>
  <c r="JC105" i="5" s="1"/>
  <c r="JV105" i="5" s="1"/>
  <c r="BG104" i="5"/>
  <c r="CV105" i="5"/>
  <c r="FW105" i="5"/>
  <c r="IH105" i="5" s="1"/>
  <c r="JB105" i="5" s="1"/>
  <c r="JU105" i="5" s="1"/>
  <c r="HN110" i="5"/>
  <c r="JC110" i="5" s="1"/>
  <c r="JV110" i="5" s="1"/>
  <c r="BG109" i="5"/>
  <c r="CV110" i="5"/>
  <c r="FW110" i="5"/>
  <c r="IH110" i="5" s="1"/>
  <c r="JB110" i="5" s="1"/>
  <c r="JU110" i="5" s="1"/>
  <c r="HN112" i="5"/>
  <c r="JC112" i="5" s="1"/>
  <c r="JV112" i="5" s="1"/>
  <c r="BG111" i="5"/>
  <c r="CV112" i="5"/>
  <c r="FW112" i="5"/>
  <c r="IH112" i="5" s="1"/>
  <c r="JB112" i="5" s="1"/>
  <c r="JU112" i="5" s="1"/>
  <c r="HF53" i="5"/>
  <c r="AY52" i="5"/>
  <c r="CN53" i="5"/>
  <c r="FO53" i="5"/>
  <c r="HF46" i="5"/>
  <c r="AY45" i="5"/>
  <c r="CN46" i="5"/>
  <c r="FO46" i="5"/>
  <c r="HF80" i="5"/>
  <c r="AY79" i="5"/>
  <c r="CN80" i="5"/>
  <c r="FO80" i="5"/>
  <c r="HF56" i="5"/>
  <c r="AY55" i="5"/>
  <c r="CN56" i="5"/>
  <c r="FO56" i="5"/>
  <c r="HF78" i="5"/>
  <c r="AY77" i="5"/>
  <c r="CN78" i="5"/>
  <c r="FO78" i="5"/>
  <c r="HF59" i="5"/>
  <c r="AY58" i="5"/>
  <c r="CN59" i="5"/>
  <c r="FO59" i="5"/>
  <c r="HF37" i="5"/>
  <c r="AY36" i="5"/>
  <c r="CN37" i="5"/>
  <c r="FO37" i="5"/>
  <c r="HF79" i="5"/>
  <c r="AY78" i="5"/>
  <c r="CN79" i="5"/>
  <c r="FO79" i="5"/>
  <c r="HG80" i="5"/>
  <c r="AZ79" i="5"/>
  <c r="CO80" i="5"/>
  <c r="FP80" i="5"/>
  <c r="HN82" i="5"/>
  <c r="JC82" i="5" s="1"/>
  <c r="JV82" i="5" s="1"/>
  <c r="BG81" i="5"/>
  <c r="CV82" i="5"/>
  <c r="FW82" i="5"/>
  <c r="IH82" i="5" s="1"/>
  <c r="JB82" i="5" s="1"/>
  <c r="JU82" i="5" s="1"/>
  <c r="HN89" i="5"/>
  <c r="JC89" i="5" s="1"/>
  <c r="JV89" i="5" s="1"/>
  <c r="BG88" i="5"/>
  <c r="CV89" i="5"/>
  <c r="FW89" i="5"/>
  <c r="IH89" i="5" s="1"/>
  <c r="JB89" i="5" s="1"/>
  <c r="JU89" i="5" s="1"/>
  <c r="HN95" i="5"/>
  <c r="JC95" i="5" s="1"/>
  <c r="JV95" i="5" s="1"/>
  <c r="BG94" i="5"/>
  <c r="CV95" i="5"/>
  <c r="FW95" i="5"/>
  <c r="IH95" i="5" s="1"/>
  <c r="JB95" i="5" s="1"/>
  <c r="JU95" i="5" s="1"/>
  <c r="HN106" i="5"/>
  <c r="JC106" i="5" s="1"/>
  <c r="JV106" i="5" s="1"/>
  <c r="BG105" i="5"/>
  <c r="CV106" i="5"/>
  <c r="FW106" i="5"/>
  <c r="IH106" i="5" s="1"/>
  <c r="JB106" i="5" s="1"/>
  <c r="JU106" i="5" s="1"/>
  <c r="HN88" i="5"/>
  <c r="JC88" i="5" s="1"/>
  <c r="JV88" i="5" s="1"/>
  <c r="BG87" i="5"/>
  <c r="CV88" i="5"/>
  <c r="FW88" i="5"/>
  <c r="IH88" i="5" s="1"/>
  <c r="JB88" i="5" s="1"/>
  <c r="JU88" i="5" s="1"/>
  <c r="HN94" i="5"/>
  <c r="JC94" i="5" s="1"/>
  <c r="JV94" i="5" s="1"/>
  <c r="BG93" i="5"/>
  <c r="CV94" i="5"/>
  <c r="FW94" i="5"/>
  <c r="IH94" i="5" s="1"/>
  <c r="JB94" i="5" s="1"/>
  <c r="JU94" i="5" s="1"/>
  <c r="HN104" i="5"/>
  <c r="JC104" i="5" s="1"/>
  <c r="JV104" i="5" s="1"/>
  <c r="BG103" i="5"/>
  <c r="CV104" i="5"/>
  <c r="FW104" i="5"/>
  <c r="IH104" i="5" s="1"/>
  <c r="JB104" i="5" s="1"/>
  <c r="JU104" i="5" s="1"/>
  <c r="HF51" i="5"/>
  <c r="AY50" i="5"/>
  <c r="CN51" i="5"/>
  <c r="FO51" i="5"/>
  <c r="HF45" i="5"/>
  <c r="AY44" i="5"/>
  <c r="CN45" i="5"/>
  <c r="FO45" i="5"/>
  <c r="HF54" i="5"/>
  <c r="AY53" i="5"/>
  <c r="CN54" i="5"/>
  <c r="FO54" i="5"/>
  <c r="HN83" i="5"/>
  <c r="JC83" i="5" s="1"/>
  <c r="JV83" i="5" s="1"/>
  <c r="BG82" i="5"/>
  <c r="CV83" i="5"/>
  <c r="FW83" i="5"/>
  <c r="IH83" i="5" s="1"/>
  <c r="JB83" i="5" s="1"/>
  <c r="JU83" i="5" s="1"/>
  <c r="HN87" i="5"/>
  <c r="JC87" i="5" s="1"/>
  <c r="JV87" i="5" s="1"/>
  <c r="BG86" i="5"/>
  <c r="CV87" i="5"/>
  <c r="FW87" i="5"/>
  <c r="IH87" i="5" s="1"/>
  <c r="JB87" i="5" s="1"/>
  <c r="JU87" i="5" s="1"/>
  <c r="HN91" i="5"/>
  <c r="JC91" i="5" s="1"/>
  <c r="JV91" i="5" s="1"/>
  <c r="BG90" i="5"/>
  <c r="CV91" i="5"/>
  <c r="FW91" i="5"/>
  <c r="IH91" i="5" s="1"/>
  <c r="JB91" i="5" s="1"/>
  <c r="JU91" i="5" s="1"/>
  <c r="HN96" i="5"/>
  <c r="JC96" i="5" s="1"/>
  <c r="JV96" i="5" s="1"/>
  <c r="BG95" i="5"/>
  <c r="CV96" i="5"/>
  <c r="FW96" i="5"/>
  <c r="IH96" i="5" s="1"/>
  <c r="JB96" i="5" s="1"/>
  <c r="JU96" i="5" s="1"/>
  <c r="HN97" i="5"/>
  <c r="JC97" i="5" s="1"/>
  <c r="JV97" i="5" s="1"/>
  <c r="BG96" i="5"/>
  <c r="CV97" i="5"/>
  <c r="FW97" i="5"/>
  <c r="IH97" i="5" s="1"/>
  <c r="JB97" i="5" s="1"/>
  <c r="JU97" i="5" s="1"/>
  <c r="HN103" i="5"/>
  <c r="JC103" i="5" s="1"/>
  <c r="JV103" i="5" s="1"/>
  <c r="BG102" i="5"/>
  <c r="CV103" i="5"/>
  <c r="FW103" i="5"/>
  <c r="IH103" i="5" s="1"/>
  <c r="JB103" i="5" s="1"/>
  <c r="JU103" i="5" s="1"/>
  <c r="HN107" i="5"/>
  <c r="JC107" i="5" s="1"/>
  <c r="JV107" i="5" s="1"/>
  <c r="BG106" i="5"/>
  <c r="CV107" i="5"/>
  <c r="FW107" i="5"/>
  <c r="IH107" i="5" s="1"/>
  <c r="JB107" i="5" s="1"/>
  <c r="JU107" i="5" s="1"/>
  <c r="HN109" i="5"/>
  <c r="JC109" i="5" s="1"/>
  <c r="JV109" i="5" s="1"/>
  <c r="BG108" i="5"/>
  <c r="CV109" i="5"/>
  <c r="FW109" i="5"/>
  <c r="IH109" i="5" s="1"/>
  <c r="JB109" i="5" s="1"/>
  <c r="JU109" i="5" s="1"/>
  <c r="HF41" i="5"/>
  <c r="AY40" i="5"/>
  <c r="CN41" i="5"/>
  <c r="FO41" i="5"/>
  <c r="HF52" i="5"/>
  <c r="AY51" i="5"/>
  <c r="CN52" i="5"/>
  <c r="FO52" i="5"/>
  <c r="HF63" i="5"/>
  <c r="AY62" i="5"/>
  <c r="CN63" i="5"/>
  <c r="FO63" i="5"/>
  <c r="HF77" i="5"/>
  <c r="AY76" i="5"/>
  <c r="CN77" i="5"/>
  <c r="FO77" i="5"/>
  <c r="HF40" i="5"/>
  <c r="AY39" i="5"/>
  <c r="CN40" i="5"/>
  <c r="FO40" i="5"/>
  <c r="HF75" i="5"/>
  <c r="AY74" i="5"/>
  <c r="CN75" i="5"/>
  <c r="FO75" i="5"/>
  <c r="HF48" i="5"/>
  <c r="AY47" i="5"/>
  <c r="CN48" i="5"/>
  <c r="FO48" i="5"/>
  <c r="HF58" i="5"/>
  <c r="AY57" i="5"/>
  <c r="CN58" i="5"/>
  <c r="FO58" i="5"/>
  <c r="HF69" i="5"/>
  <c r="AY68" i="5"/>
  <c r="CN69" i="5"/>
  <c r="FO69" i="5"/>
  <c r="HN113" i="5"/>
  <c r="JC113" i="5" s="1"/>
  <c r="JV113" i="5" s="1"/>
  <c r="BG112" i="5"/>
  <c r="CV113" i="5"/>
  <c r="FW113" i="5"/>
  <c r="IH113" i="5" s="1"/>
  <c r="JB113" i="5" s="1"/>
  <c r="JU113" i="5" s="1"/>
  <c r="HF50" i="5"/>
  <c r="AY49" i="5"/>
  <c r="CN50" i="5"/>
  <c r="FO50" i="5"/>
  <c r="HF30" i="5"/>
  <c r="AY29" i="5"/>
  <c r="CN30" i="5"/>
  <c r="FO30" i="5"/>
  <c r="HF60" i="5"/>
  <c r="AY59" i="5"/>
  <c r="CN60" i="5"/>
  <c r="FO60" i="5"/>
  <c r="HN92" i="5"/>
  <c r="JC92" i="5" s="1"/>
  <c r="JV92" i="5" s="1"/>
  <c r="BG91" i="5"/>
  <c r="CV92" i="5"/>
  <c r="FW92" i="5"/>
  <c r="IH92" i="5" s="1"/>
  <c r="JB92" i="5" s="1"/>
  <c r="JU92" i="5" s="1"/>
  <c r="HN108" i="5"/>
  <c r="JC108" i="5" s="1"/>
  <c r="JV108" i="5" s="1"/>
  <c r="BG107" i="5"/>
  <c r="CV108" i="5"/>
  <c r="FW108" i="5"/>
  <c r="IH108" i="5" s="1"/>
  <c r="JB108" i="5" s="1"/>
  <c r="JU108" i="5" s="1"/>
  <c r="HF28" i="5"/>
  <c r="CN28" i="5"/>
  <c r="FO28" i="5"/>
  <c r="HZ28" i="5" s="1"/>
  <c r="IT28" i="5" s="1"/>
  <c r="JM28" i="5" s="1"/>
  <c r="HJ80" i="5"/>
  <c r="BC79" i="5"/>
  <c r="CR80" i="5"/>
  <c r="FS80" i="5"/>
  <c r="ID80" i="5" s="1"/>
  <c r="IX80" i="5" s="1"/>
  <c r="JQ80" i="5" s="1"/>
  <c r="HH80" i="5"/>
  <c r="BA79" i="5"/>
  <c r="CP80" i="5"/>
  <c r="FQ80" i="5"/>
  <c r="IB80" i="5" s="1"/>
  <c r="IV80" i="5" s="1"/>
  <c r="JO80" i="5" s="1"/>
  <c r="HF42" i="5"/>
  <c r="AY41" i="5"/>
  <c r="CN42" i="5"/>
  <c r="FO42" i="5"/>
  <c r="HF76" i="5"/>
  <c r="AY75" i="5"/>
  <c r="CN76" i="5"/>
  <c r="FO76" i="5"/>
  <c r="HF44" i="5"/>
  <c r="AY43" i="5"/>
  <c r="CN44" i="5"/>
  <c r="FO44" i="5"/>
  <c r="HF57" i="5"/>
  <c r="AY56" i="5"/>
  <c r="CN57" i="5"/>
  <c r="FO57" i="5"/>
  <c r="HF32" i="5"/>
  <c r="AY31" i="5"/>
  <c r="CN32" i="5"/>
  <c r="FO32" i="5"/>
  <c r="HF68" i="5"/>
  <c r="AY67" i="5"/>
  <c r="CN68" i="5"/>
  <c r="FO68" i="5"/>
  <c r="HF72" i="5"/>
  <c r="AY71" i="5"/>
  <c r="CN72" i="5"/>
  <c r="FO72" i="5"/>
  <c r="HF55" i="5"/>
  <c r="AY54" i="5"/>
  <c r="CN55" i="5"/>
  <c r="FO55" i="5"/>
  <c r="HF43" i="5"/>
  <c r="AY42" i="5"/>
  <c r="CN43" i="5"/>
  <c r="FO43" i="5"/>
  <c r="HL80" i="5"/>
  <c r="BE79" i="5"/>
  <c r="CT80" i="5"/>
  <c r="FU80" i="5"/>
  <c r="IF80" i="5" s="1"/>
  <c r="IZ80" i="5" s="1"/>
  <c r="JS80" i="5" s="1"/>
  <c r="HF29" i="5"/>
  <c r="AY28" i="5"/>
  <c r="CN29" i="5"/>
  <c r="FO29" i="5"/>
  <c r="HF71" i="5"/>
  <c r="AY70" i="5"/>
  <c r="CN71" i="5"/>
  <c r="FO71" i="5"/>
  <c r="HF67" i="5"/>
  <c r="AY66" i="5"/>
  <c r="CN67" i="5"/>
  <c r="FO67" i="5"/>
  <c r="HF47" i="5"/>
  <c r="AY46" i="5"/>
  <c r="CN47" i="5"/>
  <c r="FO47" i="5"/>
  <c r="HF64" i="5"/>
  <c r="AY63" i="5"/>
  <c r="CN64" i="5"/>
  <c r="FO64" i="5"/>
  <c r="HF38" i="5"/>
  <c r="AY37" i="5"/>
  <c r="CN38" i="5"/>
  <c r="FO38" i="5"/>
  <c r="HF65" i="5"/>
  <c r="AY64" i="5"/>
  <c r="CN65" i="5"/>
  <c r="FO65" i="5"/>
  <c r="DX71" i="5"/>
  <c r="ER72" i="5"/>
  <c r="HX72" i="5" s="1"/>
  <c r="IR72" i="5" s="1"/>
  <c r="JK72" i="5" s="1"/>
  <c r="DX63" i="5"/>
  <c r="ER64" i="5"/>
  <c r="HX64" i="5" s="1"/>
  <c r="IR64" i="5" s="1"/>
  <c r="JK64" i="5" s="1"/>
  <c r="DZ59" i="5"/>
  <c r="ET60" i="5"/>
  <c r="DZ74" i="5"/>
  <c r="ET75" i="5"/>
  <c r="DZ66" i="5"/>
  <c r="ET67" i="5"/>
  <c r="DZ36" i="5"/>
  <c r="ET37" i="5"/>
  <c r="DZ41" i="5"/>
  <c r="ET42" i="5"/>
  <c r="HZ42" i="5" s="1"/>
  <c r="IT42" i="5" s="1"/>
  <c r="JM42" i="5" s="1"/>
  <c r="DY35" i="5"/>
  <c r="ES36" i="5"/>
  <c r="HY36" i="5" s="1"/>
  <c r="IS36" i="5" s="1"/>
  <c r="JL36" i="5" s="1"/>
  <c r="DZ40" i="5"/>
  <c r="ET41" i="5"/>
  <c r="DZ78" i="5"/>
  <c r="ET79" i="5"/>
  <c r="DZ43" i="5"/>
  <c r="ET44" i="5"/>
  <c r="HZ44" i="5" s="1"/>
  <c r="IT44" i="5" s="1"/>
  <c r="JM44" i="5" s="1"/>
  <c r="ER56" i="5"/>
  <c r="HX56" i="5" s="1"/>
  <c r="IR56" i="5" s="1"/>
  <c r="JK56" i="5" s="1"/>
  <c r="DX55" i="5"/>
  <c r="DZ46" i="5"/>
  <c r="ET47" i="5"/>
  <c r="DZ62" i="5"/>
  <c r="ET63" i="5"/>
  <c r="DZ47" i="5"/>
  <c r="ET48" i="5"/>
  <c r="DZ58" i="5"/>
  <c r="ET59" i="5"/>
  <c r="DZ64" i="5"/>
  <c r="ET65" i="5"/>
  <c r="DZ65" i="5"/>
  <c r="ET66" i="5"/>
  <c r="ET81" i="5"/>
  <c r="HZ81" i="5" s="1"/>
  <c r="IT81" i="5" s="1"/>
  <c r="JM81" i="5" s="1"/>
  <c r="DZ80" i="5"/>
  <c r="DZ44" i="5"/>
  <c r="ET45" i="5"/>
  <c r="DZ30" i="5"/>
  <c r="ET31" i="5"/>
  <c r="ET76" i="5"/>
  <c r="DZ75" i="5"/>
  <c r="ET57" i="5"/>
  <c r="DZ56" i="5"/>
  <c r="DZ60" i="5"/>
  <c r="ET61" i="5"/>
  <c r="DX57" i="5"/>
  <c r="ER58" i="5"/>
  <c r="HX58" i="5" s="1"/>
  <c r="IR58" i="5" s="1"/>
  <c r="JK58" i="5" s="1"/>
  <c r="DZ70" i="5"/>
  <c r="ET71" i="5"/>
  <c r="HZ71" i="5" s="1"/>
  <c r="IT71" i="5" s="1"/>
  <c r="JM71" i="5" s="1"/>
  <c r="DZ28" i="5"/>
  <c r="EU28" i="5" s="1"/>
  <c r="ET29" i="5"/>
  <c r="HZ29" i="5" s="1"/>
  <c r="IT29" i="5" s="1"/>
  <c r="JM29" i="5" s="1"/>
  <c r="DZ76" i="5"/>
  <c r="ET77" i="5"/>
  <c r="DZ52" i="5"/>
  <c r="ET53" i="5"/>
  <c r="DZ54" i="5"/>
  <c r="ET55" i="5"/>
  <c r="HZ55" i="5" s="1"/>
  <c r="IT55" i="5" s="1"/>
  <c r="JM55" i="5" s="1"/>
  <c r="ET40" i="5"/>
  <c r="HZ40" i="5" s="1"/>
  <c r="IT40" i="5" s="1"/>
  <c r="JM40" i="5" s="1"/>
  <c r="DZ39" i="5"/>
  <c r="DZ68" i="5"/>
  <c r="ET69" i="5"/>
  <c r="DZ50" i="5"/>
  <c r="ET51" i="5"/>
  <c r="DZ32" i="5"/>
  <c r="ET33" i="5"/>
  <c r="DZ35" i="5"/>
  <c r="ET36" i="5"/>
  <c r="DZ38" i="5"/>
  <c r="ET39" i="5"/>
  <c r="DZ63" i="5"/>
  <c r="ET64" i="5"/>
  <c r="HZ64" i="5" s="1"/>
  <c r="IT64" i="5" s="1"/>
  <c r="JM64" i="5" s="1"/>
  <c r="ET74" i="5"/>
  <c r="HZ74" i="5" s="1"/>
  <c r="IT74" i="5" s="1"/>
  <c r="JM74" i="5" s="1"/>
  <c r="DZ73" i="5"/>
  <c r="DX79" i="5"/>
  <c r="ER80" i="5"/>
  <c r="HX80" i="5" s="1"/>
  <c r="IR80" i="5" s="1"/>
  <c r="JK80" i="5" s="1"/>
  <c r="DZ31" i="5"/>
  <c r="ET32" i="5"/>
  <c r="HZ32" i="5" s="1"/>
  <c r="IT32" i="5" s="1"/>
  <c r="JM32" i="5" s="1"/>
  <c r="ET43" i="5"/>
  <c r="DZ42" i="5"/>
  <c r="DZ48" i="5"/>
  <c r="ET49" i="5"/>
  <c r="ER32" i="5"/>
  <c r="HX32" i="5" s="1"/>
  <c r="IR32" i="5" s="1"/>
  <c r="JK32" i="5" s="1"/>
  <c r="DX31" i="5"/>
  <c r="DY58" i="5"/>
  <c r="ES59" i="5"/>
  <c r="HY59" i="5" s="1"/>
  <c r="IS59" i="5" s="1"/>
  <c r="JL59" i="5" s="1"/>
  <c r="DX47" i="5"/>
  <c r="ER48" i="5"/>
  <c r="HX48" i="5" s="1"/>
  <c r="IR48" i="5" s="1"/>
  <c r="JK48" i="5" s="1"/>
  <c r="DZ72" i="5"/>
  <c r="ET73" i="5"/>
  <c r="DZ51" i="5"/>
  <c r="ET52" i="5"/>
  <c r="DZ67" i="5"/>
  <c r="ET68" i="5"/>
  <c r="HZ68" i="5" s="1"/>
  <c r="IT68" i="5" s="1"/>
  <c r="JM68" i="5" s="1"/>
  <c r="DZ33" i="5"/>
  <c r="ET34" i="5"/>
  <c r="DX39" i="5"/>
  <c r="ER40" i="5"/>
  <c r="HX40" i="5" s="1"/>
  <c r="IR40" i="5" s="1"/>
  <c r="JK40" i="5" s="1"/>
  <c r="ER74" i="5"/>
  <c r="HX74" i="5" s="1"/>
  <c r="IR74" i="5" s="1"/>
  <c r="JK74" i="5" s="1"/>
  <c r="DX73" i="5"/>
  <c r="ER82" i="5"/>
  <c r="HX82" i="5" s="1"/>
  <c r="IR82" i="5" s="1"/>
  <c r="JK82" i="5" s="1"/>
  <c r="DX81" i="5"/>
  <c r="ET50" i="5"/>
  <c r="HZ50" i="5" s="1"/>
  <c r="IT50" i="5" s="1"/>
  <c r="JM50" i="5" s="1"/>
  <c r="DZ49" i="5"/>
  <c r="M108" i="7"/>
  <c r="N108" i="7"/>
  <c r="D109" i="7"/>
  <c r="C108" i="7"/>
  <c r="I108" i="7" s="1"/>
  <c r="G108" i="7"/>
  <c r="B108" i="7"/>
  <c r="F108" i="7" s="1"/>
  <c r="E108" i="7"/>
  <c r="H108" i="7" s="1"/>
  <c r="K109" i="7"/>
  <c r="L109" i="7" s="1"/>
  <c r="J110" i="7"/>
  <c r="HZ34" i="5" l="1"/>
  <c r="IT34" i="5" s="1"/>
  <c r="JM34" i="5" s="1"/>
  <c r="HZ52" i="5"/>
  <c r="IT52" i="5" s="1"/>
  <c r="JM52" i="5" s="1"/>
  <c r="HZ73" i="5"/>
  <c r="IT73" i="5" s="1"/>
  <c r="JM73" i="5" s="1"/>
  <c r="HZ49" i="5"/>
  <c r="IT49" i="5" s="1"/>
  <c r="JM49" i="5" s="1"/>
  <c r="HZ39" i="5"/>
  <c r="IT39" i="5" s="1"/>
  <c r="JM39" i="5" s="1"/>
  <c r="HZ36" i="5"/>
  <c r="IT36" i="5" s="1"/>
  <c r="JM36" i="5" s="1"/>
  <c r="HZ33" i="5"/>
  <c r="IT33" i="5" s="1"/>
  <c r="JM33" i="5" s="1"/>
  <c r="HZ53" i="5"/>
  <c r="IT53" i="5" s="1"/>
  <c r="JM53" i="5" s="1"/>
  <c r="HZ61" i="5"/>
  <c r="IT61" i="5" s="1"/>
  <c r="JM61" i="5" s="1"/>
  <c r="HZ31" i="5"/>
  <c r="IT31" i="5" s="1"/>
  <c r="JM31" i="5" s="1"/>
  <c r="HZ66" i="5"/>
  <c r="IT66" i="5" s="1"/>
  <c r="JM66" i="5" s="1"/>
  <c r="HZ51" i="5"/>
  <c r="IT51" i="5" s="1"/>
  <c r="JM51" i="5" s="1"/>
  <c r="HZ69" i="5"/>
  <c r="IT69" i="5" s="1"/>
  <c r="JM69" i="5" s="1"/>
  <c r="HZ77" i="5"/>
  <c r="IT77" i="5" s="1"/>
  <c r="JM77" i="5" s="1"/>
  <c r="HZ45" i="5"/>
  <c r="IT45" i="5" s="1"/>
  <c r="JM45" i="5" s="1"/>
  <c r="HZ59" i="5"/>
  <c r="IT59" i="5" s="1"/>
  <c r="JM59" i="5" s="1"/>
  <c r="HZ48" i="5"/>
  <c r="IT48" i="5" s="1"/>
  <c r="JM48" i="5" s="1"/>
  <c r="HZ63" i="5"/>
  <c r="IT63" i="5" s="1"/>
  <c r="JM63" i="5" s="1"/>
  <c r="HZ79" i="5"/>
  <c r="IT79" i="5" s="1"/>
  <c r="JM79" i="5" s="1"/>
  <c r="HZ41" i="5"/>
  <c r="IT41" i="5" s="1"/>
  <c r="JM41" i="5" s="1"/>
  <c r="HZ37" i="5"/>
  <c r="IT37" i="5" s="1"/>
  <c r="JM37" i="5" s="1"/>
  <c r="HZ75" i="5"/>
  <c r="IT75" i="5" s="1"/>
  <c r="JM75" i="5" s="1"/>
  <c r="HZ43" i="5"/>
  <c r="IT43" i="5" s="1"/>
  <c r="JM43" i="5" s="1"/>
  <c r="HZ57" i="5"/>
  <c r="IT57" i="5" s="1"/>
  <c r="JM57" i="5" s="1"/>
  <c r="HZ76" i="5"/>
  <c r="IT76" i="5" s="1"/>
  <c r="JM76" i="5" s="1"/>
  <c r="IW80" i="5"/>
  <c r="JP80" i="5" s="1"/>
  <c r="JA80" i="5"/>
  <c r="JT80" i="5" s="1"/>
  <c r="IY80" i="5"/>
  <c r="JR80" i="5" s="1"/>
  <c r="JB81" i="5"/>
  <c r="JU81" i="5" s="1"/>
  <c r="HZ65" i="5"/>
  <c r="IT65" i="5" s="1"/>
  <c r="JM65" i="5" s="1"/>
  <c r="HZ47" i="5"/>
  <c r="IT47" i="5" s="1"/>
  <c r="JM47" i="5" s="1"/>
  <c r="HZ67" i="5"/>
  <c r="IT67" i="5" s="1"/>
  <c r="JM67" i="5" s="1"/>
  <c r="HZ60" i="5"/>
  <c r="IT60" i="5" s="1"/>
  <c r="JM60" i="5" s="1"/>
  <c r="KF37" i="5"/>
  <c r="Q11" i="5" s="1"/>
  <c r="KE37" i="5"/>
  <c r="P11" i="5" s="1"/>
  <c r="HG42" i="5"/>
  <c r="AZ41" i="5"/>
  <c r="CO42" i="5"/>
  <c r="FP42" i="5"/>
  <c r="HG54" i="5"/>
  <c r="AZ53" i="5"/>
  <c r="CO54" i="5"/>
  <c r="FP54" i="5"/>
  <c r="HG71" i="5"/>
  <c r="AZ70" i="5"/>
  <c r="CO71" i="5"/>
  <c r="FP71" i="5"/>
  <c r="HG67" i="5"/>
  <c r="AZ66" i="5"/>
  <c r="CO67" i="5"/>
  <c r="FP67" i="5"/>
  <c r="HG31" i="5"/>
  <c r="AZ30" i="5"/>
  <c r="CO31" i="5"/>
  <c r="FP31" i="5"/>
  <c r="HG56" i="5"/>
  <c r="AZ55" i="5"/>
  <c r="CO56" i="5"/>
  <c r="FP56" i="5"/>
  <c r="HG43" i="5"/>
  <c r="AZ42" i="5"/>
  <c r="CO43" i="5"/>
  <c r="FP43" i="5"/>
  <c r="HG75" i="5"/>
  <c r="AZ74" i="5"/>
  <c r="CO75" i="5"/>
  <c r="FP75" i="5"/>
  <c r="HG41" i="5"/>
  <c r="AZ40" i="5"/>
  <c r="CO41" i="5"/>
  <c r="FP41" i="5"/>
  <c r="HI79" i="5"/>
  <c r="BB78" i="5"/>
  <c r="CQ79" i="5"/>
  <c r="FR79" i="5"/>
  <c r="IC79" i="5" s="1"/>
  <c r="HG34" i="5"/>
  <c r="AZ33" i="5"/>
  <c r="CO34" i="5"/>
  <c r="FP34" i="5"/>
  <c r="HG60" i="5"/>
  <c r="AZ59" i="5"/>
  <c r="CO60" i="5"/>
  <c r="FP60" i="5"/>
  <c r="HO89" i="5"/>
  <c r="JW89" i="5" s="1"/>
  <c r="CW89" i="5"/>
  <c r="HO84" i="5"/>
  <c r="JW84" i="5" s="1"/>
  <c r="CW84" i="5"/>
  <c r="HG33" i="5"/>
  <c r="AZ32" i="5"/>
  <c r="CO33" i="5"/>
  <c r="FP33" i="5"/>
  <c r="HO80" i="5"/>
  <c r="JW80" i="5" s="1"/>
  <c r="CW80" i="5"/>
  <c r="HG64" i="5"/>
  <c r="AZ63" i="5"/>
  <c r="CO64" i="5"/>
  <c r="FP64" i="5"/>
  <c r="HG37" i="5"/>
  <c r="AZ36" i="5"/>
  <c r="CO37" i="5"/>
  <c r="FP37" i="5"/>
  <c r="HG63" i="5"/>
  <c r="AZ62" i="5"/>
  <c r="CO63" i="5"/>
  <c r="FP63" i="5"/>
  <c r="HG46" i="5"/>
  <c r="AZ45" i="5"/>
  <c r="CO46" i="5"/>
  <c r="FP46" i="5"/>
  <c r="HG66" i="5"/>
  <c r="AZ65" i="5"/>
  <c r="CO66" i="5"/>
  <c r="FP66" i="5"/>
  <c r="HG70" i="5"/>
  <c r="AZ69" i="5"/>
  <c r="CO70" i="5"/>
  <c r="FP70" i="5"/>
  <c r="HG28" i="5"/>
  <c r="CO28" i="5"/>
  <c r="FP28" i="5"/>
  <c r="IA28" i="5" s="1"/>
  <c r="IU28" i="5" s="1"/>
  <c r="JN28" i="5" s="1"/>
  <c r="HM79" i="5"/>
  <c r="BF78" i="5"/>
  <c r="CU79" i="5"/>
  <c r="FV79" i="5"/>
  <c r="IG79" i="5" s="1"/>
  <c r="HK79" i="5"/>
  <c r="BD78" i="5"/>
  <c r="CS79" i="5"/>
  <c r="FT79" i="5"/>
  <c r="IE79" i="5" s="1"/>
  <c r="HO107" i="5"/>
  <c r="JW107" i="5" s="1"/>
  <c r="CW107" i="5"/>
  <c r="HO91" i="5"/>
  <c r="JW91" i="5" s="1"/>
  <c r="CW91" i="5"/>
  <c r="HG59" i="5"/>
  <c r="AZ58" i="5"/>
  <c r="CO59" i="5"/>
  <c r="FP59" i="5"/>
  <c r="HG29" i="5"/>
  <c r="AZ28" i="5"/>
  <c r="CO29" i="5"/>
  <c r="FP29" i="5"/>
  <c r="HG49" i="5"/>
  <c r="AZ48" i="5"/>
  <c r="CO49" i="5"/>
  <c r="FP49" i="5"/>
  <c r="HO112" i="5"/>
  <c r="JW112" i="5" s="1"/>
  <c r="CW112" i="5"/>
  <c r="HG68" i="5"/>
  <c r="AZ67" i="5"/>
  <c r="CO68" i="5"/>
  <c r="FP68" i="5"/>
  <c r="HG57" i="5"/>
  <c r="AZ56" i="5"/>
  <c r="CO57" i="5"/>
  <c r="FP57" i="5"/>
  <c r="HG47" i="5"/>
  <c r="AZ46" i="5"/>
  <c r="CO47" i="5"/>
  <c r="FP47" i="5"/>
  <c r="HG74" i="5"/>
  <c r="AZ73" i="5"/>
  <c r="CO74" i="5"/>
  <c r="FP74" i="5"/>
  <c r="HG39" i="5"/>
  <c r="AZ38" i="5"/>
  <c r="CO39" i="5"/>
  <c r="FP39" i="5"/>
  <c r="HG76" i="5"/>
  <c r="AZ75" i="5"/>
  <c r="CO76" i="5"/>
  <c r="FP76" i="5"/>
  <c r="HG62" i="5"/>
  <c r="AZ61" i="5"/>
  <c r="CO62" i="5"/>
  <c r="FP62" i="5"/>
  <c r="HG51" i="5"/>
  <c r="AZ50" i="5"/>
  <c r="CO51" i="5"/>
  <c r="FP51" i="5"/>
  <c r="HG40" i="5"/>
  <c r="AZ39" i="5"/>
  <c r="CO40" i="5"/>
  <c r="FP40" i="5"/>
  <c r="HO108" i="5"/>
  <c r="JW108" i="5" s="1"/>
  <c r="CW108" i="5"/>
  <c r="HO106" i="5"/>
  <c r="JW106" i="5" s="1"/>
  <c r="CW106" i="5"/>
  <c r="HO102" i="5"/>
  <c r="JW102" i="5" s="1"/>
  <c r="CW102" i="5"/>
  <c r="HO96" i="5"/>
  <c r="JW96" i="5" s="1"/>
  <c r="CW96" i="5"/>
  <c r="HO95" i="5"/>
  <c r="JW95" i="5" s="1"/>
  <c r="CW95" i="5"/>
  <c r="HO90" i="5"/>
  <c r="JW90" i="5" s="1"/>
  <c r="CW90" i="5"/>
  <c r="HO86" i="5"/>
  <c r="JW86" i="5" s="1"/>
  <c r="CW86" i="5"/>
  <c r="HO82" i="5"/>
  <c r="JW82" i="5" s="1"/>
  <c r="CW82" i="5"/>
  <c r="HG53" i="5"/>
  <c r="AZ52" i="5"/>
  <c r="CO53" i="5"/>
  <c r="FP53" i="5"/>
  <c r="HG44" i="5"/>
  <c r="AZ43" i="5"/>
  <c r="CO44" i="5"/>
  <c r="FP44" i="5"/>
  <c r="HG50" i="5"/>
  <c r="AZ49" i="5"/>
  <c r="CO50" i="5"/>
  <c r="FP50" i="5"/>
  <c r="HO103" i="5"/>
  <c r="JW103" i="5" s="1"/>
  <c r="CW103" i="5"/>
  <c r="HO93" i="5"/>
  <c r="JW93" i="5" s="1"/>
  <c r="CW93" i="5"/>
  <c r="HO87" i="5"/>
  <c r="JW87" i="5" s="1"/>
  <c r="CW87" i="5"/>
  <c r="HO105" i="5"/>
  <c r="JW105" i="5" s="1"/>
  <c r="CW105" i="5"/>
  <c r="HO94" i="5"/>
  <c r="JW94" i="5" s="1"/>
  <c r="CW94" i="5"/>
  <c r="HO88" i="5"/>
  <c r="JW88" i="5" s="1"/>
  <c r="CW88" i="5"/>
  <c r="HO81" i="5"/>
  <c r="JW81" i="5" s="1"/>
  <c r="CW81" i="5"/>
  <c r="HH79" i="5"/>
  <c r="BA78" i="5"/>
  <c r="CP79" i="5"/>
  <c r="FQ79" i="5"/>
  <c r="HG78" i="5"/>
  <c r="AZ77" i="5"/>
  <c r="CO78" i="5"/>
  <c r="FP78" i="5"/>
  <c r="HG36" i="5"/>
  <c r="AZ35" i="5"/>
  <c r="CO36" i="5"/>
  <c r="FP36" i="5"/>
  <c r="HG58" i="5"/>
  <c r="AZ57" i="5"/>
  <c r="CO58" i="5"/>
  <c r="FP58" i="5"/>
  <c r="HG77" i="5"/>
  <c r="AZ76" i="5"/>
  <c r="CO77" i="5"/>
  <c r="FP77" i="5"/>
  <c r="HG55" i="5"/>
  <c r="AZ54" i="5"/>
  <c r="CO55" i="5"/>
  <c r="FP55" i="5"/>
  <c r="HG79" i="5"/>
  <c r="AZ78" i="5"/>
  <c r="CO79" i="5"/>
  <c r="FP79" i="5"/>
  <c r="HG45" i="5"/>
  <c r="AZ44" i="5"/>
  <c r="CO45" i="5"/>
  <c r="FP45" i="5"/>
  <c r="HG52" i="5"/>
  <c r="AZ51" i="5"/>
  <c r="CO52" i="5"/>
  <c r="FP52" i="5"/>
  <c r="HO111" i="5"/>
  <c r="JW111" i="5" s="1"/>
  <c r="CW111" i="5"/>
  <c r="HO109" i="5"/>
  <c r="JW109" i="5" s="1"/>
  <c r="CW109" i="5"/>
  <c r="HO104" i="5"/>
  <c r="JW104" i="5" s="1"/>
  <c r="CW104" i="5"/>
  <c r="HO101" i="5"/>
  <c r="JW101" i="5" s="1"/>
  <c r="CW101" i="5"/>
  <c r="HO98" i="5"/>
  <c r="JW98" i="5" s="1"/>
  <c r="CW98" i="5"/>
  <c r="HO92" i="5"/>
  <c r="JW92" i="5" s="1"/>
  <c r="CW92" i="5"/>
  <c r="HN80" i="5"/>
  <c r="JC80" i="5" s="1"/>
  <c r="JV80" i="5" s="1"/>
  <c r="BG79" i="5"/>
  <c r="CV80" i="5"/>
  <c r="FW80" i="5"/>
  <c r="IH80" i="5" s="1"/>
  <c r="JB80" i="5" s="1"/>
  <c r="JU80" i="5" s="1"/>
  <c r="HG65" i="5"/>
  <c r="AZ64" i="5"/>
  <c r="CO65" i="5"/>
  <c r="FP65" i="5"/>
  <c r="HG35" i="5"/>
  <c r="AZ34" i="5"/>
  <c r="CO35" i="5"/>
  <c r="FP35" i="5"/>
  <c r="HG72" i="5"/>
  <c r="AZ71" i="5"/>
  <c r="CO72" i="5"/>
  <c r="FP72" i="5"/>
  <c r="HG32" i="5"/>
  <c r="AZ31" i="5"/>
  <c r="CO32" i="5"/>
  <c r="FP32" i="5"/>
  <c r="HO110" i="5"/>
  <c r="JW110" i="5" s="1"/>
  <c r="CW110" i="5"/>
  <c r="HO99" i="5"/>
  <c r="JW99" i="5" s="1"/>
  <c r="CW99" i="5"/>
  <c r="HO97" i="5"/>
  <c r="JW97" i="5" s="1"/>
  <c r="CW97" i="5"/>
  <c r="HO85" i="5"/>
  <c r="JW85" i="5" s="1"/>
  <c r="CW85" i="5"/>
  <c r="HG48" i="5"/>
  <c r="AZ47" i="5"/>
  <c r="CO48" i="5"/>
  <c r="FP48" i="5"/>
  <c r="HG73" i="5"/>
  <c r="AZ72" i="5"/>
  <c r="CO73" i="5"/>
  <c r="FP73" i="5"/>
  <c r="HJ79" i="5"/>
  <c r="BC78" i="5"/>
  <c r="CR79" i="5"/>
  <c r="FS79" i="5"/>
  <c r="ID79" i="5" s="1"/>
  <c r="IX79" i="5" s="1"/>
  <c r="JQ79" i="5" s="1"/>
  <c r="HG69" i="5"/>
  <c r="AZ68" i="5"/>
  <c r="CO69" i="5"/>
  <c r="FP69" i="5"/>
  <c r="HO100" i="5"/>
  <c r="JW100" i="5" s="1"/>
  <c r="CW100" i="5"/>
  <c r="HO83" i="5"/>
  <c r="JW83" i="5" s="1"/>
  <c r="CW83" i="5"/>
  <c r="HG38" i="5"/>
  <c r="AZ37" i="5"/>
  <c r="CO38" i="5"/>
  <c r="FP38" i="5"/>
  <c r="HG61" i="5"/>
  <c r="AZ60" i="5"/>
  <c r="CO61" i="5"/>
  <c r="FP61" i="5"/>
  <c r="HG30" i="5"/>
  <c r="AZ29" i="5"/>
  <c r="CO30" i="5"/>
  <c r="FP30" i="5"/>
  <c r="HN79" i="5"/>
  <c r="JC79" i="5" s="1"/>
  <c r="JV79" i="5" s="1"/>
  <c r="BG78" i="5"/>
  <c r="CV79" i="5"/>
  <c r="FW79" i="5"/>
  <c r="IH79" i="5" s="1"/>
  <c r="HL79" i="5"/>
  <c r="BE78" i="5"/>
  <c r="CT79" i="5"/>
  <c r="FU79" i="5"/>
  <c r="IF79" i="5" s="1"/>
  <c r="EU49" i="5"/>
  <c r="EA48" i="5"/>
  <c r="ES81" i="5"/>
  <c r="HY81" i="5" s="1"/>
  <c r="IS81" i="5" s="1"/>
  <c r="JL81" i="5" s="1"/>
  <c r="DY80" i="5"/>
  <c r="ES73" i="5"/>
  <c r="HY73" i="5" s="1"/>
  <c r="IS73" i="5" s="1"/>
  <c r="JL73" i="5" s="1"/>
  <c r="DY72" i="5"/>
  <c r="EU42" i="5"/>
  <c r="EA41" i="5"/>
  <c r="EA72" i="5"/>
  <c r="EU73" i="5"/>
  <c r="IA73" i="5" s="1"/>
  <c r="IU73" i="5" s="1"/>
  <c r="JN73" i="5" s="1"/>
  <c r="EA38" i="5"/>
  <c r="EU39" i="5"/>
  <c r="IA39" i="5" s="1"/>
  <c r="IU39" i="5" s="1"/>
  <c r="JN39" i="5" s="1"/>
  <c r="EA55" i="5"/>
  <c r="EU56" i="5"/>
  <c r="EA74" i="5"/>
  <c r="EU75" i="5"/>
  <c r="EU80" i="5"/>
  <c r="IA80" i="5" s="1"/>
  <c r="IU80" i="5" s="1"/>
  <c r="JN80" i="5" s="1"/>
  <c r="EA79" i="5"/>
  <c r="DY54" i="5"/>
  <c r="ES55" i="5"/>
  <c r="HY55" i="5" s="1"/>
  <c r="IS55" i="5" s="1"/>
  <c r="JL55" i="5" s="1"/>
  <c r="DY30" i="5"/>
  <c r="ES31" i="5"/>
  <c r="HY31" i="5" s="1"/>
  <c r="IS31" i="5" s="1"/>
  <c r="JL31" i="5" s="1"/>
  <c r="DY38" i="5"/>
  <c r="ES39" i="5"/>
  <c r="HY39" i="5" s="1"/>
  <c r="IS39" i="5" s="1"/>
  <c r="JL39" i="5" s="1"/>
  <c r="EU33" i="5"/>
  <c r="EA32" i="5"/>
  <c r="EA66" i="5"/>
  <c r="EU67" i="5"/>
  <c r="EA50" i="5"/>
  <c r="EU51" i="5"/>
  <c r="IA51" i="5" s="1"/>
  <c r="IU51" i="5" s="1"/>
  <c r="JN51" i="5" s="1"/>
  <c r="EA71" i="5"/>
  <c r="EU72" i="5"/>
  <c r="IA72" i="5" s="1"/>
  <c r="IU72" i="5" s="1"/>
  <c r="JN72" i="5" s="1"/>
  <c r="ES47" i="5"/>
  <c r="HY47" i="5" s="1"/>
  <c r="IS47" i="5" s="1"/>
  <c r="JL47" i="5" s="1"/>
  <c r="DY46" i="5"/>
  <c r="ET58" i="5"/>
  <c r="HZ58" i="5" s="1"/>
  <c r="IT58" i="5" s="1"/>
  <c r="JM58" i="5" s="1"/>
  <c r="DZ57" i="5"/>
  <c r="EU48" i="5"/>
  <c r="EA47" i="5"/>
  <c r="EA30" i="5"/>
  <c r="EU31" i="5"/>
  <c r="DY78" i="5"/>
  <c r="ES79" i="5"/>
  <c r="HY79" i="5" s="1"/>
  <c r="IS79" i="5" s="1"/>
  <c r="JL79" i="5" s="1"/>
  <c r="EA62" i="5"/>
  <c r="EU63" i="5"/>
  <c r="EU38" i="5"/>
  <c r="EA37" i="5"/>
  <c r="EU35" i="5"/>
  <c r="EA34" i="5"/>
  <c r="EA31" i="5"/>
  <c r="EU32" i="5"/>
  <c r="IA32" i="5" s="1"/>
  <c r="IU32" i="5" s="1"/>
  <c r="JN32" i="5" s="1"/>
  <c r="EA49" i="5"/>
  <c r="EU50" i="5"/>
  <c r="IA50" i="5" s="1"/>
  <c r="IU50" i="5" s="1"/>
  <c r="JN50" i="5" s="1"/>
  <c r="EA67" i="5"/>
  <c r="EU68" i="5"/>
  <c r="IA68" i="5" s="1"/>
  <c r="IU68" i="5" s="1"/>
  <c r="JN68" i="5" s="1"/>
  <c r="EU54" i="5"/>
  <c r="EA53" i="5"/>
  <c r="EU52" i="5"/>
  <c r="EA51" i="5"/>
  <c r="EA75" i="5"/>
  <c r="EU76" i="5"/>
  <c r="IA76" i="5" s="1"/>
  <c r="IU76" i="5" s="1"/>
  <c r="JN76" i="5" s="1"/>
  <c r="EA69" i="5"/>
  <c r="EU70" i="5"/>
  <c r="DY56" i="5"/>
  <c r="ES57" i="5"/>
  <c r="HY57" i="5" s="1"/>
  <c r="IS57" i="5" s="1"/>
  <c r="JL57" i="5" s="1"/>
  <c r="EA59" i="5"/>
  <c r="EU60" i="5"/>
  <c r="EU30" i="5"/>
  <c r="EA29" i="5"/>
  <c r="EA43" i="5"/>
  <c r="EU44" i="5"/>
  <c r="IA44" i="5" s="1"/>
  <c r="IU44" i="5" s="1"/>
  <c r="JN44" i="5" s="1"/>
  <c r="EA64" i="5"/>
  <c r="EU65" i="5"/>
  <c r="IA65" i="5" s="1"/>
  <c r="IU65" i="5" s="1"/>
  <c r="JN65" i="5" s="1"/>
  <c r="EA63" i="5"/>
  <c r="EU64" i="5"/>
  <c r="EU58" i="5"/>
  <c r="EA57" i="5"/>
  <c r="EU47" i="5"/>
  <c r="EA46" i="5"/>
  <c r="EA61" i="5"/>
  <c r="EU62" i="5"/>
  <c r="IA62" i="5" s="1"/>
  <c r="IU62" i="5" s="1"/>
  <c r="JN62" i="5" s="1"/>
  <c r="EU46" i="5"/>
  <c r="IA46" i="5" s="1"/>
  <c r="IU46" i="5" s="1"/>
  <c r="JN46" i="5" s="1"/>
  <c r="EA45" i="5"/>
  <c r="EU43" i="5"/>
  <c r="EA42" i="5"/>
  <c r="EA77" i="5"/>
  <c r="EU78" i="5"/>
  <c r="IA78" i="5" s="1"/>
  <c r="IU78" i="5" s="1"/>
  <c r="JN78" i="5" s="1"/>
  <c r="EA39" i="5"/>
  <c r="EU40" i="5"/>
  <c r="IA40" i="5" s="1"/>
  <c r="IU40" i="5" s="1"/>
  <c r="JN40" i="5" s="1"/>
  <c r="DZ34" i="5"/>
  <c r="ET35" i="5"/>
  <c r="HZ35" i="5" s="1"/>
  <c r="IT35" i="5" s="1"/>
  <c r="JM35" i="5" s="1"/>
  <c r="EA40" i="5"/>
  <c r="EU41" i="5"/>
  <c r="EA35" i="5"/>
  <c r="EU36" i="5"/>
  <c r="IA36" i="5" s="1"/>
  <c r="IU36" i="5" s="1"/>
  <c r="JN36" i="5" s="1"/>
  <c r="EA65" i="5"/>
  <c r="EU66" i="5"/>
  <c r="EA73" i="5"/>
  <c r="EU74" i="5"/>
  <c r="IA74" i="5" s="1"/>
  <c r="IU74" i="5" s="1"/>
  <c r="JN74" i="5" s="1"/>
  <c r="EU59" i="5"/>
  <c r="EA58" i="5"/>
  <c r="DY62" i="5"/>
  <c r="ES63" i="5"/>
  <c r="HY63" i="5" s="1"/>
  <c r="IS63" i="5" s="1"/>
  <c r="JL63" i="5" s="1"/>
  <c r="ES71" i="5"/>
  <c r="HY71" i="5" s="1"/>
  <c r="IS71" i="5" s="1"/>
  <c r="JL71" i="5" s="1"/>
  <c r="DY70" i="5"/>
  <c r="M109" i="7"/>
  <c r="D110" i="7"/>
  <c r="N109" i="7"/>
  <c r="C109" i="7"/>
  <c r="I109" i="7" s="1"/>
  <c r="B109" i="7"/>
  <c r="F109" i="7" s="1"/>
  <c r="E109" i="7"/>
  <c r="H109" i="7" s="1"/>
  <c r="G109" i="7"/>
  <c r="K110" i="7"/>
  <c r="L110" i="7" s="1"/>
  <c r="J111" i="7"/>
  <c r="IA66" i="5" l="1"/>
  <c r="IU66" i="5" s="1"/>
  <c r="JN66" i="5" s="1"/>
  <c r="IA41" i="5"/>
  <c r="IU41" i="5" s="1"/>
  <c r="JN41" i="5" s="1"/>
  <c r="IA64" i="5"/>
  <c r="IU64" i="5" s="1"/>
  <c r="JN64" i="5" s="1"/>
  <c r="IA60" i="5"/>
  <c r="IU60" i="5" s="1"/>
  <c r="JN60" i="5" s="1"/>
  <c r="IA70" i="5"/>
  <c r="IU70" i="5" s="1"/>
  <c r="JN70" i="5" s="1"/>
  <c r="IA63" i="5"/>
  <c r="IU63" i="5" s="1"/>
  <c r="JN63" i="5" s="1"/>
  <c r="IA31" i="5"/>
  <c r="IU31" i="5" s="1"/>
  <c r="JN31" i="5" s="1"/>
  <c r="IA67" i="5"/>
  <c r="IU67" i="5" s="1"/>
  <c r="JN67" i="5" s="1"/>
  <c r="IA75" i="5"/>
  <c r="IU75" i="5" s="1"/>
  <c r="JN75" i="5" s="1"/>
  <c r="IA56" i="5"/>
  <c r="IU56" i="5" s="1"/>
  <c r="JN56" i="5" s="1"/>
  <c r="IZ79" i="5"/>
  <c r="JS79" i="5" s="1"/>
  <c r="JB79" i="5"/>
  <c r="JU79" i="5" s="1"/>
  <c r="IA30" i="5"/>
  <c r="IU30" i="5" s="1"/>
  <c r="JN30" i="5" s="1"/>
  <c r="IA38" i="5"/>
  <c r="IU38" i="5" s="1"/>
  <c r="JN38" i="5" s="1"/>
  <c r="IW79" i="5"/>
  <c r="JP79" i="5" s="1"/>
  <c r="IY79" i="5"/>
  <c r="JR79" i="5" s="1"/>
  <c r="JA79" i="5"/>
  <c r="JT79" i="5" s="1"/>
  <c r="IA59" i="5"/>
  <c r="IU59" i="5" s="1"/>
  <c r="JN59" i="5" s="1"/>
  <c r="IA43" i="5"/>
  <c r="IU43" i="5" s="1"/>
  <c r="JN43" i="5" s="1"/>
  <c r="IA47" i="5"/>
  <c r="IU47" i="5" s="1"/>
  <c r="JN47" i="5" s="1"/>
  <c r="IA58" i="5"/>
  <c r="IU58" i="5" s="1"/>
  <c r="JN58" i="5" s="1"/>
  <c r="IA52" i="5"/>
  <c r="IU52" i="5" s="1"/>
  <c r="JN52" i="5" s="1"/>
  <c r="IA54" i="5"/>
  <c r="IU54" i="5" s="1"/>
  <c r="JN54" i="5" s="1"/>
  <c r="IA35" i="5"/>
  <c r="IU35" i="5" s="1"/>
  <c r="JN35" i="5" s="1"/>
  <c r="IA48" i="5"/>
  <c r="IU48" i="5" s="1"/>
  <c r="JN48" i="5" s="1"/>
  <c r="IA33" i="5"/>
  <c r="IU33" i="5" s="1"/>
  <c r="JN33" i="5" s="1"/>
  <c r="IA42" i="5"/>
  <c r="IU42" i="5" s="1"/>
  <c r="JN42" i="5" s="1"/>
  <c r="IA49" i="5"/>
  <c r="IU49" i="5" s="1"/>
  <c r="JN49" i="5" s="1"/>
  <c r="KF38" i="5"/>
  <c r="Q12" i="5" s="1"/>
  <c r="KE38" i="5"/>
  <c r="P12" i="5" s="1"/>
  <c r="HM78" i="5"/>
  <c r="BF77" i="5"/>
  <c r="CU78" i="5"/>
  <c r="FV78" i="5"/>
  <c r="IG78" i="5" s="1"/>
  <c r="HH29" i="5"/>
  <c r="BA28" i="5"/>
  <c r="CP29" i="5"/>
  <c r="FQ29" i="5"/>
  <c r="HH60" i="5"/>
  <c r="BA59" i="5"/>
  <c r="CP60" i="5"/>
  <c r="FQ60" i="5"/>
  <c r="HH37" i="5"/>
  <c r="BA36" i="5"/>
  <c r="CP37" i="5"/>
  <c r="FQ37" i="5"/>
  <c r="HH68" i="5"/>
  <c r="BA67" i="5"/>
  <c r="CP68" i="5"/>
  <c r="FQ68" i="5"/>
  <c r="HK78" i="5"/>
  <c r="BD77" i="5"/>
  <c r="CS78" i="5"/>
  <c r="FT78" i="5"/>
  <c r="IE78" i="5" s="1"/>
  <c r="HH69" i="5"/>
  <c r="BA68" i="5"/>
  <c r="CP69" i="5"/>
  <c r="FQ69" i="5"/>
  <c r="HH65" i="5"/>
  <c r="BA64" i="5"/>
  <c r="CP65" i="5"/>
  <c r="FQ65" i="5"/>
  <c r="HH45" i="5"/>
  <c r="BA44" i="5"/>
  <c r="CP45" i="5"/>
  <c r="FQ45" i="5"/>
  <c r="HH62" i="5"/>
  <c r="BA61" i="5"/>
  <c r="CP62" i="5"/>
  <c r="FQ62" i="5"/>
  <c r="HH36" i="5"/>
  <c r="BA35" i="5"/>
  <c r="CP36" i="5"/>
  <c r="FQ36" i="5"/>
  <c r="HH63" i="5"/>
  <c r="BA62" i="5"/>
  <c r="CP63" i="5"/>
  <c r="FQ63" i="5"/>
  <c r="HH32" i="5"/>
  <c r="BA31" i="5"/>
  <c r="CP32" i="5"/>
  <c r="FQ32" i="5"/>
  <c r="HH59" i="5"/>
  <c r="BA58" i="5"/>
  <c r="CP59" i="5"/>
  <c r="FQ59" i="5"/>
  <c r="HH33" i="5"/>
  <c r="BA32" i="5"/>
  <c r="CP33" i="5"/>
  <c r="FQ33" i="5"/>
  <c r="HJ78" i="5"/>
  <c r="BC77" i="5"/>
  <c r="CR78" i="5"/>
  <c r="FS78" i="5"/>
  <c r="ID78" i="5" s="1"/>
  <c r="HH40" i="5"/>
  <c r="BA39" i="5"/>
  <c r="CP40" i="5"/>
  <c r="FQ40" i="5"/>
  <c r="HH74" i="5"/>
  <c r="BA73" i="5"/>
  <c r="CP74" i="5"/>
  <c r="FQ74" i="5"/>
  <c r="HH42" i="5"/>
  <c r="BA41" i="5"/>
  <c r="CP42" i="5"/>
  <c r="FQ42" i="5"/>
  <c r="HH55" i="5"/>
  <c r="BA54" i="5"/>
  <c r="CP55" i="5"/>
  <c r="FQ55" i="5"/>
  <c r="HH30" i="5"/>
  <c r="BA29" i="5"/>
  <c r="CP30" i="5"/>
  <c r="FQ30" i="5"/>
  <c r="HH66" i="5"/>
  <c r="BA65" i="5"/>
  <c r="CP66" i="5"/>
  <c r="FQ66" i="5"/>
  <c r="HH70" i="5"/>
  <c r="BA69" i="5"/>
  <c r="CP70" i="5"/>
  <c r="FQ70" i="5"/>
  <c r="HH53" i="5"/>
  <c r="BA52" i="5"/>
  <c r="CP53" i="5"/>
  <c r="FQ53" i="5"/>
  <c r="HH41" i="5"/>
  <c r="BA40" i="5"/>
  <c r="CP41" i="5"/>
  <c r="FQ41" i="5"/>
  <c r="HO78" i="5"/>
  <c r="JW78" i="5" s="1"/>
  <c r="CW78" i="5"/>
  <c r="HH72" i="5"/>
  <c r="BA71" i="5"/>
  <c r="CP72" i="5"/>
  <c r="FQ72" i="5"/>
  <c r="HH47" i="5"/>
  <c r="BA46" i="5"/>
  <c r="CP47" i="5"/>
  <c r="FQ47" i="5"/>
  <c r="HH31" i="5"/>
  <c r="BA30" i="5"/>
  <c r="CP31" i="5"/>
  <c r="FQ31" i="5"/>
  <c r="HH71" i="5"/>
  <c r="BA70" i="5"/>
  <c r="CP71" i="5"/>
  <c r="FQ71" i="5"/>
  <c r="HH34" i="5"/>
  <c r="BA33" i="5"/>
  <c r="CP34" i="5"/>
  <c r="FQ34" i="5"/>
  <c r="HH64" i="5"/>
  <c r="BA63" i="5"/>
  <c r="CP64" i="5"/>
  <c r="FQ64" i="5"/>
  <c r="HO79" i="5"/>
  <c r="JW79" i="5" s="1"/>
  <c r="CW79" i="5"/>
  <c r="HH51" i="5"/>
  <c r="BA50" i="5"/>
  <c r="CP51" i="5"/>
  <c r="FQ51" i="5"/>
  <c r="HH44" i="5"/>
  <c r="BA43" i="5"/>
  <c r="CP44" i="5"/>
  <c r="FQ44" i="5"/>
  <c r="HH78" i="5"/>
  <c r="BA77" i="5"/>
  <c r="CP78" i="5"/>
  <c r="FQ78" i="5"/>
  <c r="HH54" i="5"/>
  <c r="BA53" i="5"/>
  <c r="CP54" i="5"/>
  <c r="FQ54" i="5"/>
  <c r="HH76" i="5"/>
  <c r="BA75" i="5"/>
  <c r="CP76" i="5"/>
  <c r="FQ76" i="5"/>
  <c r="HH57" i="5"/>
  <c r="BA56" i="5"/>
  <c r="CP57" i="5"/>
  <c r="FQ57" i="5"/>
  <c r="HH35" i="5"/>
  <c r="BA34" i="5"/>
  <c r="CP35" i="5"/>
  <c r="FQ35" i="5"/>
  <c r="HH77" i="5"/>
  <c r="BA76" i="5"/>
  <c r="CP77" i="5"/>
  <c r="FQ77" i="5"/>
  <c r="HI78" i="5"/>
  <c r="BB77" i="5"/>
  <c r="CQ78" i="5"/>
  <c r="FR78" i="5"/>
  <c r="HH49" i="5"/>
  <c r="BA48" i="5"/>
  <c r="CP49" i="5"/>
  <c r="FQ49" i="5"/>
  <c r="HH43" i="5"/>
  <c r="BA42" i="5"/>
  <c r="CP43" i="5"/>
  <c r="FQ43" i="5"/>
  <c r="HH52" i="5"/>
  <c r="BA51" i="5"/>
  <c r="CP52" i="5"/>
  <c r="FQ52" i="5"/>
  <c r="HH39" i="5"/>
  <c r="BA38" i="5"/>
  <c r="CP39" i="5"/>
  <c r="FQ39" i="5"/>
  <c r="HH50" i="5"/>
  <c r="BA49" i="5"/>
  <c r="CP50" i="5"/>
  <c r="FQ50" i="5"/>
  <c r="HH61" i="5"/>
  <c r="BA60" i="5"/>
  <c r="CP61" i="5"/>
  <c r="FQ61" i="5"/>
  <c r="HH75" i="5"/>
  <c r="BA74" i="5"/>
  <c r="CP75" i="5"/>
  <c r="FQ75" i="5"/>
  <c r="HH38" i="5"/>
  <c r="BA37" i="5"/>
  <c r="CP38" i="5"/>
  <c r="FQ38" i="5"/>
  <c r="HH73" i="5"/>
  <c r="BA72" i="5"/>
  <c r="CP73" i="5"/>
  <c r="FQ73" i="5"/>
  <c r="HH46" i="5"/>
  <c r="BA45" i="5"/>
  <c r="CP46" i="5"/>
  <c r="FQ46" i="5"/>
  <c r="HH56" i="5"/>
  <c r="BA55" i="5"/>
  <c r="CP56" i="5"/>
  <c r="FQ56" i="5"/>
  <c r="HH67" i="5"/>
  <c r="BA66" i="5"/>
  <c r="CP67" i="5"/>
  <c r="FQ67" i="5"/>
  <c r="HH48" i="5"/>
  <c r="BA47" i="5"/>
  <c r="CP48" i="5"/>
  <c r="FQ48" i="5"/>
  <c r="HH28" i="5"/>
  <c r="CP28" i="5"/>
  <c r="FQ28" i="5"/>
  <c r="HH58" i="5"/>
  <c r="BA57" i="5"/>
  <c r="CP58" i="5"/>
  <c r="FQ58" i="5"/>
  <c r="HL78" i="5"/>
  <c r="BE77" i="5"/>
  <c r="CT78" i="5"/>
  <c r="FU78" i="5"/>
  <c r="IF78" i="5" s="1"/>
  <c r="IZ78" i="5" s="1"/>
  <c r="JS78" i="5" s="1"/>
  <c r="HN78" i="5"/>
  <c r="JC78" i="5" s="1"/>
  <c r="JV78" i="5" s="1"/>
  <c r="BG77" i="5"/>
  <c r="CV78" i="5"/>
  <c r="FW78" i="5"/>
  <c r="IH78" i="5" s="1"/>
  <c r="JB78" i="5" s="1"/>
  <c r="JU78" i="5" s="1"/>
  <c r="EB57" i="5"/>
  <c r="EV58" i="5"/>
  <c r="EB41" i="5"/>
  <c r="EV42" i="5"/>
  <c r="EB45" i="5"/>
  <c r="EV46" i="5"/>
  <c r="EB56" i="5"/>
  <c r="EV57" i="5"/>
  <c r="EB28" i="5"/>
  <c r="EW28" i="5" s="1"/>
  <c r="EV29" i="5"/>
  <c r="EB50" i="5"/>
  <c r="EV51" i="5"/>
  <c r="EV53" i="5"/>
  <c r="IB53" i="5" s="1"/>
  <c r="IV53" i="5" s="1"/>
  <c r="JO53" i="5" s="1"/>
  <c r="EB52" i="5"/>
  <c r="EB33" i="5"/>
  <c r="EV34" i="5"/>
  <c r="EV37" i="5"/>
  <c r="IB37" i="5" s="1"/>
  <c r="IV37" i="5" s="1"/>
  <c r="JO37" i="5" s="1"/>
  <c r="EB36" i="5"/>
  <c r="EV47" i="5"/>
  <c r="IB47" i="5" s="1"/>
  <c r="IV47" i="5" s="1"/>
  <c r="JO47" i="5" s="1"/>
  <c r="EB46" i="5"/>
  <c r="EA56" i="5"/>
  <c r="EU57" i="5"/>
  <c r="IA57" i="5" s="1"/>
  <c r="IU57" i="5" s="1"/>
  <c r="JN57" i="5" s="1"/>
  <c r="DZ45" i="5"/>
  <c r="ET46" i="5"/>
  <c r="HZ46" i="5" s="1"/>
  <c r="IT46" i="5" s="1"/>
  <c r="JM46" i="5" s="1"/>
  <c r="EB31" i="5"/>
  <c r="EV32" i="5"/>
  <c r="EB78" i="5"/>
  <c r="EV79" i="5"/>
  <c r="IB79" i="5" s="1"/>
  <c r="IV79" i="5" s="1"/>
  <c r="JO79" i="5" s="1"/>
  <c r="EV41" i="5"/>
  <c r="IB41" i="5" s="1"/>
  <c r="IV41" i="5" s="1"/>
  <c r="JO41" i="5" s="1"/>
  <c r="EB40" i="5"/>
  <c r="DZ71" i="5"/>
  <c r="ET72" i="5"/>
  <c r="HZ72" i="5" s="1"/>
  <c r="IT72" i="5" s="1"/>
  <c r="JM72" i="5" s="1"/>
  <c r="ET80" i="5"/>
  <c r="HZ80" i="5" s="1"/>
  <c r="IT80" i="5" s="1"/>
  <c r="JM80" i="5" s="1"/>
  <c r="DZ79" i="5"/>
  <c r="EV48" i="5"/>
  <c r="EB47" i="5"/>
  <c r="DZ69" i="5"/>
  <c r="ET70" i="5"/>
  <c r="HZ70" i="5" s="1"/>
  <c r="IT70" i="5" s="1"/>
  <c r="JM70" i="5" s="1"/>
  <c r="EB44" i="5"/>
  <c r="EV45" i="5"/>
  <c r="DZ61" i="5"/>
  <c r="ET62" i="5"/>
  <c r="HZ62" i="5" s="1"/>
  <c r="IT62" i="5" s="1"/>
  <c r="JM62" i="5" s="1"/>
  <c r="EB72" i="5"/>
  <c r="EV73" i="5"/>
  <c r="EB64" i="5"/>
  <c r="EV65" i="5"/>
  <c r="EB34" i="5"/>
  <c r="EV35" i="5"/>
  <c r="EB39" i="5"/>
  <c r="EV40" i="5"/>
  <c r="EU34" i="5"/>
  <c r="IA34" i="5" s="1"/>
  <c r="IU34" i="5" s="1"/>
  <c r="JN34" i="5" s="1"/>
  <c r="EA33" i="5"/>
  <c r="EB38" i="5"/>
  <c r="EV39" i="5"/>
  <c r="EV77" i="5"/>
  <c r="IB77" i="5" s="1"/>
  <c r="IV77" i="5" s="1"/>
  <c r="JO77" i="5" s="1"/>
  <c r="EB76" i="5"/>
  <c r="EV61" i="5"/>
  <c r="IB61" i="5" s="1"/>
  <c r="IV61" i="5" s="1"/>
  <c r="JO61" i="5" s="1"/>
  <c r="EB60" i="5"/>
  <c r="EB62" i="5"/>
  <c r="EV63" i="5"/>
  <c r="EV64" i="5"/>
  <c r="IB64" i="5" s="1"/>
  <c r="IV64" i="5" s="1"/>
  <c r="JO64" i="5" s="1"/>
  <c r="EB63" i="5"/>
  <c r="EB42" i="5"/>
  <c r="EV43" i="5"/>
  <c r="EB58" i="5"/>
  <c r="EV59" i="5"/>
  <c r="DZ55" i="5"/>
  <c r="ET56" i="5"/>
  <c r="HZ56" i="5" s="1"/>
  <c r="IT56" i="5" s="1"/>
  <c r="JM56" i="5" s="1"/>
  <c r="EB68" i="5"/>
  <c r="EV69" i="5"/>
  <c r="EB74" i="5"/>
  <c r="EV75" i="5"/>
  <c r="EB66" i="5"/>
  <c r="EV67" i="5"/>
  <c r="EB48" i="5"/>
  <c r="EV49" i="5"/>
  <c r="EB30" i="5"/>
  <c r="EV31" i="5"/>
  <c r="EB61" i="5"/>
  <c r="EV62" i="5"/>
  <c r="DZ77" i="5"/>
  <c r="ET78" i="5"/>
  <c r="HZ78" i="5" s="1"/>
  <c r="IT78" i="5" s="1"/>
  <c r="JM78" i="5" s="1"/>
  <c r="EB29" i="5"/>
  <c r="EV30" i="5"/>
  <c r="EB70" i="5"/>
  <c r="EV71" i="5"/>
  <c r="EB49" i="5"/>
  <c r="EV50" i="5"/>
  <c r="EB65" i="5"/>
  <c r="EV66" i="5"/>
  <c r="ET38" i="5"/>
  <c r="HZ38" i="5" s="1"/>
  <c r="IT38" i="5" s="1"/>
  <c r="JM38" i="5" s="1"/>
  <c r="DZ37" i="5"/>
  <c r="DZ29" i="5"/>
  <c r="ET30" i="5"/>
  <c r="HZ30" i="5" s="1"/>
  <c r="IT30" i="5" s="1"/>
  <c r="JM30" i="5" s="1"/>
  <c r="DZ53" i="5"/>
  <c r="ET54" i="5"/>
  <c r="HZ54" i="5" s="1"/>
  <c r="IT54" i="5" s="1"/>
  <c r="JM54" i="5" s="1"/>
  <c r="EV74" i="5"/>
  <c r="IB74" i="5" s="1"/>
  <c r="IV74" i="5" s="1"/>
  <c r="JO74" i="5" s="1"/>
  <c r="EB73" i="5"/>
  <c r="EB54" i="5"/>
  <c r="EV55" i="5"/>
  <c r="EV38" i="5"/>
  <c r="IB38" i="5" s="1"/>
  <c r="IV38" i="5" s="1"/>
  <c r="JO38" i="5" s="1"/>
  <c r="EB37" i="5"/>
  <c r="EB71" i="5"/>
  <c r="EV72" i="5"/>
  <c r="M110" i="7"/>
  <c r="D111" i="7"/>
  <c r="N110" i="7"/>
  <c r="C110" i="7"/>
  <c r="I110" i="7" s="1"/>
  <c r="E110" i="7"/>
  <c r="H110" i="7" s="1"/>
  <c r="G110" i="7"/>
  <c r="B110" i="7"/>
  <c r="F110" i="7" s="1"/>
  <c r="K111" i="7"/>
  <c r="L111" i="7" s="1"/>
  <c r="J112" i="7"/>
  <c r="IB72" i="5" l="1"/>
  <c r="IV72" i="5" s="1"/>
  <c r="JO72" i="5" s="1"/>
  <c r="IB55" i="5"/>
  <c r="IV55" i="5" s="1"/>
  <c r="JO55" i="5" s="1"/>
  <c r="IB66" i="5"/>
  <c r="IV66" i="5" s="1"/>
  <c r="JO66" i="5" s="1"/>
  <c r="IB50" i="5"/>
  <c r="IV50" i="5" s="1"/>
  <c r="JO50" i="5" s="1"/>
  <c r="IB71" i="5"/>
  <c r="IV71" i="5" s="1"/>
  <c r="JO71" i="5" s="1"/>
  <c r="IB30" i="5"/>
  <c r="IV30" i="5" s="1"/>
  <c r="JO30" i="5" s="1"/>
  <c r="IB62" i="5"/>
  <c r="IV62" i="5" s="1"/>
  <c r="JO62" i="5" s="1"/>
  <c r="IB31" i="5"/>
  <c r="IV31" i="5" s="1"/>
  <c r="JO31" i="5" s="1"/>
  <c r="IB49" i="5"/>
  <c r="IV49" i="5" s="1"/>
  <c r="JO49" i="5" s="1"/>
  <c r="IB67" i="5"/>
  <c r="IV67" i="5" s="1"/>
  <c r="JO67" i="5" s="1"/>
  <c r="IB75" i="5"/>
  <c r="IV75" i="5" s="1"/>
  <c r="JO75" i="5" s="1"/>
  <c r="IB69" i="5"/>
  <c r="IV69" i="5" s="1"/>
  <c r="JO69" i="5" s="1"/>
  <c r="IB59" i="5"/>
  <c r="IV59" i="5" s="1"/>
  <c r="JO59" i="5" s="1"/>
  <c r="IB43" i="5"/>
  <c r="IV43" i="5" s="1"/>
  <c r="JO43" i="5" s="1"/>
  <c r="IB63" i="5"/>
  <c r="IV63" i="5" s="1"/>
  <c r="JO63" i="5" s="1"/>
  <c r="IB39" i="5"/>
  <c r="IV39" i="5" s="1"/>
  <c r="JO39" i="5" s="1"/>
  <c r="IB40" i="5"/>
  <c r="IV40" i="5" s="1"/>
  <c r="JO40" i="5" s="1"/>
  <c r="IB35" i="5"/>
  <c r="IV35" i="5" s="1"/>
  <c r="JO35" i="5" s="1"/>
  <c r="IB65" i="5"/>
  <c r="IV65" i="5" s="1"/>
  <c r="JO65" i="5" s="1"/>
  <c r="IB73" i="5"/>
  <c r="IV73" i="5" s="1"/>
  <c r="JO73" i="5" s="1"/>
  <c r="IB45" i="5"/>
  <c r="IV45" i="5" s="1"/>
  <c r="JO45" i="5" s="1"/>
  <c r="IB32" i="5"/>
  <c r="IV32" i="5" s="1"/>
  <c r="JO32" i="5" s="1"/>
  <c r="IB34" i="5"/>
  <c r="IV34" i="5" s="1"/>
  <c r="JO34" i="5" s="1"/>
  <c r="IB51" i="5"/>
  <c r="IV51" i="5" s="1"/>
  <c r="JO51" i="5" s="1"/>
  <c r="IB29" i="5"/>
  <c r="IV29" i="5" s="1"/>
  <c r="JO29" i="5" s="1"/>
  <c r="IB57" i="5"/>
  <c r="IV57" i="5" s="1"/>
  <c r="JO57" i="5" s="1"/>
  <c r="IB46" i="5"/>
  <c r="IV46" i="5" s="1"/>
  <c r="JO46" i="5" s="1"/>
  <c r="IB42" i="5"/>
  <c r="IV42" i="5" s="1"/>
  <c r="JO42" i="5" s="1"/>
  <c r="IX78" i="5"/>
  <c r="JQ78" i="5" s="1"/>
  <c r="IY78" i="5"/>
  <c r="JR78" i="5" s="1"/>
  <c r="JA78" i="5"/>
  <c r="JT78" i="5" s="1"/>
  <c r="IB58" i="5"/>
  <c r="IV58" i="5" s="1"/>
  <c r="JO58" i="5" s="1"/>
  <c r="IB48" i="5"/>
  <c r="IV48" i="5" s="1"/>
  <c r="JO48" i="5" s="1"/>
  <c r="HO77" i="5"/>
  <c r="JW77" i="5" s="1"/>
  <c r="CW77" i="5"/>
  <c r="HI57" i="5"/>
  <c r="BB56" i="5"/>
  <c r="CQ57" i="5"/>
  <c r="FR57" i="5"/>
  <c r="HI32" i="5"/>
  <c r="BB31" i="5"/>
  <c r="CQ32" i="5"/>
  <c r="FR32" i="5"/>
  <c r="HI58" i="5"/>
  <c r="BB57" i="5"/>
  <c r="CQ58" i="5"/>
  <c r="FR58" i="5"/>
  <c r="HI31" i="5"/>
  <c r="BB30" i="5"/>
  <c r="CQ31" i="5"/>
  <c r="FR31" i="5"/>
  <c r="HI62" i="5"/>
  <c r="BB61" i="5"/>
  <c r="CQ62" i="5"/>
  <c r="FR62" i="5"/>
  <c r="HI35" i="5"/>
  <c r="BB34" i="5"/>
  <c r="CQ35" i="5"/>
  <c r="FR35" i="5"/>
  <c r="HI61" i="5"/>
  <c r="BB60" i="5"/>
  <c r="CQ61" i="5"/>
  <c r="FR61" i="5"/>
  <c r="HI44" i="5"/>
  <c r="BB43" i="5"/>
  <c r="CQ44" i="5"/>
  <c r="FR44" i="5"/>
  <c r="HI64" i="5"/>
  <c r="BB63" i="5"/>
  <c r="CQ64" i="5"/>
  <c r="FR64" i="5"/>
  <c r="HI68" i="5"/>
  <c r="BB67" i="5"/>
  <c r="CQ68" i="5"/>
  <c r="FR68" i="5"/>
  <c r="HL77" i="5"/>
  <c r="BE76" i="5"/>
  <c r="CT77" i="5"/>
  <c r="FU77" i="5"/>
  <c r="IF77" i="5" s="1"/>
  <c r="HI67" i="5"/>
  <c r="BB66" i="5"/>
  <c r="CQ67" i="5"/>
  <c r="FR67" i="5"/>
  <c r="HI36" i="5"/>
  <c r="BB35" i="5"/>
  <c r="CQ36" i="5"/>
  <c r="FR36" i="5"/>
  <c r="HI59" i="5"/>
  <c r="BB58" i="5"/>
  <c r="CQ59" i="5"/>
  <c r="FR59" i="5"/>
  <c r="HI28" i="5"/>
  <c r="CQ28" i="5"/>
  <c r="FR28" i="5"/>
  <c r="IC28" i="5" s="1"/>
  <c r="IW28" i="5" s="1"/>
  <c r="JP28" i="5" s="1"/>
  <c r="HN77" i="5"/>
  <c r="JC77" i="5" s="1"/>
  <c r="JV77" i="5" s="1"/>
  <c r="BG76" i="5"/>
  <c r="CV77" i="5"/>
  <c r="FW77" i="5"/>
  <c r="IH77" i="5" s="1"/>
  <c r="HM77" i="5"/>
  <c r="BF76" i="5"/>
  <c r="CU77" i="5"/>
  <c r="FV77" i="5"/>
  <c r="IG77" i="5" s="1"/>
  <c r="JA77" i="5" s="1"/>
  <c r="JT77" i="5" s="1"/>
  <c r="HI47" i="5"/>
  <c r="BB46" i="5"/>
  <c r="CQ47" i="5"/>
  <c r="FR47" i="5"/>
  <c r="HI66" i="5"/>
  <c r="BB65" i="5"/>
  <c r="CQ66" i="5"/>
  <c r="FR66" i="5"/>
  <c r="HI55" i="5"/>
  <c r="BB54" i="5"/>
  <c r="CQ55" i="5"/>
  <c r="FR55" i="5"/>
  <c r="HI45" i="5"/>
  <c r="BB44" i="5"/>
  <c r="CQ45" i="5"/>
  <c r="FR45" i="5"/>
  <c r="HI72" i="5"/>
  <c r="BB71" i="5"/>
  <c r="CQ72" i="5"/>
  <c r="FR72" i="5"/>
  <c r="HI37" i="5"/>
  <c r="BB36" i="5"/>
  <c r="CQ37" i="5"/>
  <c r="FR37" i="5"/>
  <c r="HI74" i="5"/>
  <c r="BB73" i="5"/>
  <c r="CQ74" i="5"/>
  <c r="FR74" i="5"/>
  <c r="HI60" i="5"/>
  <c r="BB59" i="5"/>
  <c r="CQ60" i="5"/>
  <c r="FR60" i="5"/>
  <c r="HI49" i="5"/>
  <c r="BB48" i="5"/>
  <c r="CQ49" i="5"/>
  <c r="FR49" i="5"/>
  <c r="HI38" i="5"/>
  <c r="BB37" i="5"/>
  <c r="CQ38" i="5"/>
  <c r="FR38" i="5"/>
  <c r="HI51" i="5"/>
  <c r="BB50" i="5"/>
  <c r="CQ51" i="5"/>
  <c r="FR51" i="5"/>
  <c r="HI42" i="5"/>
  <c r="BB41" i="5"/>
  <c r="CQ42" i="5"/>
  <c r="FR42" i="5"/>
  <c r="HI48" i="5"/>
  <c r="BB47" i="5"/>
  <c r="CQ48" i="5"/>
  <c r="FR48" i="5"/>
  <c r="HJ77" i="5"/>
  <c r="BC76" i="5"/>
  <c r="CR77" i="5"/>
  <c r="FS77" i="5"/>
  <c r="HI76" i="5"/>
  <c r="BB75" i="5"/>
  <c r="CQ76" i="5"/>
  <c r="FR76" i="5"/>
  <c r="HI34" i="5"/>
  <c r="BB33" i="5"/>
  <c r="CQ34" i="5"/>
  <c r="FR34" i="5"/>
  <c r="HI56" i="5"/>
  <c r="BB55" i="5"/>
  <c r="CQ56" i="5"/>
  <c r="FR56" i="5"/>
  <c r="HI75" i="5"/>
  <c r="BB74" i="5"/>
  <c r="CQ75" i="5"/>
  <c r="FR75" i="5"/>
  <c r="HI53" i="5"/>
  <c r="BB52" i="5"/>
  <c r="CQ53" i="5"/>
  <c r="FR53" i="5"/>
  <c r="HI77" i="5"/>
  <c r="BB76" i="5"/>
  <c r="CQ77" i="5"/>
  <c r="FR77" i="5"/>
  <c r="HI43" i="5"/>
  <c r="BB42" i="5"/>
  <c r="CQ43" i="5"/>
  <c r="FR43" i="5"/>
  <c r="HI50" i="5"/>
  <c r="BB49" i="5"/>
  <c r="CQ50" i="5"/>
  <c r="FR50" i="5"/>
  <c r="HI63" i="5"/>
  <c r="BB62" i="5"/>
  <c r="CQ63" i="5"/>
  <c r="FR63" i="5"/>
  <c r="HI33" i="5"/>
  <c r="BB32" i="5"/>
  <c r="CQ33" i="5"/>
  <c r="FR33" i="5"/>
  <c r="HI70" i="5"/>
  <c r="BB69" i="5"/>
  <c r="CQ70" i="5"/>
  <c r="FR70" i="5"/>
  <c r="HI30" i="5"/>
  <c r="BB29" i="5"/>
  <c r="CQ30" i="5"/>
  <c r="FR30" i="5"/>
  <c r="HI46" i="5"/>
  <c r="BB45" i="5"/>
  <c r="CQ46" i="5"/>
  <c r="FR46" i="5"/>
  <c r="HI71" i="5"/>
  <c r="BB70" i="5"/>
  <c r="CQ71" i="5"/>
  <c r="FR71" i="5"/>
  <c r="HI40" i="5"/>
  <c r="BB39" i="5"/>
  <c r="CQ40" i="5"/>
  <c r="FR40" i="5"/>
  <c r="HI52" i="5"/>
  <c r="BB51" i="5"/>
  <c r="CQ52" i="5"/>
  <c r="FR52" i="5"/>
  <c r="HI69" i="5"/>
  <c r="BB68" i="5"/>
  <c r="CQ69" i="5"/>
  <c r="FR69" i="5"/>
  <c r="HI65" i="5"/>
  <c r="BB64" i="5"/>
  <c r="CQ65" i="5"/>
  <c r="FR65" i="5"/>
  <c r="HI29" i="5"/>
  <c r="BB28" i="5"/>
  <c r="CQ29" i="5"/>
  <c r="FR29" i="5"/>
  <c r="HI54" i="5"/>
  <c r="BB53" i="5"/>
  <c r="CQ54" i="5"/>
  <c r="FR54" i="5"/>
  <c r="HI41" i="5"/>
  <c r="BB40" i="5"/>
  <c r="CQ41" i="5"/>
  <c r="FR41" i="5"/>
  <c r="HI73" i="5"/>
  <c r="BB72" i="5"/>
  <c r="CQ73" i="5"/>
  <c r="FR73" i="5"/>
  <c r="HI39" i="5"/>
  <c r="BB38" i="5"/>
  <c r="CQ39" i="5"/>
  <c r="FR39" i="5"/>
  <c r="HK77" i="5"/>
  <c r="BD76" i="5"/>
  <c r="CS77" i="5"/>
  <c r="FT77" i="5"/>
  <c r="IE77" i="5" s="1"/>
  <c r="EW73" i="5"/>
  <c r="EC72" i="5"/>
  <c r="EA36" i="5"/>
  <c r="EU37" i="5"/>
  <c r="IA37" i="5" s="1"/>
  <c r="IU37" i="5" s="1"/>
  <c r="JN37" i="5" s="1"/>
  <c r="EC62" i="5"/>
  <c r="EW63" i="5"/>
  <c r="IC63" i="5" s="1"/>
  <c r="IW63" i="5" s="1"/>
  <c r="JP63" i="5" s="1"/>
  <c r="EC59" i="5"/>
  <c r="EW60" i="5"/>
  <c r="IC60" i="5" s="1"/>
  <c r="IW60" i="5" s="1"/>
  <c r="JP60" i="5" s="1"/>
  <c r="EC75" i="5"/>
  <c r="EW76" i="5"/>
  <c r="IC76" i="5" s="1"/>
  <c r="IW76" i="5" s="1"/>
  <c r="JP76" i="5" s="1"/>
  <c r="EB32" i="5"/>
  <c r="EV33" i="5"/>
  <c r="IB33" i="5" s="1"/>
  <c r="IV33" i="5" s="1"/>
  <c r="JO33" i="5" s="1"/>
  <c r="EW47" i="5"/>
  <c r="EC46" i="5"/>
  <c r="EU79" i="5"/>
  <c r="IA79" i="5" s="1"/>
  <c r="IU79" i="5" s="1"/>
  <c r="JN79" i="5" s="1"/>
  <c r="EA78" i="5"/>
  <c r="EW40" i="5"/>
  <c r="EC39" i="5"/>
  <c r="EW46" i="5"/>
  <c r="EC45" i="5"/>
  <c r="EC35" i="5"/>
  <c r="EW36" i="5"/>
  <c r="EC51" i="5"/>
  <c r="EW52" i="5"/>
  <c r="IC52" i="5" s="1"/>
  <c r="IW52" i="5" s="1"/>
  <c r="JP52" i="5" s="1"/>
  <c r="EC36" i="5"/>
  <c r="EW37" i="5"/>
  <c r="IC37" i="5" s="1"/>
  <c r="IW37" i="5" s="1"/>
  <c r="JP37" i="5" s="1"/>
  <c r="EW71" i="5"/>
  <c r="EC70" i="5"/>
  <c r="EC53" i="5"/>
  <c r="EW54" i="5"/>
  <c r="IC54" i="5" s="1"/>
  <c r="IW54" i="5" s="1"/>
  <c r="JP54" i="5" s="1"/>
  <c r="EU53" i="5"/>
  <c r="IA53" i="5" s="1"/>
  <c r="IU53" i="5" s="1"/>
  <c r="JN53" i="5" s="1"/>
  <c r="EA52" i="5"/>
  <c r="EA28" i="5"/>
  <c r="EV28" i="5" s="1"/>
  <c r="IB28" i="5" s="1"/>
  <c r="IV28" i="5" s="1"/>
  <c r="JO28" i="5" s="1"/>
  <c r="EU29" i="5"/>
  <c r="IA29" i="5" s="1"/>
  <c r="IU29" i="5" s="1"/>
  <c r="JN29" i="5" s="1"/>
  <c r="EW65" i="5"/>
  <c r="EC64" i="5"/>
  <c r="EC48" i="5"/>
  <c r="EW49" i="5"/>
  <c r="IC49" i="5" s="1"/>
  <c r="IW49" i="5" s="1"/>
  <c r="JP49" i="5" s="1"/>
  <c r="EC69" i="5"/>
  <c r="EW70" i="5"/>
  <c r="IC70" i="5" s="1"/>
  <c r="IW70" i="5" s="1"/>
  <c r="JP70" i="5" s="1"/>
  <c r="EW29" i="5"/>
  <c r="EC28" i="5"/>
  <c r="EX28" i="5" s="1"/>
  <c r="EU77" i="5"/>
  <c r="IA77" i="5" s="1"/>
  <c r="IU77" i="5" s="1"/>
  <c r="JN77" i="5" s="1"/>
  <c r="EA76" i="5"/>
  <c r="EC60" i="5"/>
  <c r="EW61" i="5"/>
  <c r="EC29" i="5"/>
  <c r="EW30" i="5"/>
  <c r="IC30" i="5" s="1"/>
  <c r="IW30" i="5" s="1"/>
  <c r="JP30" i="5" s="1"/>
  <c r="EC47" i="5"/>
  <c r="EW48" i="5"/>
  <c r="IC48" i="5" s="1"/>
  <c r="IW48" i="5" s="1"/>
  <c r="JP48" i="5" s="1"/>
  <c r="EC65" i="5"/>
  <c r="EW66" i="5"/>
  <c r="IC66" i="5" s="1"/>
  <c r="IW66" i="5" s="1"/>
  <c r="JP66" i="5" s="1"/>
  <c r="EC73" i="5"/>
  <c r="EW74" i="5"/>
  <c r="IC74" i="5" s="1"/>
  <c r="IW74" i="5" s="1"/>
  <c r="JP74" i="5" s="1"/>
  <c r="EC67" i="5"/>
  <c r="EW68" i="5"/>
  <c r="EA54" i="5"/>
  <c r="EU55" i="5"/>
  <c r="IA55" i="5" s="1"/>
  <c r="IU55" i="5" s="1"/>
  <c r="JN55" i="5" s="1"/>
  <c r="EW58" i="5"/>
  <c r="IC58" i="5" s="1"/>
  <c r="IW58" i="5" s="1"/>
  <c r="JP58" i="5" s="1"/>
  <c r="EC57" i="5"/>
  <c r="EW42" i="5"/>
  <c r="EC41" i="5"/>
  <c r="EC61" i="5"/>
  <c r="EW62" i="5"/>
  <c r="EW38" i="5"/>
  <c r="EC37" i="5"/>
  <c r="EC38" i="5"/>
  <c r="EW39" i="5"/>
  <c r="IC39" i="5" s="1"/>
  <c r="IW39" i="5" s="1"/>
  <c r="JP39" i="5" s="1"/>
  <c r="EW34" i="5"/>
  <c r="EC33" i="5"/>
  <c r="EW64" i="5"/>
  <c r="IC64" i="5" s="1"/>
  <c r="IW64" i="5" s="1"/>
  <c r="JP64" i="5" s="1"/>
  <c r="EC63" i="5"/>
  <c r="EC71" i="5"/>
  <c r="EW72" i="5"/>
  <c r="IC72" i="5" s="1"/>
  <c r="IW72" i="5" s="1"/>
  <c r="JP72" i="5" s="1"/>
  <c r="EA60" i="5"/>
  <c r="EU61" i="5"/>
  <c r="IA61" i="5" s="1"/>
  <c r="IU61" i="5" s="1"/>
  <c r="JN61" i="5" s="1"/>
  <c r="EW44" i="5"/>
  <c r="IC44" i="5" s="1"/>
  <c r="IW44" i="5" s="1"/>
  <c r="JP44" i="5" s="1"/>
  <c r="EC43" i="5"/>
  <c r="EU69" i="5"/>
  <c r="IA69" i="5" s="1"/>
  <c r="IU69" i="5" s="1"/>
  <c r="JN69" i="5" s="1"/>
  <c r="EA68" i="5"/>
  <c r="EU71" i="5"/>
  <c r="IA71" i="5" s="1"/>
  <c r="IU71" i="5" s="1"/>
  <c r="JN71" i="5" s="1"/>
  <c r="EA70" i="5"/>
  <c r="EC77" i="5"/>
  <c r="EW78" i="5"/>
  <c r="IC78" i="5" s="1"/>
  <c r="IW78" i="5" s="1"/>
  <c r="JP78" i="5" s="1"/>
  <c r="EC30" i="5"/>
  <c r="EW31" i="5"/>
  <c r="EA44" i="5"/>
  <c r="EU45" i="5"/>
  <c r="IA45" i="5" s="1"/>
  <c r="IU45" i="5" s="1"/>
  <c r="JN45" i="5" s="1"/>
  <c r="EV56" i="5"/>
  <c r="IB56" i="5" s="1"/>
  <c r="IV56" i="5" s="1"/>
  <c r="JO56" i="5" s="1"/>
  <c r="EB55" i="5"/>
  <c r="EC32" i="5"/>
  <c r="EW33" i="5"/>
  <c r="IC33" i="5" s="1"/>
  <c r="IW33" i="5" s="1"/>
  <c r="JP33" i="5" s="1"/>
  <c r="EW50" i="5"/>
  <c r="EC49" i="5"/>
  <c r="EC55" i="5"/>
  <c r="EW56" i="5"/>
  <c r="IC56" i="5" s="1"/>
  <c r="IW56" i="5" s="1"/>
  <c r="JP56" i="5" s="1"/>
  <c r="EW45" i="5"/>
  <c r="EC44" i="5"/>
  <c r="EW41" i="5"/>
  <c r="EC40" i="5"/>
  <c r="EC56" i="5"/>
  <c r="EW57" i="5"/>
  <c r="D112" i="7"/>
  <c r="M111" i="7"/>
  <c r="N111" i="7"/>
  <c r="B111" i="7"/>
  <c r="F111" i="7" s="1"/>
  <c r="C111" i="7"/>
  <c r="I111" i="7" s="1"/>
  <c r="E111" i="7"/>
  <c r="H111" i="7" s="1"/>
  <c r="G111" i="7"/>
  <c r="K112" i="7"/>
  <c r="L112" i="7" s="1"/>
  <c r="J113" i="7"/>
  <c r="IC57" i="5" l="1"/>
  <c r="IW57" i="5" s="1"/>
  <c r="JP57" i="5" s="1"/>
  <c r="IC31" i="5"/>
  <c r="IW31" i="5" s="1"/>
  <c r="JP31" i="5" s="1"/>
  <c r="IC62" i="5"/>
  <c r="IW62" i="5" s="1"/>
  <c r="JP62" i="5" s="1"/>
  <c r="IC68" i="5"/>
  <c r="IW68" i="5" s="1"/>
  <c r="JP68" i="5" s="1"/>
  <c r="IC61" i="5"/>
  <c r="IW61" i="5" s="1"/>
  <c r="JP61" i="5" s="1"/>
  <c r="IC36" i="5"/>
  <c r="IW36" i="5" s="1"/>
  <c r="JP36" i="5" s="1"/>
  <c r="IC41" i="5"/>
  <c r="IW41" i="5" s="1"/>
  <c r="JP41" i="5" s="1"/>
  <c r="IC45" i="5"/>
  <c r="IW45" i="5" s="1"/>
  <c r="JP45" i="5" s="1"/>
  <c r="IC50" i="5"/>
  <c r="IW50" i="5" s="1"/>
  <c r="JP50" i="5" s="1"/>
  <c r="IC34" i="5"/>
  <c r="IW34" i="5" s="1"/>
  <c r="JP34" i="5" s="1"/>
  <c r="IC38" i="5"/>
  <c r="IW38" i="5" s="1"/>
  <c r="JP38" i="5" s="1"/>
  <c r="IC42" i="5"/>
  <c r="IW42" i="5" s="1"/>
  <c r="JP42" i="5" s="1"/>
  <c r="IC29" i="5"/>
  <c r="IW29" i="5" s="1"/>
  <c r="JP29" i="5" s="1"/>
  <c r="IC65" i="5"/>
  <c r="IW65" i="5" s="1"/>
  <c r="JP65" i="5" s="1"/>
  <c r="IC71" i="5"/>
  <c r="IW71" i="5" s="1"/>
  <c r="JP71" i="5" s="1"/>
  <c r="IC46" i="5"/>
  <c r="IW46" i="5" s="1"/>
  <c r="JP46" i="5" s="1"/>
  <c r="IC40" i="5"/>
  <c r="IW40" i="5" s="1"/>
  <c r="JP40" i="5" s="1"/>
  <c r="IC47" i="5"/>
  <c r="IW47" i="5" s="1"/>
  <c r="JP47" i="5" s="1"/>
  <c r="IC73" i="5"/>
  <c r="IW73" i="5" s="1"/>
  <c r="JP73" i="5" s="1"/>
  <c r="IY77" i="5"/>
  <c r="JR77" i="5" s="1"/>
  <c r="JB77" i="5"/>
  <c r="JU77" i="5" s="1"/>
  <c r="IZ77" i="5"/>
  <c r="JS77" i="5" s="1"/>
  <c r="HJ38" i="5"/>
  <c r="BC37" i="5"/>
  <c r="CR38" i="5"/>
  <c r="FS38" i="5"/>
  <c r="HJ72" i="5"/>
  <c r="BC71" i="5"/>
  <c r="CR72" i="5"/>
  <c r="FS72" i="5"/>
  <c r="HJ40" i="5"/>
  <c r="BC39" i="5"/>
  <c r="CR40" i="5"/>
  <c r="FS40" i="5"/>
  <c r="HJ53" i="5"/>
  <c r="BC52" i="5"/>
  <c r="CR53" i="5"/>
  <c r="FS53" i="5"/>
  <c r="HJ28" i="5"/>
  <c r="CR28" i="5"/>
  <c r="FS28" i="5"/>
  <c r="ID28" i="5" s="1"/>
  <c r="IX28" i="5" s="1"/>
  <c r="JQ28" i="5" s="1"/>
  <c r="HJ64" i="5"/>
  <c r="BC63" i="5"/>
  <c r="CR64" i="5"/>
  <c r="FS64" i="5"/>
  <c r="HJ68" i="5"/>
  <c r="BC67" i="5"/>
  <c r="CR68" i="5"/>
  <c r="FS68" i="5"/>
  <c r="HJ51" i="5"/>
  <c r="BC50" i="5"/>
  <c r="CR51" i="5"/>
  <c r="FS51" i="5"/>
  <c r="HJ39" i="5"/>
  <c r="BC38" i="5"/>
  <c r="CR39" i="5"/>
  <c r="FS39" i="5"/>
  <c r="HJ70" i="5"/>
  <c r="BC69" i="5"/>
  <c r="CR70" i="5"/>
  <c r="FS70" i="5"/>
  <c r="HJ45" i="5"/>
  <c r="BC44" i="5"/>
  <c r="CR45" i="5"/>
  <c r="FS45" i="5"/>
  <c r="HJ29" i="5"/>
  <c r="BC28" i="5"/>
  <c r="CR29" i="5"/>
  <c r="FS29" i="5"/>
  <c r="HJ69" i="5"/>
  <c r="BC68" i="5"/>
  <c r="CR69" i="5"/>
  <c r="FS69" i="5"/>
  <c r="HJ32" i="5"/>
  <c r="BC31" i="5"/>
  <c r="CR32" i="5"/>
  <c r="FS32" i="5"/>
  <c r="HJ62" i="5"/>
  <c r="BC61" i="5"/>
  <c r="CR62" i="5"/>
  <c r="FS62" i="5"/>
  <c r="HJ49" i="5"/>
  <c r="BC48" i="5"/>
  <c r="CR49" i="5"/>
  <c r="FS49" i="5"/>
  <c r="HJ42" i="5"/>
  <c r="BC41" i="5"/>
  <c r="CR42" i="5"/>
  <c r="FS42" i="5"/>
  <c r="HJ76" i="5"/>
  <c r="BC75" i="5"/>
  <c r="CR76" i="5"/>
  <c r="FS76" i="5"/>
  <c r="HJ52" i="5"/>
  <c r="BC51" i="5"/>
  <c r="CR52" i="5"/>
  <c r="FS52" i="5"/>
  <c r="HJ74" i="5"/>
  <c r="BC73" i="5"/>
  <c r="CR74" i="5"/>
  <c r="FS74" i="5"/>
  <c r="HJ55" i="5"/>
  <c r="BC54" i="5"/>
  <c r="CR55" i="5"/>
  <c r="FS55" i="5"/>
  <c r="HJ33" i="5"/>
  <c r="BC32" i="5"/>
  <c r="CR33" i="5"/>
  <c r="FS33" i="5"/>
  <c r="HJ75" i="5"/>
  <c r="BC74" i="5"/>
  <c r="CR75" i="5"/>
  <c r="FS75" i="5"/>
  <c r="HK76" i="5"/>
  <c r="BD75" i="5"/>
  <c r="CS76" i="5"/>
  <c r="FT76" i="5"/>
  <c r="HJ47" i="5"/>
  <c r="BC46" i="5"/>
  <c r="CR47" i="5"/>
  <c r="FS47" i="5"/>
  <c r="HJ41" i="5"/>
  <c r="BC40" i="5"/>
  <c r="CR41" i="5"/>
  <c r="FS41" i="5"/>
  <c r="HJ50" i="5"/>
  <c r="BC49" i="5"/>
  <c r="CR50" i="5"/>
  <c r="FS50" i="5"/>
  <c r="HJ37" i="5"/>
  <c r="BC36" i="5"/>
  <c r="CR37" i="5"/>
  <c r="FS37" i="5"/>
  <c r="HJ48" i="5"/>
  <c r="BC47" i="5"/>
  <c r="CR48" i="5"/>
  <c r="FS48" i="5"/>
  <c r="HJ59" i="5"/>
  <c r="BC58" i="5"/>
  <c r="CR59" i="5"/>
  <c r="FS59" i="5"/>
  <c r="HJ73" i="5"/>
  <c r="BC72" i="5"/>
  <c r="CR73" i="5"/>
  <c r="FS73" i="5"/>
  <c r="HJ36" i="5"/>
  <c r="BC35" i="5"/>
  <c r="CR36" i="5"/>
  <c r="FS36" i="5"/>
  <c r="HJ71" i="5"/>
  <c r="BC70" i="5"/>
  <c r="CR71" i="5"/>
  <c r="FS71" i="5"/>
  <c r="HJ44" i="5"/>
  <c r="BC43" i="5"/>
  <c r="CR44" i="5"/>
  <c r="FS44" i="5"/>
  <c r="HJ54" i="5"/>
  <c r="BC53" i="5"/>
  <c r="CR54" i="5"/>
  <c r="FS54" i="5"/>
  <c r="HJ65" i="5"/>
  <c r="BC64" i="5"/>
  <c r="CR65" i="5"/>
  <c r="FS65" i="5"/>
  <c r="HJ46" i="5"/>
  <c r="BC45" i="5"/>
  <c r="CR46" i="5"/>
  <c r="FS46" i="5"/>
  <c r="HN76" i="5"/>
  <c r="JC76" i="5" s="1"/>
  <c r="JV76" i="5" s="1"/>
  <c r="BG75" i="5"/>
  <c r="CV76" i="5"/>
  <c r="FW76" i="5"/>
  <c r="IH76" i="5" s="1"/>
  <c r="HJ67" i="5"/>
  <c r="BC66" i="5"/>
  <c r="CR67" i="5"/>
  <c r="FS67" i="5"/>
  <c r="HJ63" i="5"/>
  <c r="BC62" i="5"/>
  <c r="CR63" i="5"/>
  <c r="FS63" i="5"/>
  <c r="HJ43" i="5"/>
  <c r="BC42" i="5"/>
  <c r="CR43" i="5"/>
  <c r="FS43" i="5"/>
  <c r="HJ60" i="5"/>
  <c r="BC59" i="5"/>
  <c r="CR60" i="5"/>
  <c r="FS60" i="5"/>
  <c r="HJ34" i="5"/>
  <c r="BC33" i="5"/>
  <c r="CR34" i="5"/>
  <c r="FS34" i="5"/>
  <c r="HJ61" i="5"/>
  <c r="BC60" i="5"/>
  <c r="CR61" i="5"/>
  <c r="FS61" i="5"/>
  <c r="HJ30" i="5"/>
  <c r="BC29" i="5"/>
  <c r="CR30" i="5"/>
  <c r="FS30" i="5"/>
  <c r="HJ57" i="5"/>
  <c r="BC56" i="5"/>
  <c r="CR57" i="5"/>
  <c r="FS57" i="5"/>
  <c r="HJ31" i="5"/>
  <c r="BC30" i="5"/>
  <c r="CR31" i="5"/>
  <c r="FS31" i="5"/>
  <c r="HJ56" i="5"/>
  <c r="BC55" i="5"/>
  <c r="CR56" i="5"/>
  <c r="FS56" i="5"/>
  <c r="HL76" i="5"/>
  <c r="BE75" i="5"/>
  <c r="CT76" i="5"/>
  <c r="FU76" i="5"/>
  <c r="IF76" i="5" s="1"/>
  <c r="HO76" i="5"/>
  <c r="JW76" i="5" s="1"/>
  <c r="CW76" i="5"/>
  <c r="HJ58" i="5"/>
  <c r="BC57" i="5"/>
  <c r="CR58" i="5"/>
  <c r="FS58" i="5"/>
  <c r="HJ35" i="5"/>
  <c r="BC34" i="5"/>
  <c r="CR35" i="5"/>
  <c r="FS35" i="5"/>
  <c r="HJ66" i="5"/>
  <c r="BC65" i="5"/>
  <c r="CR66" i="5"/>
  <c r="FS66" i="5"/>
  <c r="HM76" i="5"/>
  <c r="BF75" i="5"/>
  <c r="CU76" i="5"/>
  <c r="FV76" i="5"/>
  <c r="IG76" i="5" s="1"/>
  <c r="ED48" i="5"/>
  <c r="EX49" i="5"/>
  <c r="ID49" i="5" s="1"/>
  <c r="IX49" i="5" s="1"/>
  <c r="JQ49" i="5" s="1"/>
  <c r="EC54" i="5"/>
  <c r="EW55" i="5"/>
  <c r="IC55" i="5" s="1"/>
  <c r="IW55" i="5" s="1"/>
  <c r="JP55" i="5" s="1"/>
  <c r="EV70" i="5"/>
  <c r="IB70" i="5" s="1"/>
  <c r="IV70" i="5" s="1"/>
  <c r="JO70" i="5" s="1"/>
  <c r="EB69" i="5"/>
  <c r="EB67" i="5"/>
  <c r="EV68" i="5"/>
  <c r="IB68" i="5" s="1"/>
  <c r="IV68" i="5" s="1"/>
  <c r="JO68" i="5" s="1"/>
  <c r="EX43" i="5"/>
  <c r="ED42" i="5"/>
  <c r="ED62" i="5"/>
  <c r="EX63" i="5"/>
  <c r="ID63" i="5" s="1"/>
  <c r="IX63" i="5" s="1"/>
  <c r="JQ63" i="5" s="1"/>
  <c r="ED32" i="5"/>
  <c r="EX33" i="5"/>
  <c r="ID33" i="5" s="1"/>
  <c r="IX33" i="5" s="1"/>
  <c r="JQ33" i="5" s="1"/>
  <c r="EX37" i="5"/>
  <c r="ED36" i="5"/>
  <c r="EX41" i="5"/>
  <c r="ED40" i="5"/>
  <c r="ED56" i="5"/>
  <c r="EX57" i="5"/>
  <c r="ID57" i="5" s="1"/>
  <c r="IX57" i="5" s="1"/>
  <c r="JQ57" i="5" s="1"/>
  <c r="EB75" i="5"/>
  <c r="EV76" i="5"/>
  <c r="IB76" i="5" s="1"/>
  <c r="IV76" i="5" s="1"/>
  <c r="JO76" i="5" s="1"/>
  <c r="ED63" i="5"/>
  <c r="EX64" i="5"/>
  <c r="ID64" i="5" s="1"/>
  <c r="IX64" i="5" s="1"/>
  <c r="JQ64" i="5" s="1"/>
  <c r="EB51" i="5"/>
  <c r="EV52" i="5"/>
  <c r="IB52" i="5" s="1"/>
  <c r="IV52" i="5" s="1"/>
  <c r="JO52" i="5" s="1"/>
  <c r="ED69" i="5"/>
  <c r="EX70" i="5"/>
  <c r="ID70" i="5" s="1"/>
  <c r="IX70" i="5" s="1"/>
  <c r="JQ70" i="5" s="1"/>
  <c r="ED44" i="5"/>
  <c r="EX45" i="5"/>
  <c r="ID45" i="5" s="1"/>
  <c r="IX45" i="5" s="1"/>
  <c r="JQ45" i="5" s="1"/>
  <c r="ED38" i="5"/>
  <c r="EX39" i="5"/>
  <c r="ID39" i="5" s="1"/>
  <c r="IX39" i="5" s="1"/>
  <c r="JQ39" i="5" s="1"/>
  <c r="EB77" i="5"/>
  <c r="EV78" i="5"/>
  <c r="IB78" i="5" s="1"/>
  <c r="IV78" i="5" s="1"/>
  <c r="JO78" i="5" s="1"/>
  <c r="ED45" i="5"/>
  <c r="EX46" i="5"/>
  <c r="ID46" i="5" s="1"/>
  <c r="IX46" i="5" s="1"/>
  <c r="JQ46" i="5" s="1"/>
  <c r="ED71" i="5"/>
  <c r="EX72" i="5"/>
  <c r="ED39" i="5"/>
  <c r="EX40" i="5"/>
  <c r="ED43" i="5"/>
  <c r="EX44" i="5"/>
  <c r="ID44" i="5" s="1"/>
  <c r="IX44" i="5" s="1"/>
  <c r="JQ44" i="5" s="1"/>
  <c r="EX56" i="5"/>
  <c r="ED55" i="5"/>
  <c r="ED54" i="5"/>
  <c r="EX55" i="5"/>
  <c r="ID55" i="5" s="1"/>
  <c r="IX55" i="5" s="1"/>
  <c r="JQ55" i="5" s="1"/>
  <c r="ED31" i="5"/>
  <c r="EX32" i="5"/>
  <c r="ID32" i="5" s="1"/>
  <c r="IX32" i="5" s="1"/>
  <c r="JQ32" i="5" s="1"/>
  <c r="EV44" i="5"/>
  <c r="IB44" i="5" s="1"/>
  <c r="IV44" i="5" s="1"/>
  <c r="JO44" i="5" s="1"/>
  <c r="EB43" i="5"/>
  <c r="EX30" i="5"/>
  <c r="ED29" i="5"/>
  <c r="ED76" i="5"/>
  <c r="EX77" i="5"/>
  <c r="ID77" i="5" s="1"/>
  <c r="IX77" i="5" s="1"/>
  <c r="JQ77" i="5" s="1"/>
  <c r="EV60" i="5"/>
  <c r="IB60" i="5" s="1"/>
  <c r="IV60" i="5" s="1"/>
  <c r="JO60" i="5" s="1"/>
  <c r="EB59" i="5"/>
  <c r="ED70" i="5"/>
  <c r="EX71" i="5"/>
  <c r="ID71" i="5" s="1"/>
  <c r="IX71" i="5" s="1"/>
  <c r="JQ71" i="5" s="1"/>
  <c r="EX38" i="5"/>
  <c r="ID38" i="5" s="1"/>
  <c r="IX38" i="5" s="1"/>
  <c r="JQ38" i="5" s="1"/>
  <c r="ED37" i="5"/>
  <c r="EX61" i="5"/>
  <c r="ED60" i="5"/>
  <c r="EB53" i="5"/>
  <c r="EV54" i="5"/>
  <c r="IB54" i="5" s="1"/>
  <c r="IV54" i="5" s="1"/>
  <c r="JO54" i="5" s="1"/>
  <c r="ED66" i="5"/>
  <c r="EX67" i="5"/>
  <c r="ID67" i="5" s="1"/>
  <c r="IX67" i="5" s="1"/>
  <c r="JQ67" i="5" s="1"/>
  <c r="ED72" i="5"/>
  <c r="EX73" i="5"/>
  <c r="ID73" i="5" s="1"/>
  <c r="IX73" i="5" s="1"/>
  <c r="JQ73" i="5" s="1"/>
  <c r="ED64" i="5"/>
  <c r="EX65" i="5"/>
  <c r="ID65" i="5" s="1"/>
  <c r="IX65" i="5" s="1"/>
  <c r="JQ65" i="5" s="1"/>
  <c r="EX47" i="5"/>
  <c r="ED46" i="5"/>
  <c r="ED28" i="5"/>
  <c r="EY28" i="5" s="1"/>
  <c r="EX29" i="5"/>
  <c r="ID29" i="5" s="1"/>
  <c r="IX29" i="5" s="1"/>
  <c r="JQ29" i="5" s="1"/>
  <c r="ED59" i="5"/>
  <c r="EX60" i="5"/>
  <c r="ID60" i="5" s="1"/>
  <c r="IX60" i="5" s="1"/>
  <c r="JQ60" i="5" s="1"/>
  <c r="ED68" i="5"/>
  <c r="EX69" i="5"/>
  <c r="ID69" i="5" s="1"/>
  <c r="IX69" i="5" s="1"/>
  <c r="JQ69" i="5" s="1"/>
  <c r="ED47" i="5"/>
  <c r="EX48" i="5"/>
  <c r="ID48" i="5" s="1"/>
  <c r="IX48" i="5" s="1"/>
  <c r="JQ48" i="5" s="1"/>
  <c r="EX53" i="5"/>
  <c r="ID53" i="5" s="1"/>
  <c r="IX53" i="5" s="1"/>
  <c r="JQ53" i="5" s="1"/>
  <c r="ED52" i="5"/>
  <c r="EX36" i="5"/>
  <c r="ED35" i="5"/>
  <c r="ED50" i="5"/>
  <c r="EX51" i="5"/>
  <c r="ID51" i="5" s="1"/>
  <c r="IX51" i="5" s="1"/>
  <c r="JQ51" i="5" s="1"/>
  <c r="ED34" i="5"/>
  <c r="EX35" i="5"/>
  <c r="ID35" i="5" s="1"/>
  <c r="IX35" i="5" s="1"/>
  <c r="JQ35" i="5" s="1"/>
  <c r="EC31" i="5"/>
  <c r="EW32" i="5"/>
  <c r="IC32" i="5" s="1"/>
  <c r="IW32" i="5" s="1"/>
  <c r="JP32" i="5" s="1"/>
  <c r="ED74" i="5"/>
  <c r="EX75" i="5"/>
  <c r="ID75" i="5" s="1"/>
  <c r="IX75" i="5" s="1"/>
  <c r="JQ75" i="5" s="1"/>
  <c r="ED58" i="5"/>
  <c r="EX59" i="5"/>
  <c r="ID59" i="5" s="1"/>
  <c r="IX59" i="5" s="1"/>
  <c r="JQ59" i="5" s="1"/>
  <c r="ED61" i="5"/>
  <c r="EX62" i="5"/>
  <c r="ID62" i="5" s="1"/>
  <c r="IX62" i="5" s="1"/>
  <c r="JQ62" i="5" s="1"/>
  <c r="EB35" i="5"/>
  <c r="EV36" i="5"/>
  <c r="IB36" i="5" s="1"/>
  <c r="IV36" i="5" s="1"/>
  <c r="JO36" i="5" s="1"/>
  <c r="M112" i="7"/>
  <c r="N112" i="7"/>
  <c r="D113" i="7"/>
  <c r="C112" i="7"/>
  <c r="I112" i="7" s="1"/>
  <c r="E112" i="7"/>
  <c r="H112" i="7" s="1"/>
  <c r="G112" i="7"/>
  <c r="B112" i="7"/>
  <c r="F112" i="7" s="1"/>
  <c r="K113" i="7"/>
  <c r="L113" i="7" s="1"/>
  <c r="J114" i="7"/>
  <c r="ID36" i="5" l="1"/>
  <c r="IX36" i="5" s="1"/>
  <c r="JQ36" i="5" s="1"/>
  <c r="ID47" i="5"/>
  <c r="IX47" i="5" s="1"/>
  <c r="JQ47" i="5" s="1"/>
  <c r="ID61" i="5"/>
  <c r="IX61" i="5" s="1"/>
  <c r="JQ61" i="5" s="1"/>
  <c r="ID30" i="5"/>
  <c r="IX30" i="5" s="1"/>
  <c r="JQ30" i="5" s="1"/>
  <c r="ID56" i="5"/>
  <c r="IX56" i="5" s="1"/>
  <c r="JQ56" i="5" s="1"/>
  <c r="ID41" i="5"/>
  <c r="IX41" i="5" s="1"/>
  <c r="JQ41" i="5" s="1"/>
  <c r="ID37" i="5"/>
  <c r="IX37" i="5" s="1"/>
  <c r="JQ37" i="5" s="1"/>
  <c r="ID43" i="5"/>
  <c r="IX43" i="5" s="1"/>
  <c r="JQ43" i="5" s="1"/>
  <c r="ID40" i="5"/>
  <c r="IX40" i="5" s="1"/>
  <c r="JQ40" i="5" s="1"/>
  <c r="ID72" i="5"/>
  <c r="IX72" i="5" s="1"/>
  <c r="JQ72" i="5" s="1"/>
  <c r="JA76" i="5"/>
  <c r="JT76" i="5" s="1"/>
  <c r="IZ76" i="5"/>
  <c r="JS76" i="5" s="1"/>
  <c r="JB76" i="5"/>
  <c r="JU76" i="5" s="1"/>
  <c r="KF39" i="5"/>
  <c r="Q13" i="5" s="1"/>
  <c r="KE39" i="5"/>
  <c r="P13" i="5" s="1"/>
  <c r="HN75" i="5"/>
  <c r="JC75" i="5" s="1"/>
  <c r="JV75" i="5" s="1"/>
  <c r="BG74" i="5"/>
  <c r="CV75" i="5"/>
  <c r="FW75" i="5"/>
  <c r="IH75" i="5" s="1"/>
  <c r="HM75" i="5"/>
  <c r="BF74" i="5"/>
  <c r="CU75" i="5"/>
  <c r="FV75" i="5"/>
  <c r="IG75" i="5" s="1"/>
  <c r="HK55" i="5"/>
  <c r="BD54" i="5"/>
  <c r="CS55" i="5"/>
  <c r="FT55" i="5"/>
  <c r="HK30" i="5"/>
  <c r="BD29" i="5"/>
  <c r="CS30" i="5"/>
  <c r="FT30" i="5"/>
  <c r="HK56" i="5"/>
  <c r="BD55" i="5"/>
  <c r="CS56" i="5"/>
  <c r="FT56" i="5"/>
  <c r="HK29" i="5"/>
  <c r="BD28" i="5"/>
  <c r="CS29" i="5"/>
  <c r="FT29" i="5"/>
  <c r="HK60" i="5"/>
  <c r="BD59" i="5"/>
  <c r="CS60" i="5"/>
  <c r="FT60" i="5"/>
  <c r="HK33" i="5"/>
  <c r="BD32" i="5"/>
  <c r="CS33" i="5"/>
  <c r="FT33" i="5"/>
  <c r="HK59" i="5"/>
  <c r="BD58" i="5"/>
  <c r="CS59" i="5"/>
  <c r="FT59" i="5"/>
  <c r="HK42" i="5"/>
  <c r="BD41" i="5"/>
  <c r="CS42" i="5"/>
  <c r="FT42" i="5"/>
  <c r="HK62" i="5"/>
  <c r="BD61" i="5"/>
  <c r="CS62" i="5"/>
  <c r="FT62" i="5"/>
  <c r="HK66" i="5"/>
  <c r="BD65" i="5"/>
  <c r="CS66" i="5"/>
  <c r="FT66" i="5"/>
  <c r="HO75" i="5"/>
  <c r="JW75" i="5" s="1"/>
  <c r="CW75" i="5"/>
  <c r="HK45" i="5"/>
  <c r="BD44" i="5"/>
  <c r="CS45" i="5"/>
  <c r="FT45" i="5"/>
  <c r="HK64" i="5"/>
  <c r="BD63" i="5"/>
  <c r="CS64" i="5"/>
  <c r="FT64" i="5"/>
  <c r="HK53" i="5"/>
  <c r="BD52" i="5"/>
  <c r="CS53" i="5"/>
  <c r="FT53" i="5"/>
  <c r="HK43" i="5"/>
  <c r="BD42" i="5"/>
  <c r="CS43" i="5"/>
  <c r="FT43" i="5"/>
  <c r="HK70" i="5"/>
  <c r="BD69" i="5"/>
  <c r="CS70" i="5"/>
  <c r="FT70" i="5"/>
  <c r="HK35" i="5"/>
  <c r="BD34" i="5"/>
  <c r="CS35" i="5"/>
  <c r="FT35" i="5"/>
  <c r="HK72" i="5"/>
  <c r="BD71" i="5"/>
  <c r="CS72" i="5"/>
  <c r="FT72" i="5"/>
  <c r="HK58" i="5"/>
  <c r="BD57" i="5"/>
  <c r="CS58" i="5"/>
  <c r="FT58" i="5"/>
  <c r="HK47" i="5"/>
  <c r="BD46" i="5"/>
  <c r="CS47" i="5"/>
  <c r="FT47" i="5"/>
  <c r="HK36" i="5"/>
  <c r="BD35" i="5"/>
  <c r="CS36" i="5"/>
  <c r="FT36" i="5"/>
  <c r="HK49" i="5"/>
  <c r="BD48" i="5"/>
  <c r="CS49" i="5"/>
  <c r="FT49" i="5"/>
  <c r="HK40" i="5"/>
  <c r="BD39" i="5"/>
  <c r="CS40" i="5"/>
  <c r="FT40" i="5"/>
  <c r="HK46" i="5"/>
  <c r="BD45" i="5"/>
  <c r="CS46" i="5"/>
  <c r="FT46" i="5"/>
  <c r="HL75" i="5"/>
  <c r="BE74" i="5"/>
  <c r="CT75" i="5"/>
  <c r="FU75" i="5"/>
  <c r="HK74" i="5"/>
  <c r="BD73" i="5"/>
  <c r="CS74" i="5"/>
  <c r="FT74" i="5"/>
  <c r="HK32" i="5"/>
  <c r="BD31" i="5"/>
  <c r="CS32" i="5"/>
  <c r="FT32" i="5"/>
  <c r="HK54" i="5"/>
  <c r="BD53" i="5"/>
  <c r="CS54" i="5"/>
  <c r="FT54" i="5"/>
  <c r="HK73" i="5"/>
  <c r="BD72" i="5"/>
  <c r="CS73" i="5"/>
  <c r="FT73" i="5"/>
  <c r="HK51" i="5"/>
  <c r="BD50" i="5"/>
  <c r="CS51" i="5"/>
  <c r="FT51" i="5"/>
  <c r="HK75" i="5"/>
  <c r="BD74" i="5"/>
  <c r="CS75" i="5"/>
  <c r="FT75" i="5"/>
  <c r="HK41" i="5"/>
  <c r="BD40" i="5"/>
  <c r="CS41" i="5"/>
  <c r="FT41" i="5"/>
  <c r="HK48" i="5"/>
  <c r="BD47" i="5"/>
  <c r="CS48" i="5"/>
  <c r="FT48" i="5"/>
  <c r="HK61" i="5"/>
  <c r="BD60" i="5"/>
  <c r="CS61" i="5"/>
  <c r="FT61" i="5"/>
  <c r="HK31" i="5"/>
  <c r="BD30" i="5"/>
  <c r="CS31" i="5"/>
  <c r="FT31" i="5"/>
  <c r="HK68" i="5"/>
  <c r="BD67" i="5"/>
  <c r="CS68" i="5"/>
  <c r="FT68" i="5"/>
  <c r="HK28" i="5"/>
  <c r="CS28" i="5"/>
  <c r="FT28" i="5"/>
  <c r="IE28" i="5" s="1"/>
  <c r="IY28" i="5" s="1"/>
  <c r="JR28" i="5" s="1"/>
  <c r="HK44" i="5"/>
  <c r="BD43" i="5"/>
  <c r="CS44" i="5"/>
  <c r="FT44" i="5"/>
  <c r="HK69" i="5"/>
  <c r="BD68" i="5"/>
  <c r="CS69" i="5"/>
  <c r="FT69" i="5"/>
  <c r="HK38" i="5"/>
  <c r="BD37" i="5"/>
  <c r="CS38" i="5"/>
  <c r="FT38" i="5"/>
  <c r="HK50" i="5"/>
  <c r="BD49" i="5"/>
  <c r="CS50" i="5"/>
  <c r="FT50" i="5"/>
  <c r="HK67" i="5"/>
  <c r="BD66" i="5"/>
  <c r="CS67" i="5"/>
  <c r="FT67" i="5"/>
  <c r="HK63" i="5"/>
  <c r="BD62" i="5"/>
  <c r="CS63" i="5"/>
  <c r="FT63" i="5"/>
  <c r="HK65" i="5"/>
  <c r="BD64" i="5"/>
  <c r="CS65" i="5"/>
  <c r="FT65" i="5"/>
  <c r="HK34" i="5"/>
  <c r="BD33" i="5"/>
  <c r="CS34" i="5"/>
  <c r="FT34" i="5"/>
  <c r="HK57" i="5"/>
  <c r="BD56" i="5"/>
  <c r="CS57" i="5"/>
  <c r="FT57" i="5"/>
  <c r="HK52" i="5"/>
  <c r="BD51" i="5"/>
  <c r="CS52" i="5"/>
  <c r="FT52" i="5"/>
  <c r="HK39" i="5"/>
  <c r="BD38" i="5"/>
  <c r="CS39" i="5"/>
  <c r="FT39" i="5"/>
  <c r="HK71" i="5"/>
  <c r="BD70" i="5"/>
  <c r="CS71" i="5"/>
  <c r="FT71" i="5"/>
  <c r="HK37" i="5"/>
  <c r="BD36" i="5"/>
  <c r="CS37" i="5"/>
  <c r="FT37" i="5"/>
  <c r="EY35" i="5"/>
  <c r="IE35" i="5" s="1"/>
  <c r="IY35" i="5" s="1"/>
  <c r="JR35" i="5" s="1"/>
  <c r="EE34" i="5"/>
  <c r="EE51" i="5"/>
  <c r="EY52" i="5"/>
  <c r="IE52" i="5" s="1"/>
  <c r="IY52" i="5" s="1"/>
  <c r="JR52" i="5" s="1"/>
  <c r="EY46" i="5"/>
  <c r="IE46" i="5" s="1"/>
  <c r="IY46" i="5" s="1"/>
  <c r="JR46" i="5" s="1"/>
  <c r="EE45" i="5"/>
  <c r="EE59" i="5"/>
  <c r="EY60" i="5"/>
  <c r="EE36" i="5"/>
  <c r="EY37" i="5"/>
  <c r="IE37" i="5" s="1"/>
  <c r="IY37" i="5" s="1"/>
  <c r="JR37" i="5" s="1"/>
  <c r="EC58" i="5"/>
  <c r="EW59" i="5"/>
  <c r="IC59" i="5" s="1"/>
  <c r="IW59" i="5" s="1"/>
  <c r="JP59" i="5" s="1"/>
  <c r="EE28" i="5"/>
  <c r="EZ28" i="5" s="1"/>
  <c r="EY29" i="5"/>
  <c r="EC42" i="5"/>
  <c r="EW43" i="5"/>
  <c r="IC43" i="5" s="1"/>
  <c r="IW43" i="5" s="1"/>
  <c r="JP43" i="5" s="1"/>
  <c r="EE54" i="5"/>
  <c r="EY55" i="5"/>
  <c r="EE39" i="5"/>
  <c r="EY40" i="5"/>
  <c r="EY36" i="5"/>
  <c r="IE36" i="5" s="1"/>
  <c r="IY36" i="5" s="1"/>
  <c r="JR36" i="5" s="1"/>
  <c r="EE35" i="5"/>
  <c r="EE41" i="5"/>
  <c r="EY42" i="5"/>
  <c r="EW69" i="5"/>
  <c r="IC69" i="5" s="1"/>
  <c r="IW69" i="5" s="1"/>
  <c r="JP69" i="5" s="1"/>
  <c r="KE41" i="5" s="1"/>
  <c r="P15" i="5" s="1"/>
  <c r="EC68" i="5"/>
  <c r="EC34" i="5"/>
  <c r="EW35" i="5"/>
  <c r="IC35" i="5" s="1"/>
  <c r="IW35" i="5" s="1"/>
  <c r="JP35" i="5" s="1"/>
  <c r="EE60" i="5"/>
  <c r="EY61" i="5"/>
  <c r="EE57" i="5"/>
  <c r="EY58" i="5"/>
  <c r="EE73" i="5"/>
  <c r="EY74" i="5"/>
  <c r="EX31" i="5"/>
  <c r="ID31" i="5" s="1"/>
  <c r="IX31" i="5" s="1"/>
  <c r="JQ31" i="5" s="1"/>
  <c r="ED30" i="5"/>
  <c r="EY34" i="5"/>
  <c r="EE33" i="5"/>
  <c r="EY50" i="5"/>
  <c r="EE49" i="5"/>
  <c r="EE46" i="5"/>
  <c r="EY47" i="5"/>
  <c r="EE67" i="5"/>
  <c r="EY68" i="5"/>
  <c r="EY59" i="5"/>
  <c r="IE59" i="5" s="1"/>
  <c r="IY59" i="5" s="1"/>
  <c r="JR59" i="5" s="1"/>
  <c r="EE58" i="5"/>
  <c r="EE63" i="5"/>
  <c r="EY64" i="5"/>
  <c r="EE71" i="5"/>
  <c r="EY72" i="5"/>
  <c r="EE65" i="5"/>
  <c r="EY66" i="5"/>
  <c r="EW53" i="5"/>
  <c r="IC53" i="5" s="1"/>
  <c r="IW53" i="5" s="1"/>
  <c r="JP53" i="5" s="1"/>
  <c r="EC52" i="5"/>
  <c r="EY70" i="5"/>
  <c r="IE70" i="5" s="1"/>
  <c r="IY70" i="5" s="1"/>
  <c r="JR70" i="5" s="1"/>
  <c r="EE69" i="5"/>
  <c r="EE75" i="5"/>
  <c r="EY76" i="5"/>
  <c r="IE76" i="5" s="1"/>
  <c r="IY76" i="5" s="1"/>
  <c r="JR76" i="5" s="1"/>
  <c r="EY31" i="5"/>
  <c r="IE31" i="5" s="1"/>
  <c r="IY31" i="5" s="1"/>
  <c r="JR31" i="5" s="1"/>
  <c r="EE30" i="5"/>
  <c r="EY54" i="5"/>
  <c r="IE54" i="5" s="1"/>
  <c r="IY54" i="5" s="1"/>
  <c r="JR54" i="5" s="1"/>
  <c r="EE53" i="5"/>
  <c r="EY43" i="5"/>
  <c r="IE43" i="5" s="1"/>
  <c r="IY43" i="5" s="1"/>
  <c r="JR43" i="5" s="1"/>
  <c r="EE42" i="5"/>
  <c r="EE38" i="5"/>
  <c r="EY39" i="5"/>
  <c r="IE39" i="5" s="1"/>
  <c r="IY39" i="5" s="1"/>
  <c r="JR39" i="5" s="1"/>
  <c r="EY71" i="5"/>
  <c r="EE70" i="5"/>
  <c r="EY45" i="5"/>
  <c r="IE45" i="5" s="1"/>
  <c r="IY45" i="5" s="1"/>
  <c r="JR45" i="5" s="1"/>
  <c r="EE44" i="5"/>
  <c r="EC76" i="5"/>
  <c r="EW77" i="5"/>
  <c r="IC77" i="5" s="1"/>
  <c r="IW77" i="5" s="1"/>
  <c r="JP77" i="5" s="1"/>
  <c r="EY38" i="5"/>
  <c r="EE37" i="5"/>
  <c r="EY44" i="5"/>
  <c r="EE43" i="5"/>
  <c r="EY69" i="5"/>
  <c r="EE68" i="5"/>
  <c r="EC50" i="5"/>
  <c r="EW51" i="5"/>
  <c r="IC51" i="5" s="1"/>
  <c r="IW51" i="5" s="1"/>
  <c r="JP51" i="5" s="1"/>
  <c r="EY63" i="5"/>
  <c r="EE62" i="5"/>
  <c r="EW75" i="5"/>
  <c r="IC75" i="5" s="1"/>
  <c r="IW75" i="5" s="1"/>
  <c r="JP75" i="5" s="1"/>
  <c r="EC74" i="5"/>
  <c r="EY56" i="5"/>
  <c r="IE56" i="5" s="1"/>
  <c r="IY56" i="5" s="1"/>
  <c r="JR56" i="5" s="1"/>
  <c r="EE55" i="5"/>
  <c r="EE31" i="5"/>
  <c r="EY32" i="5"/>
  <c r="EE61" i="5"/>
  <c r="EY62" i="5"/>
  <c r="EC66" i="5"/>
  <c r="EW67" i="5"/>
  <c r="IC67" i="5" s="1"/>
  <c r="IW67" i="5" s="1"/>
  <c r="JP67" i="5" s="1"/>
  <c r="ED53" i="5"/>
  <c r="EX54" i="5"/>
  <c r="ID54" i="5" s="1"/>
  <c r="IX54" i="5" s="1"/>
  <c r="JQ54" i="5" s="1"/>
  <c r="EY48" i="5"/>
  <c r="IE48" i="5" s="1"/>
  <c r="IY48" i="5" s="1"/>
  <c r="JR48" i="5" s="1"/>
  <c r="EE47" i="5"/>
  <c r="M113" i="7"/>
  <c r="N113" i="7"/>
  <c r="D114" i="7"/>
  <c r="G113" i="7"/>
  <c r="B113" i="7"/>
  <c r="F113" i="7" s="1"/>
  <c r="C113" i="7"/>
  <c r="I113" i="7" s="1"/>
  <c r="E113" i="7"/>
  <c r="H113" i="7" s="1"/>
  <c r="K114" i="7"/>
  <c r="L114" i="7" s="1"/>
  <c r="J115" i="7"/>
  <c r="IE62" i="5" l="1"/>
  <c r="IY62" i="5" s="1"/>
  <c r="JR62" i="5" s="1"/>
  <c r="IE32" i="5"/>
  <c r="IY32" i="5" s="1"/>
  <c r="JR32" i="5" s="1"/>
  <c r="IE66" i="5"/>
  <c r="IY66" i="5" s="1"/>
  <c r="JR66" i="5" s="1"/>
  <c r="IE72" i="5"/>
  <c r="IY72" i="5" s="1"/>
  <c r="JR72" i="5" s="1"/>
  <c r="IE64" i="5"/>
  <c r="IY64" i="5" s="1"/>
  <c r="JR64" i="5" s="1"/>
  <c r="IE68" i="5"/>
  <c r="IY68" i="5" s="1"/>
  <c r="JR68" i="5" s="1"/>
  <c r="IE47" i="5"/>
  <c r="IY47" i="5" s="1"/>
  <c r="JR47" i="5" s="1"/>
  <c r="IE74" i="5"/>
  <c r="IY74" i="5" s="1"/>
  <c r="JR74" i="5" s="1"/>
  <c r="IE58" i="5"/>
  <c r="IY58" i="5" s="1"/>
  <c r="JR58" i="5" s="1"/>
  <c r="IE61" i="5"/>
  <c r="IY61" i="5" s="1"/>
  <c r="JR61" i="5" s="1"/>
  <c r="IE42" i="5"/>
  <c r="IY42" i="5" s="1"/>
  <c r="JR42" i="5" s="1"/>
  <c r="IE40" i="5"/>
  <c r="IY40" i="5" s="1"/>
  <c r="JR40" i="5" s="1"/>
  <c r="IE55" i="5"/>
  <c r="IY55" i="5" s="1"/>
  <c r="JR55" i="5" s="1"/>
  <c r="IE29" i="5"/>
  <c r="IY29" i="5" s="1"/>
  <c r="JR29" i="5" s="1"/>
  <c r="KF41" i="5"/>
  <c r="Q15" i="5" s="1"/>
  <c r="IE60" i="5"/>
  <c r="IY60" i="5" s="1"/>
  <c r="JR60" i="5" s="1"/>
  <c r="IE63" i="5"/>
  <c r="IY63" i="5" s="1"/>
  <c r="JR63" i="5" s="1"/>
  <c r="IE69" i="5"/>
  <c r="IY69" i="5" s="1"/>
  <c r="JR69" i="5" s="1"/>
  <c r="IE44" i="5"/>
  <c r="IY44" i="5" s="1"/>
  <c r="JR44" i="5" s="1"/>
  <c r="IE38" i="5"/>
  <c r="IY38" i="5" s="1"/>
  <c r="JR38" i="5" s="1"/>
  <c r="IE71" i="5"/>
  <c r="IY71" i="5" s="1"/>
  <c r="JR71" i="5" s="1"/>
  <c r="IE50" i="5"/>
  <c r="IY50" i="5" s="1"/>
  <c r="JR50" i="5" s="1"/>
  <c r="IE34" i="5"/>
  <c r="IY34" i="5" s="1"/>
  <c r="JR34" i="5" s="1"/>
  <c r="JB75" i="5"/>
  <c r="JU75" i="5" s="1"/>
  <c r="JA75" i="5"/>
  <c r="JT75" i="5" s="1"/>
  <c r="KE40" i="5"/>
  <c r="P14" i="5" s="1"/>
  <c r="KF40" i="5"/>
  <c r="Q14" i="5" s="1"/>
  <c r="HL36" i="5"/>
  <c r="BE35" i="5"/>
  <c r="CT36" i="5"/>
  <c r="FU36" i="5"/>
  <c r="HL70" i="5"/>
  <c r="BE69" i="5"/>
  <c r="CT70" i="5"/>
  <c r="FU70" i="5"/>
  <c r="HL38" i="5"/>
  <c r="BE37" i="5"/>
  <c r="CT38" i="5"/>
  <c r="FU38" i="5"/>
  <c r="HL51" i="5"/>
  <c r="BE50" i="5"/>
  <c r="CT51" i="5"/>
  <c r="FU51" i="5"/>
  <c r="HL56" i="5"/>
  <c r="BE55" i="5"/>
  <c r="CT56" i="5"/>
  <c r="FU56" i="5"/>
  <c r="HL33" i="5"/>
  <c r="BE32" i="5"/>
  <c r="CT33" i="5"/>
  <c r="FU33" i="5"/>
  <c r="HL64" i="5"/>
  <c r="BE63" i="5"/>
  <c r="CT64" i="5"/>
  <c r="FU64" i="5"/>
  <c r="HL62" i="5"/>
  <c r="BE61" i="5"/>
  <c r="CT62" i="5"/>
  <c r="FU62" i="5"/>
  <c r="HL66" i="5"/>
  <c r="BE65" i="5"/>
  <c r="CT66" i="5"/>
  <c r="FU66" i="5"/>
  <c r="HL49" i="5"/>
  <c r="BE48" i="5"/>
  <c r="CT49" i="5"/>
  <c r="FU49" i="5"/>
  <c r="HL37" i="5"/>
  <c r="BE36" i="5"/>
  <c r="CT37" i="5"/>
  <c r="FU37" i="5"/>
  <c r="HL68" i="5"/>
  <c r="BE67" i="5"/>
  <c r="CT68" i="5"/>
  <c r="FU68" i="5"/>
  <c r="HL43" i="5"/>
  <c r="BE42" i="5"/>
  <c r="CT43" i="5"/>
  <c r="FU43" i="5"/>
  <c r="HL65" i="5"/>
  <c r="BE64" i="5"/>
  <c r="CT65" i="5"/>
  <c r="FU65" i="5"/>
  <c r="HL61" i="5"/>
  <c r="BE60" i="5"/>
  <c r="CT61" i="5"/>
  <c r="FU61" i="5"/>
  <c r="HL41" i="5"/>
  <c r="BE40" i="5"/>
  <c r="CT41" i="5"/>
  <c r="FU41" i="5"/>
  <c r="HL58" i="5"/>
  <c r="BE57" i="5"/>
  <c r="CT58" i="5"/>
  <c r="FU58" i="5"/>
  <c r="HL32" i="5"/>
  <c r="BE31" i="5"/>
  <c r="CT32" i="5"/>
  <c r="FU32" i="5"/>
  <c r="HL59" i="5"/>
  <c r="BE58" i="5"/>
  <c r="CT59" i="5"/>
  <c r="FU59" i="5"/>
  <c r="HL28" i="5"/>
  <c r="CT28" i="5"/>
  <c r="FU28" i="5"/>
  <c r="IF28" i="5" s="1"/>
  <c r="IZ28" i="5" s="1"/>
  <c r="JS28" i="5" s="1"/>
  <c r="HL55" i="5"/>
  <c r="BE54" i="5"/>
  <c r="CT55" i="5"/>
  <c r="FU55" i="5"/>
  <c r="HL29" i="5"/>
  <c r="BE28" i="5"/>
  <c r="CT29" i="5"/>
  <c r="FU29" i="5"/>
  <c r="HL54" i="5"/>
  <c r="BE53" i="5"/>
  <c r="CT54" i="5"/>
  <c r="FU54" i="5"/>
  <c r="HN74" i="5"/>
  <c r="JC74" i="5" s="1"/>
  <c r="JV74" i="5" s="1"/>
  <c r="BG73" i="5"/>
  <c r="CV74" i="5"/>
  <c r="FW74" i="5"/>
  <c r="IH74" i="5" s="1"/>
  <c r="HO74" i="5"/>
  <c r="JW74" i="5" s="1"/>
  <c r="CW74" i="5"/>
  <c r="HL67" i="5"/>
  <c r="BE66" i="5"/>
  <c r="CT67" i="5"/>
  <c r="FU67" i="5"/>
  <c r="HL30" i="5"/>
  <c r="BE29" i="5"/>
  <c r="CT30" i="5"/>
  <c r="FU30" i="5"/>
  <c r="HL60" i="5"/>
  <c r="BE59" i="5"/>
  <c r="CT60" i="5"/>
  <c r="FU60" i="5"/>
  <c r="HL47" i="5"/>
  <c r="BE46" i="5"/>
  <c r="CT47" i="5"/>
  <c r="FU47" i="5"/>
  <c r="HL40" i="5"/>
  <c r="BE39" i="5"/>
  <c r="CT40" i="5"/>
  <c r="FU40" i="5"/>
  <c r="HL74" i="5"/>
  <c r="BE73" i="5"/>
  <c r="CT74" i="5"/>
  <c r="FU74" i="5"/>
  <c r="HL50" i="5"/>
  <c r="BE49" i="5"/>
  <c r="CT50" i="5"/>
  <c r="FU50" i="5"/>
  <c r="HL72" i="5"/>
  <c r="BE71" i="5"/>
  <c r="CT72" i="5"/>
  <c r="FU72" i="5"/>
  <c r="HL53" i="5"/>
  <c r="BE52" i="5"/>
  <c r="CT53" i="5"/>
  <c r="FU53" i="5"/>
  <c r="HL31" i="5"/>
  <c r="BE30" i="5"/>
  <c r="CT31" i="5"/>
  <c r="FU31" i="5"/>
  <c r="HL73" i="5"/>
  <c r="BE72" i="5"/>
  <c r="CT73" i="5"/>
  <c r="FU73" i="5"/>
  <c r="HM74" i="5"/>
  <c r="BF73" i="5"/>
  <c r="CU74" i="5"/>
  <c r="FV74" i="5"/>
  <c r="HL45" i="5"/>
  <c r="BE44" i="5"/>
  <c r="CT45" i="5"/>
  <c r="FU45" i="5"/>
  <c r="HL39" i="5"/>
  <c r="BE38" i="5"/>
  <c r="CT39" i="5"/>
  <c r="FU39" i="5"/>
  <c r="HL48" i="5"/>
  <c r="BE47" i="5"/>
  <c r="CT48" i="5"/>
  <c r="FU48" i="5"/>
  <c r="HL35" i="5"/>
  <c r="BE34" i="5"/>
  <c r="CT35" i="5"/>
  <c r="FU35" i="5"/>
  <c r="HL46" i="5"/>
  <c r="BE45" i="5"/>
  <c r="CT46" i="5"/>
  <c r="FU46" i="5"/>
  <c r="HL57" i="5"/>
  <c r="BE56" i="5"/>
  <c r="CT57" i="5"/>
  <c r="FU57" i="5"/>
  <c r="HL71" i="5"/>
  <c r="BE70" i="5"/>
  <c r="CT71" i="5"/>
  <c r="FU71" i="5"/>
  <c r="HL34" i="5"/>
  <c r="BE33" i="5"/>
  <c r="CT34" i="5"/>
  <c r="FU34" i="5"/>
  <c r="HL69" i="5"/>
  <c r="BE68" i="5"/>
  <c r="CT69" i="5"/>
  <c r="FU69" i="5"/>
  <c r="HL42" i="5"/>
  <c r="BE41" i="5"/>
  <c r="CT42" i="5"/>
  <c r="FU42" i="5"/>
  <c r="HL52" i="5"/>
  <c r="BE51" i="5"/>
  <c r="CT52" i="5"/>
  <c r="FU52" i="5"/>
  <c r="HL63" i="5"/>
  <c r="BE62" i="5"/>
  <c r="CT63" i="5"/>
  <c r="FU63" i="5"/>
  <c r="HL44" i="5"/>
  <c r="BE43" i="5"/>
  <c r="CT44" i="5"/>
  <c r="FU44" i="5"/>
  <c r="EF46" i="5"/>
  <c r="EZ47" i="5"/>
  <c r="IF47" i="5" s="1"/>
  <c r="IZ47" i="5" s="1"/>
  <c r="JS47" i="5" s="1"/>
  <c r="EF54" i="5"/>
  <c r="EZ55" i="5"/>
  <c r="IF55" i="5" s="1"/>
  <c r="IZ55" i="5" s="1"/>
  <c r="JS55" i="5" s="1"/>
  <c r="ED73" i="5"/>
  <c r="EX74" i="5"/>
  <c r="ID74" i="5" s="1"/>
  <c r="IX74" i="5" s="1"/>
  <c r="JQ74" i="5" s="1"/>
  <c r="EF61" i="5"/>
  <c r="EZ62" i="5"/>
  <c r="EZ68" i="5"/>
  <c r="IF68" i="5" s="1"/>
  <c r="IZ68" i="5" s="1"/>
  <c r="JS68" i="5" s="1"/>
  <c r="EF67" i="5"/>
  <c r="EZ43" i="5"/>
  <c r="IF43" i="5" s="1"/>
  <c r="IZ43" i="5" s="1"/>
  <c r="JS43" i="5" s="1"/>
  <c r="EF42" i="5"/>
  <c r="EF36" i="5"/>
  <c r="EZ37" i="5"/>
  <c r="EZ44" i="5"/>
  <c r="EF43" i="5"/>
  <c r="EZ70" i="5"/>
  <c r="IF70" i="5" s="1"/>
  <c r="IZ70" i="5" s="1"/>
  <c r="JS70" i="5" s="1"/>
  <c r="EF69" i="5"/>
  <c r="EZ42" i="5"/>
  <c r="EF41" i="5"/>
  <c r="EF52" i="5"/>
  <c r="EZ53" i="5"/>
  <c r="IF53" i="5" s="1"/>
  <c r="IZ53" i="5" s="1"/>
  <c r="JS53" i="5" s="1"/>
  <c r="EZ30" i="5"/>
  <c r="EF29" i="5"/>
  <c r="EF68" i="5"/>
  <c r="EZ69" i="5"/>
  <c r="IF69" i="5" s="1"/>
  <c r="IZ69" i="5" s="1"/>
  <c r="JS69" i="5" s="1"/>
  <c r="ED51" i="5"/>
  <c r="EX52" i="5"/>
  <c r="ID52" i="5" s="1"/>
  <c r="IX52" i="5" s="1"/>
  <c r="JQ52" i="5" s="1"/>
  <c r="EF57" i="5"/>
  <c r="EZ58" i="5"/>
  <c r="IF58" i="5" s="1"/>
  <c r="IZ58" i="5" s="1"/>
  <c r="JS58" i="5" s="1"/>
  <c r="EF48" i="5"/>
  <c r="EZ49" i="5"/>
  <c r="IF49" i="5" s="1"/>
  <c r="IZ49" i="5" s="1"/>
  <c r="JS49" i="5" s="1"/>
  <c r="EF32" i="5"/>
  <c r="EZ33" i="5"/>
  <c r="IF33" i="5" s="1"/>
  <c r="IZ33" i="5" s="1"/>
  <c r="JS33" i="5" s="1"/>
  <c r="EE29" i="5"/>
  <c r="EY30" i="5"/>
  <c r="IE30" i="5" s="1"/>
  <c r="IY30" i="5" s="1"/>
  <c r="JR30" i="5" s="1"/>
  <c r="EX68" i="5"/>
  <c r="ID68" i="5" s="1"/>
  <c r="IX68" i="5" s="1"/>
  <c r="JQ68" i="5" s="1"/>
  <c r="ED67" i="5"/>
  <c r="EF34" i="5"/>
  <c r="EZ35" i="5"/>
  <c r="IF35" i="5" s="1"/>
  <c r="IZ35" i="5" s="1"/>
  <c r="JS35" i="5" s="1"/>
  <c r="EF44" i="5"/>
  <c r="EZ45" i="5"/>
  <c r="IF45" i="5" s="1"/>
  <c r="IZ45" i="5" s="1"/>
  <c r="JS45" i="5" s="1"/>
  <c r="EZ34" i="5"/>
  <c r="EF33" i="5"/>
  <c r="EE52" i="5"/>
  <c r="EY53" i="5"/>
  <c r="IE53" i="5" s="1"/>
  <c r="IY53" i="5" s="1"/>
  <c r="JR53" i="5" s="1"/>
  <c r="ED65" i="5"/>
  <c r="EX66" i="5"/>
  <c r="ID66" i="5" s="1"/>
  <c r="IX66" i="5" s="1"/>
  <c r="JQ66" i="5" s="1"/>
  <c r="EF60" i="5"/>
  <c r="EZ61" i="5"/>
  <c r="IF61" i="5" s="1"/>
  <c r="IZ61" i="5" s="1"/>
  <c r="JS61" i="5" s="1"/>
  <c r="EF30" i="5"/>
  <c r="EZ31" i="5"/>
  <c r="IF31" i="5" s="1"/>
  <c r="IZ31" i="5" s="1"/>
  <c r="JS31" i="5" s="1"/>
  <c r="ED49" i="5"/>
  <c r="EX50" i="5"/>
  <c r="ID50" i="5" s="1"/>
  <c r="IX50" i="5" s="1"/>
  <c r="JQ50" i="5" s="1"/>
  <c r="ED75" i="5"/>
  <c r="EX76" i="5"/>
  <c r="ID76" i="5" s="1"/>
  <c r="IX76" i="5" s="1"/>
  <c r="JQ76" i="5" s="1"/>
  <c r="EF37" i="5"/>
  <c r="EZ38" i="5"/>
  <c r="IF38" i="5" s="1"/>
  <c r="IZ38" i="5" s="1"/>
  <c r="JS38" i="5" s="1"/>
  <c r="EF74" i="5"/>
  <c r="EZ75" i="5"/>
  <c r="IF75" i="5" s="1"/>
  <c r="IZ75" i="5" s="1"/>
  <c r="JS75" i="5" s="1"/>
  <c r="EF64" i="5"/>
  <c r="EZ65" i="5"/>
  <c r="IF65" i="5" s="1"/>
  <c r="IZ65" i="5" s="1"/>
  <c r="JS65" i="5" s="1"/>
  <c r="EF70" i="5"/>
  <c r="EZ71" i="5"/>
  <c r="IF71" i="5" s="1"/>
  <c r="IZ71" i="5" s="1"/>
  <c r="JS71" i="5" s="1"/>
  <c r="EF62" i="5"/>
  <c r="EZ63" i="5"/>
  <c r="IF63" i="5" s="1"/>
  <c r="IZ63" i="5" s="1"/>
  <c r="JS63" i="5" s="1"/>
  <c r="EF66" i="5"/>
  <c r="EZ67" i="5"/>
  <c r="IF67" i="5" s="1"/>
  <c r="IZ67" i="5" s="1"/>
  <c r="JS67" i="5" s="1"/>
  <c r="EF45" i="5"/>
  <c r="EZ46" i="5"/>
  <c r="IF46" i="5" s="1"/>
  <c r="IZ46" i="5" s="1"/>
  <c r="JS46" i="5" s="1"/>
  <c r="EF72" i="5"/>
  <c r="EZ73" i="5"/>
  <c r="IF73" i="5" s="1"/>
  <c r="IZ73" i="5" s="1"/>
  <c r="JS73" i="5" s="1"/>
  <c r="EF56" i="5"/>
  <c r="EZ57" i="5"/>
  <c r="IF57" i="5" s="1"/>
  <c r="IZ57" i="5" s="1"/>
  <c r="JS57" i="5" s="1"/>
  <c r="EF59" i="5"/>
  <c r="EZ60" i="5"/>
  <c r="IF60" i="5" s="1"/>
  <c r="IZ60" i="5" s="1"/>
  <c r="JS60" i="5" s="1"/>
  <c r="ED33" i="5"/>
  <c r="EX34" i="5"/>
  <c r="ID34" i="5" s="1"/>
  <c r="IX34" i="5" s="1"/>
  <c r="JQ34" i="5" s="1"/>
  <c r="EF40" i="5"/>
  <c r="EZ41" i="5"/>
  <c r="IF41" i="5" s="1"/>
  <c r="IZ41" i="5" s="1"/>
  <c r="JS41" i="5" s="1"/>
  <c r="EZ39" i="5"/>
  <c r="EF38" i="5"/>
  <c r="EF53" i="5"/>
  <c r="EZ54" i="5"/>
  <c r="IF54" i="5" s="1"/>
  <c r="IZ54" i="5" s="1"/>
  <c r="JS54" i="5" s="1"/>
  <c r="EX42" i="5"/>
  <c r="ID42" i="5" s="1"/>
  <c r="IX42" i="5" s="1"/>
  <c r="JQ42" i="5" s="1"/>
  <c r="ED41" i="5"/>
  <c r="ED57" i="5"/>
  <c r="EX58" i="5"/>
  <c r="ID58" i="5" s="1"/>
  <c r="IX58" i="5" s="1"/>
  <c r="JQ58" i="5" s="1"/>
  <c r="EF35" i="5"/>
  <c r="EZ36" i="5"/>
  <c r="IF36" i="5" s="1"/>
  <c r="IZ36" i="5" s="1"/>
  <c r="JS36" i="5" s="1"/>
  <c r="EF58" i="5"/>
  <c r="EZ59" i="5"/>
  <c r="IF59" i="5" s="1"/>
  <c r="IZ59" i="5" s="1"/>
  <c r="JS59" i="5" s="1"/>
  <c r="EF50" i="5"/>
  <c r="EZ51" i="5"/>
  <c r="IF51" i="5" s="1"/>
  <c r="IZ51" i="5" s="1"/>
  <c r="JS51" i="5" s="1"/>
  <c r="M114" i="7"/>
  <c r="N114" i="7"/>
  <c r="D115" i="7"/>
  <c r="C114" i="7"/>
  <c r="I114" i="7" s="1"/>
  <c r="E114" i="7"/>
  <c r="H114" i="7" s="1"/>
  <c r="B114" i="7"/>
  <c r="F114" i="7" s="1"/>
  <c r="G114" i="7"/>
  <c r="K115" i="7"/>
  <c r="L115" i="7" s="1"/>
  <c r="J116" i="7"/>
  <c r="IF37" i="5" l="1"/>
  <c r="IZ37" i="5" s="1"/>
  <c r="JS37" i="5" s="1"/>
  <c r="IF62" i="5"/>
  <c r="IZ62" i="5" s="1"/>
  <c r="JS62" i="5" s="1"/>
  <c r="IF39" i="5"/>
  <c r="IZ39" i="5" s="1"/>
  <c r="JS39" i="5" s="1"/>
  <c r="IF34" i="5"/>
  <c r="IZ34" i="5" s="1"/>
  <c r="JS34" i="5" s="1"/>
  <c r="IF30" i="5"/>
  <c r="IZ30" i="5" s="1"/>
  <c r="JS30" i="5" s="1"/>
  <c r="IF42" i="5"/>
  <c r="IZ42" i="5" s="1"/>
  <c r="JS42" i="5" s="1"/>
  <c r="IF44" i="5"/>
  <c r="IZ44" i="5" s="1"/>
  <c r="JS44" i="5" s="1"/>
  <c r="JB74" i="5"/>
  <c r="JU74" i="5" s="1"/>
  <c r="HM43" i="5"/>
  <c r="BF42" i="5"/>
  <c r="CU43" i="5"/>
  <c r="FV43" i="5"/>
  <c r="HM62" i="5"/>
  <c r="BF61" i="5"/>
  <c r="CU62" i="5"/>
  <c r="FV62" i="5"/>
  <c r="HM51" i="5"/>
  <c r="BF50" i="5"/>
  <c r="CU51" i="5"/>
  <c r="FV51" i="5"/>
  <c r="HM41" i="5"/>
  <c r="BF40" i="5"/>
  <c r="CU41" i="5"/>
  <c r="FV41" i="5"/>
  <c r="HM68" i="5"/>
  <c r="BF67" i="5"/>
  <c r="CU68" i="5"/>
  <c r="FV68" i="5"/>
  <c r="HM33" i="5"/>
  <c r="BF32" i="5"/>
  <c r="CU33" i="5"/>
  <c r="FV33" i="5"/>
  <c r="HM70" i="5"/>
  <c r="BF69" i="5"/>
  <c r="CU70" i="5"/>
  <c r="FV70" i="5"/>
  <c r="HM56" i="5"/>
  <c r="BF55" i="5"/>
  <c r="CU56" i="5"/>
  <c r="FV56" i="5"/>
  <c r="HM45" i="5"/>
  <c r="BF44" i="5"/>
  <c r="CU45" i="5"/>
  <c r="FV45" i="5"/>
  <c r="HM34" i="5"/>
  <c r="BF33" i="5"/>
  <c r="CU34" i="5"/>
  <c r="FV34" i="5"/>
  <c r="HM47" i="5"/>
  <c r="BF46" i="5"/>
  <c r="CU47" i="5"/>
  <c r="FV47" i="5"/>
  <c r="HM38" i="5"/>
  <c r="BF37" i="5"/>
  <c r="CU38" i="5"/>
  <c r="FV38" i="5"/>
  <c r="HM44" i="5"/>
  <c r="BF43" i="5"/>
  <c r="CU44" i="5"/>
  <c r="FV44" i="5"/>
  <c r="HN73" i="5"/>
  <c r="JC73" i="5" s="1"/>
  <c r="JV73" i="5" s="1"/>
  <c r="BG72" i="5"/>
  <c r="CV73" i="5"/>
  <c r="FW73" i="5"/>
  <c r="HM72" i="5"/>
  <c r="BF71" i="5"/>
  <c r="CU72" i="5"/>
  <c r="FV72" i="5"/>
  <c r="HM30" i="5"/>
  <c r="BF29" i="5"/>
  <c r="CU30" i="5"/>
  <c r="FV30" i="5"/>
  <c r="HM52" i="5"/>
  <c r="BF51" i="5"/>
  <c r="CU52" i="5"/>
  <c r="FV52" i="5"/>
  <c r="HM71" i="5"/>
  <c r="BF70" i="5"/>
  <c r="CU71" i="5"/>
  <c r="FV71" i="5"/>
  <c r="HM49" i="5"/>
  <c r="BF48" i="5"/>
  <c r="CU49" i="5"/>
  <c r="FV49" i="5"/>
  <c r="HM73" i="5"/>
  <c r="BF72" i="5"/>
  <c r="CU73" i="5"/>
  <c r="FV73" i="5"/>
  <c r="HM39" i="5"/>
  <c r="BF38" i="5"/>
  <c r="CU39" i="5"/>
  <c r="FV39" i="5"/>
  <c r="HM46" i="5"/>
  <c r="BF45" i="5"/>
  <c r="CU46" i="5"/>
  <c r="FV46" i="5"/>
  <c r="HM59" i="5"/>
  <c r="BF58" i="5"/>
  <c r="CU59" i="5"/>
  <c r="FV59" i="5"/>
  <c r="HM29" i="5"/>
  <c r="BF28" i="5"/>
  <c r="CU29" i="5"/>
  <c r="FV29" i="5"/>
  <c r="HM66" i="5"/>
  <c r="BF65" i="5"/>
  <c r="CU66" i="5"/>
  <c r="FV66" i="5"/>
  <c r="HO73" i="5"/>
  <c r="JW73" i="5" s="1"/>
  <c r="CW73" i="5"/>
  <c r="HM58" i="5"/>
  <c r="BF57" i="5"/>
  <c r="CU58" i="5"/>
  <c r="FV58" i="5"/>
  <c r="HM31" i="5"/>
  <c r="BF30" i="5"/>
  <c r="CU31" i="5"/>
  <c r="FV31" i="5"/>
  <c r="HM57" i="5"/>
  <c r="BF56" i="5"/>
  <c r="CU57" i="5"/>
  <c r="FV57" i="5"/>
  <c r="HM40" i="5"/>
  <c r="BF39" i="5"/>
  <c r="CU40" i="5"/>
  <c r="FV40" i="5"/>
  <c r="HM60" i="5"/>
  <c r="BF59" i="5"/>
  <c r="CU60" i="5"/>
  <c r="FV60" i="5"/>
  <c r="HM64" i="5"/>
  <c r="BF63" i="5"/>
  <c r="CU64" i="5"/>
  <c r="FV64" i="5"/>
  <c r="HM42" i="5"/>
  <c r="BF41" i="5"/>
  <c r="CU42" i="5"/>
  <c r="FV42" i="5"/>
  <c r="HM67" i="5"/>
  <c r="BF66" i="5"/>
  <c r="CU67" i="5"/>
  <c r="FV67" i="5"/>
  <c r="HM36" i="5"/>
  <c r="BF35" i="5"/>
  <c r="CU36" i="5"/>
  <c r="FV36" i="5"/>
  <c r="HM48" i="5"/>
  <c r="BF47" i="5"/>
  <c r="CU48" i="5"/>
  <c r="FV48" i="5"/>
  <c r="HM65" i="5"/>
  <c r="BF64" i="5"/>
  <c r="CU65" i="5"/>
  <c r="FV65" i="5"/>
  <c r="HM61" i="5"/>
  <c r="BF60" i="5"/>
  <c r="CU61" i="5"/>
  <c r="FV61" i="5"/>
  <c r="HM63" i="5"/>
  <c r="BF62" i="5"/>
  <c r="CU63" i="5"/>
  <c r="FV63" i="5"/>
  <c r="HM32" i="5"/>
  <c r="BF31" i="5"/>
  <c r="CU32" i="5"/>
  <c r="FV32" i="5"/>
  <c r="HM55" i="5"/>
  <c r="BF54" i="5"/>
  <c r="CU55" i="5"/>
  <c r="FV55" i="5"/>
  <c r="HM50" i="5"/>
  <c r="BF49" i="5"/>
  <c r="CU50" i="5"/>
  <c r="FV50" i="5"/>
  <c r="HM37" i="5"/>
  <c r="BF36" i="5"/>
  <c r="CU37" i="5"/>
  <c r="FV37" i="5"/>
  <c r="HM69" i="5"/>
  <c r="BF68" i="5"/>
  <c r="CU69" i="5"/>
  <c r="FV69" i="5"/>
  <c r="HM35" i="5"/>
  <c r="BF34" i="5"/>
  <c r="CU35" i="5"/>
  <c r="FV35" i="5"/>
  <c r="HM53" i="5"/>
  <c r="BF52" i="5"/>
  <c r="CU53" i="5"/>
  <c r="FV53" i="5"/>
  <c r="HM28" i="5"/>
  <c r="CU28" i="5"/>
  <c r="FV28" i="5"/>
  <c r="HM54" i="5"/>
  <c r="BF53" i="5"/>
  <c r="CU54" i="5"/>
  <c r="FV54" i="5"/>
  <c r="EY41" i="5"/>
  <c r="IE41" i="5" s="1"/>
  <c r="IY41" i="5" s="1"/>
  <c r="JR41" i="5" s="1"/>
  <c r="EE40" i="5"/>
  <c r="EG32" i="5"/>
  <c r="FA33" i="5"/>
  <c r="EY67" i="5"/>
  <c r="IE67" i="5" s="1"/>
  <c r="IY67" i="5" s="1"/>
  <c r="JR67" i="5" s="1"/>
  <c r="EE66" i="5"/>
  <c r="EG28" i="5"/>
  <c r="FB28" i="5" s="1"/>
  <c r="FA29" i="5"/>
  <c r="EG40" i="5"/>
  <c r="FA41" i="5"/>
  <c r="FA69" i="5"/>
  <c r="IG69" i="5" s="1"/>
  <c r="JA69" i="5" s="1"/>
  <c r="JT69" i="5" s="1"/>
  <c r="EG68" i="5"/>
  <c r="EG42" i="5"/>
  <c r="FA43" i="5"/>
  <c r="EG41" i="5"/>
  <c r="FA42" i="5"/>
  <c r="EG66" i="5"/>
  <c r="FA67" i="5"/>
  <c r="EG37" i="5"/>
  <c r="FA38" i="5"/>
  <c r="EG49" i="5"/>
  <c r="FA50" i="5"/>
  <c r="EG57" i="5"/>
  <c r="FA58" i="5"/>
  <c r="EG34" i="5"/>
  <c r="FA35" i="5"/>
  <c r="EE56" i="5"/>
  <c r="EY57" i="5"/>
  <c r="IE57" i="5" s="1"/>
  <c r="IY57" i="5" s="1"/>
  <c r="JR57" i="5" s="1"/>
  <c r="EG52" i="5"/>
  <c r="FA53" i="5"/>
  <c r="EG39" i="5"/>
  <c r="FA40" i="5"/>
  <c r="EE32" i="5"/>
  <c r="EY33" i="5"/>
  <c r="IE33" i="5" s="1"/>
  <c r="IY33" i="5" s="1"/>
  <c r="JR33" i="5" s="1"/>
  <c r="EG58" i="5"/>
  <c r="FA59" i="5"/>
  <c r="EG55" i="5"/>
  <c r="FA56" i="5"/>
  <c r="FA72" i="5"/>
  <c r="IG72" i="5" s="1"/>
  <c r="JA72" i="5" s="1"/>
  <c r="JT72" i="5" s="1"/>
  <c r="EG71" i="5"/>
  <c r="FA45" i="5"/>
  <c r="IG45" i="5" s="1"/>
  <c r="JA45" i="5" s="1"/>
  <c r="JT45" i="5" s="1"/>
  <c r="EG44" i="5"/>
  <c r="EG65" i="5"/>
  <c r="FA66" i="5"/>
  <c r="EG61" i="5"/>
  <c r="FA62" i="5"/>
  <c r="EG69" i="5"/>
  <c r="FA70" i="5"/>
  <c r="EG63" i="5"/>
  <c r="FA64" i="5"/>
  <c r="EG73" i="5"/>
  <c r="FA74" i="5"/>
  <c r="IG74" i="5" s="1"/>
  <c r="JA74" i="5" s="1"/>
  <c r="JT74" i="5" s="1"/>
  <c r="FA37" i="5"/>
  <c r="IG37" i="5" s="1"/>
  <c r="JA37" i="5" s="1"/>
  <c r="JT37" i="5" s="1"/>
  <c r="EG36" i="5"/>
  <c r="EE74" i="5"/>
  <c r="EY75" i="5"/>
  <c r="IE75" i="5" s="1"/>
  <c r="IY75" i="5" s="1"/>
  <c r="JR75" i="5" s="1"/>
  <c r="EY49" i="5"/>
  <c r="IE49" i="5" s="1"/>
  <c r="IY49" i="5" s="1"/>
  <c r="JR49" i="5" s="1"/>
  <c r="EE48" i="5"/>
  <c r="EG29" i="5"/>
  <c r="FA30" i="5"/>
  <c r="EG59" i="5"/>
  <c r="FA60" i="5"/>
  <c r="EE64" i="5"/>
  <c r="EY65" i="5"/>
  <c r="IE65" i="5" s="1"/>
  <c r="IY65" i="5" s="1"/>
  <c r="JR65" i="5" s="1"/>
  <c r="EF51" i="5"/>
  <c r="EZ52" i="5"/>
  <c r="IF52" i="5" s="1"/>
  <c r="IZ52" i="5" s="1"/>
  <c r="JS52" i="5" s="1"/>
  <c r="FA44" i="5"/>
  <c r="IG44" i="5" s="1"/>
  <c r="JA44" i="5" s="1"/>
  <c r="JT44" i="5" s="1"/>
  <c r="EG43" i="5"/>
  <c r="FA34" i="5"/>
  <c r="IG34" i="5" s="1"/>
  <c r="JA34" i="5" s="1"/>
  <c r="JT34" i="5" s="1"/>
  <c r="EG33" i="5"/>
  <c r="EF28" i="5"/>
  <c r="FA28" i="5" s="1"/>
  <c r="EZ29" i="5"/>
  <c r="IF29" i="5" s="1"/>
  <c r="IZ29" i="5" s="1"/>
  <c r="JS29" i="5" s="1"/>
  <c r="EG31" i="5"/>
  <c r="FA32" i="5"/>
  <c r="EG47" i="5"/>
  <c r="FA48" i="5"/>
  <c r="FA57" i="5"/>
  <c r="IG57" i="5" s="1"/>
  <c r="JA57" i="5" s="1"/>
  <c r="JT57" i="5" s="1"/>
  <c r="EG56" i="5"/>
  <c r="EY51" i="5"/>
  <c r="IE51" i="5" s="1"/>
  <c r="IY51" i="5" s="1"/>
  <c r="JR51" i="5" s="1"/>
  <c r="EE50" i="5"/>
  <c r="EG67" i="5"/>
  <c r="FA68" i="5"/>
  <c r="EG51" i="5"/>
  <c r="FA52" i="5"/>
  <c r="FA36" i="5"/>
  <c r="IG36" i="5" s="1"/>
  <c r="JA36" i="5" s="1"/>
  <c r="JT36" i="5" s="1"/>
  <c r="EG35" i="5"/>
  <c r="FA61" i="5"/>
  <c r="IG61" i="5" s="1"/>
  <c r="JA61" i="5" s="1"/>
  <c r="JT61" i="5" s="1"/>
  <c r="EG60" i="5"/>
  <c r="EY73" i="5"/>
  <c r="IE73" i="5" s="1"/>
  <c r="IY73" i="5" s="1"/>
  <c r="JR73" i="5" s="1"/>
  <c r="EE72" i="5"/>
  <c r="EG53" i="5"/>
  <c r="FA54" i="5"/>
  <c r="IG54" i="5" s="1"/>
  <c r="JA54" i="5" s="1"/>
  <c r="JT54" i="5" s="1"/>
  <c r="EG45" i="5"/>
  <c r="FA46" i="5"/>
  <c r="M115" i="7"/>
  <c r="N115" i="7"/>
  <c r="D116" i="7"/>
  <c r="B115" i="7"/>
  <c r="F115" i="7" s="1"/>
  <c r="C115" i="7"/>
  <c r="I115" i="7" s="1"/>
  <c r="E115" i="7"/>
  <c r="H115" i="7" s="1"/>
  <c r="G115" i="7"/>
  <c r="K116" i="7"/>
  <c r="L116" i="7" s="1"/>
  <c r="J117" i="7"/>
  <c r="IG28" i="5" l="1"/>
  <c r="JA28" i="5" s="1"/>
  <c r="JT28" i="5" s="1"/>
  <c r="IG46" i="5"/>
  <c r="JA46" i="5" s="1"/>
  <c r="JT46" i="5" s="1"/>
  <c r="IG52" i="5"/>
  <c r="JA52" i="5" s="1"/>
  <c r="JT52" i="5" s="1"/>
  <c r="IG68" i="5"/>
  <c r="JA68" i="5" s="1"/>
  <c r="JT68" i="5" s="1"/>
  <c r="IG30" i="5"/>
  <c r="JA30" i="5" s="1"/>
  <c r="JT30" i="5" s="1"/>
  <c r="IG70" i="5"/>
  <c r="JA70" i="5" s="1"/>
  <c r="JT70" i="5" s="1"/>
  <c r="IG62" i="5"/>
  <c r="JA62" i="5" s="1"/>
  <c r="JT62" i="5" s="1"/>
  <c r="IG66" i="5"/>
  <c r="JA66" i="5" s="1"/>
  <c r="JT66" i="5" s="1"/>
  <c r="IG56" i="5"/>
  <c r="JA56" i="5" s="1"/>
  <c r="JT56" i="5" s="1"/>
  <c r="IG59" i="5"/>
  <c r="JA59" i="5" s="1"/>
  <c r="JT59" i="5" s="1"/>
  <c r="IG38" i="5"/>
  <c r="JA38" i="5" s="1"/>
  <c r="JT38" i="5" s="1"/>
  <c r="IG43" i="5"/>
  <c r="JA43" i="5" s="1"/>
  <c r="JT43" i="5" s="1"/>
  <c r="IG41" i="5"/>
  <c r="JA41" i="5" s="1"/>
  <c r="JT41" i="5" s="1"/>
  <c r="IG29" i="5"/>
  <c r="JA29" i="5" s="1"/>
  <c r="JT29" i="5" s="1"/>
  <c r="IG33" i="5"/>
  <c r="JA33" i="5" s="1"/>
  <c r="JT33" i="5" s="1"/>
  <c r="IG48" i="5"/>
  <c r="JA48" i="5" s="1"/>
  <c r="JT48" i="5" s="1"/>
  <c r="IG32" i="5"/>
  <c r="JA32" i="5" s="1"/>
  <c r="JT32" i="5" s="1"/>
  <c r="IG60" i="5"/>
  <c r="JA60" i="5" s="1"/>
  <c r="JT60" i="5" s="1"/>
  <c r="IG64" i="5"/>
  <c r="JA64" i="5" s="1"/>
  <c r="JT64" i="5" s="1"/>
  <c r="IG40" i="5"/>
  <c r="JA40" i="5" s="1"/>
  <c r="JT40" i="5" s="1"/>
  <c r="IG53" i="5"/>
  <c r="JA53" i="5" s="1"/>
  <c r="JT53" i="5" s="1"/>
  <c r="IG35" i="5"/>
  <c r="JA35" i="5" s="1"/>
  <c r="JT35" i="5" s="1"/>
  <c r="IG58" i="5"/>
  <c r="JA58" i="5" s="1"/>
  <c r="JT58" i="5" s="1"/>
  <c r="IG50" i="5"/>
  <c r="JA50" i="5" s="1"/>
  <c r="JT50" i="5" s="1"/>
  <c r="IG67" i="5"/>
  <c r="JA67" i="5" s="1"/>
  <c r="JT67" i="5" s="1"/>
  <c r="IG42" i="5"/>
  <c r="JA42" i="5" s="1"/>
  <c r="JT42" i="5" s="1"/>
  <c r="HN53" i="5"/>
  <c r="BG52" i="5"/>
  <c r="CV53" i="5"/>
  <c r="FW53" i="5"/>
  <c r="HN65" i="5"/>
  <c r="BG64" i="5"/>
  <c r="CV65" i="5"/>
  <c r="FW65" i="5"/>
  <c r="HN28" i="5"/>
  <c r="CV28" i="5"/>
  <c r="FW28" i="5"/>
  <c r="IH28" i="5" s="1"/>
  <c r="JB28" i="5" s="1"/>
  <c r="JU28" i="5" s="1"/>
  <c r="HN58" i="5"/>
  <c r="BG57" i="5"/>
  <c r="CV58" i="5"/>
  <c r="FW58" i="5"/>
  <c r="HN45" i="5"/>
  <c r="BG44" i="5"/>
  <c r="CV45" i="5"/>
  <c r="FW45" i="5"/>
  <c r="HN38" i="5"/>
  <c r="BG37" i="5"/>
  <c r="CV38" i="5"/>
  <c r="FW38" i="5"/>
  <c r="HN72" i="5"/>
  <c r="BG71" i="5"/>
  <c r="CV72" i="5"/>
  <c r="FW72" i="5"/>
  <c r="HN48" i="5"/>
  <c r="BG47" i="5"/>
  <c r="CV48" i="5"/>
  <c r="FW48" i="5"/>
  <c r="HN70" i="5"/>
  <c r="BG69" i="5"/>
  <c r="CV70" i="5"/>
  <c r="FW70" i="5"/>
  <c r="HN51" i="5"/>
  <c r="BG50" i="5"/>
  <c r="CV51" i="5"/>
  <c r="FW51" i="5"/>
  <c r="HN29" i="5"/>
  <c r="BG28" i="5"/>
  <c r="CV29" i="5"/>
  <c r="FW29" i="5"/>
  <c r="HN71" i="5"/>
  <c r="BG70" i="5"/>
  <c r="CV71" i="5"/>
  <c r="FW71" i="5"/>
  <c r="HO72" i="5"/>
  <c r="JW72" i="5" s="1"/>
  <c r="CW72" i="5"/>
  <c r="HN43" i="5"/>
  <c r="BG42" i="5"/>
  <c r="CV43" i="5"/>
  <c r="FW43" i="5"/>
  <c r="HN37" i="5"/>
  <c r="BG36" i="5"/>
  <c r="CV37" i="5"/>
  <c r="FW37" i="5"/>
  <c r="HN46" i="5"/>
  <c r="BG45" i="5"/>
  <c r="CV46" i="5"/>
  <c r="FW46" i="5"/>
  <c r="HN33" i="5"/>
  <c r="BG32" i="5"/>
  <c r="CV33" i="5"/>
  <c r="FW33" i="5"/>
  <c r="HN44" i="5"/>
  <c r="BG43" i="5"/>
  <c r="CV44" i="5"/>
  <c r="FW44" i="5"/>
  <c r="HN55" i="5"/>
  <c r="BG54" i="5"/>
  <c r="CV55" i="5"/>
  <c r="FW55" i="5"/>
  <c r="HN69" i="5"/>
  <c r="BG68" i="5"/>
  <c r="CV69" i="5"/>
  <c r="FW69" i="5"/>
  <c r="HN32" i="5"/>
  <c r="BG31" i="5"/>
  <c r="CV32" i="5"/>
  <c r="FW32" i="5"/>
  <c r="HN67" i="5"/>
  <c r="BG66" i="5"/>
  <c r="CV67" i="5"/>
  <c r="FW67" i="5"/>
  <c r="HN40" i="5"/>
  <c r="BG39" i="5"/>
  <c r="CV40" i="5"/>
  <c r="FW40" i="5"/>
  <c r="HN50" i="5"/>
  <c r="BG49" i="5"/>
  <c r="CV50" i="5"/>
  <c r="FW50" i="5"/>
  <c r="HN61" i="5"/>
  <c r="BG60" i="5"/>
  <c r="CV61" i="5"/>
  <c r="FW61" i="5"/>
  <c r="HN42" i="5"/>
  <c r="BG41" i="5"/>
  <c r="CV42" i="5"/>
  <c r="FW42" i="5"/>
  <c r="HN52" i="5"/>
  <c r="BG51" i="5"/>
  <c r="CV52" i="5"/>
  <c r="FW52" i="5"/>
  <c r="HN34" i="5"/>
  <c r="BG33" i="5"/>
  <c r="CV34" i="5"/>
  <c r="FW34" i="5"/>
  <c r="HN68" i="5"/>
  <c r="BG67" i="5"/>
  <c r="CV68" i="5"/>
  <c r="FW68" i="5"/>
  <c r="HN36" i="5"/>
  <c r="BG35" i="5"/>
  <c r="CV36" i="5"/>
  <c r="FW36" i="5"/>
  <c r="HN49" i="5"/>
  <c r="BG48" i="5"/>
  <c r="CV49" i="5"/>
  <c r="FW49" i="5"/>
  <c r="HN54" i="5"/>
  <c r="BG53" i="5"/>
  <c r="CV54" i="5"/>
  <c r="FW54" i="5"/>
  <c r="HN31" i="5"/>
  <c r="BG30" i="5"/>
  <c r="CV31" i="5"/>
  <c r="FW31" i="5"/>
  <c r="HN62" i="5"/>
  <c r="BG61" i="5"/>
  <c r="CV62" i="5"/>
  <c r="FW62" i="5"/>
  <c r="HN60" i="5"/>
  <c r="BG59" i="5"/>
  <c r="CV60" i="5"/>
  <c r="FW60" i="5"/>
  <c r="HN64" i="5"/>
  <c r="BG63" i="5"/>
  <c r="CV64" i="5"/>
  <c r="FW64" i="5"/>
  <c r="HN47" i="5"/>
  <c r="BG46" i="5"/>
  <c r="CV47" i="5"/>
  <c r="FW47" i="5"/>
  <c r="HN35" i="5"/>
  <c r="BG34" i="5"/>
  <c r="CV35" i="5"/>
  <c r="FW35" i="5"/>
  <c r="HN66" i="5"/>
  <c r="BG65" i="5"/>
  <c r="CV66" i="5"/>
  <c r="FW66" i="5"/>
  <c r="HN41" i="5"/>
  <c r="BG40" i="5"/>
  <c r="CV41" i="5"/>
  <c r="FW41" i="5"/>
  <c r="HN63" i="5"/>
  <c r="BG62" i="5"/>
  <c r="CV63" i="5"/>
  <c r="FW63" i="5"/>
  <c r="HN59" i="5"/>
  <c r="BG58" i="5"/>
  <c r="CV59" i="5"/>
  <c r="FW59" i="5"/>
  <c r="HN39" i="5"/>
  <c r="BG38" i="5"/>
  <c r="CV39" i="5"/>
  <c r="FW39" i="5"/>
  <c r="HN56" i="5"/>
  <c r="BG55" i="5"/>
  <c r="CV56" i="5"/>
  <c r="FW56" i="5"/>
  <c r="HN30" i="5"/>
  <c r="BG29" i="5"/>
  <c r="CV30" i="5"/>
  <c r="FW30" i="5"/>
  <c r="HN57" i="5"/>
  <c r="BG56" i="5"/>
  <c r="CV57" i="5"/>
  <c r="FW57" i="5"/>
  <c r="EF71" i="5"/>
  <c r="EZ72" i="5"/>
  <c r="IF72" i="5" s="1"/>
  <c r="IZ72" i="5" s="1"/>
  <c r="JS72" i="5" s="1"/>
  <c r="EH59" i="5"/>
  <c r="FB60" i="5"/>
  <c r="IH60" i="5" s="1"/>
  <c r="JB60" i="5" s="1"/>
  <c r="JU60" i="5" s="1"/>
  <c r="EH34" i="5"/>
  <c r="FB35" i="5"/>
  <c r="IH35" i="5" s="1"/>
  <c r="JB35" i="5" s="1"/>
  <c r="JU35" i="5" s="1"/>
  <c r="EF49" i="5"/>
  <c r="EZ50" i="5"/>
  <c r="IF50" i="5" s="1"/>
  <c r="IZ50" i="5" s="1"/>
  <c r="JS50" i="5" s="1"/>
  <c r="FB56" i="5"/>
  <c r="EH55" i="5"/>
  <c r="EF47" i="5"/>
  <c r="EZ48" i="5"/>
  <c r="IF48" i="5" s="1"/>
  <c r="IZ48" i="5" s="1"/>
  <c r="JS48" i="5" s="1"/>
  <c r="EH35" i="5"/>
  <c r="FB36" i="5"/>
  <c r="IH36" i="5" s="1"/>
  <c r="JB36" i="5" s="1"/>
  <c r="JU36" i="5" s="1"/>
  <c r="EH43" i="5"/>
  <c r="FB44" i="5"/>
  <c r="IH44" i="5" s="1"/>
  <c r="JB44" i="5" s="1"/>
  <c r="JU44" i="5" s="1"/>
  <c r="FB71" i="5"/>
  <c r="EH70" i="5"/>
  <c r="EH67" i="5"/>
  <c r="FB68" i="5"/>
  <c r="IH68" i="5" s="1"/>
  <c r="JB68" i="5" s="1"/>
  <c r="JU68" i="5" s="1"/>
  <c r="EF65" i="5"/>
  <c r="EZ66" i="5"/>
  <c r="IF66" i="5" s="1"/>
  <c r="IZ66" i="5" s="1"/>
  <c r="JS66" i="5" s="1"/>
  <c r="EF39" i="5"/>
  <c r="EZ40" i="5"/>
  <c r="IF40" i="5" s="1"/>
  <c r="IZ40" i="5" s="1"/>
  <c r="JS40" i="5" s="1"/>
  <c r="FB33" i="5"/>
  <c r="EH32" i="5"/>
  <c r="FB43" i="5"/>
  <c r="EH42" i="5"/>
  <c r="EH44" i="5"/>
  <c r="FB45" i="5"/>
  <c r="IH45" i="5" s="1"/>
  <c r="JB45" i="5" s="1"/>
  <c r="JU45" i="5" s="1"/>
  <c r="EH52" i="5"/>
  <c r="FB53" i="5"/>
  <c r="EH50" i="5"/>
  <c r="FB51" i="5"/>
  <c r="IH51" i="5" s="1"/>
  <c r="JB51" i="5" s="1"/>
  <c r="JU51" i="5" s="1"/>
  <c r="EH66" i="5"/>
  <c r="FB67" i="5"/>
  <c r="IH67" i="5" s="1"/>
  <c r="JB67" i="5" s="1"/>
  <c r="JU67" i="5" s="1"/>
  <c r="FB47" i="5"/>
  <c r="EH46" i="5"/>
  <c r="EH30" i="5"/>
  <c r="FB31" i="5"/>
  <c r="IH31" i="5" s="1"/>
  <c r="JB31" i="5" s="1"/>
  <c r="JU31" i="5" s="1"/>
  <c r="EG50" i="5"/>
  <c r="FA51" i="5"/>
  <c r="IG51" i="5" s="1"/>
  <c r="JA51" i="5" s="1"/>
  <c r="JT51" i="5" s="1"/>
  <c r="EF63" i="5"/>
  <c r="EZ64" i="5"/>
  <c r="IF64" i="5" s="1"/>
  <c r="IZ64" i="5" s="1"/>
  <c r="JS64" i="5" s="1"/>
  <c r="FB59" i="5"/>
  <c r="EH58" i="5"/>
  <c r="EH28" i="5"/>
  <c r="FC28" i="5" s="1"/>
  <c r="II28" i="5" s="1"/>
  <c r="FB29" i="5"/>
  <c r="IH29" i="5" s="1"/>
  <c r="JB29" i="5" s="1"/>
  <c r="JU29" i="5" s="1"/>
  <c r="EZ74" i="5"/>
  <c r="IF74" i="5" s="1"/>
  <c r="IZ74" i="5" s="1"/>
  <c r="JS74" i="5" s="1"/>
  <c r="EF73" i="5"/>
  <c r="EH72" i="5"/>
  <c r="FB73" i="5"/>
  <c r="IH73" i="5" s="1"/>
  <c r="JB73" i="5" s="1"/>
  <c r="JU73" i="5" s="1"/>
  <c r="FB63" i="5"/>
  <c r="EH62" i="5"/>
  <c r="EH68" i="5"/>
  <c r="FB69" i="5"/>
  <c r="IH69" i="5" s="1"/>
  <c r="JB69" i="5" s="1"/>
  <c r="JU69" i="5" s="1"/>
  <c r="EH60" i="5"/>
  <c r="FB61" i="5"/>
  <c r="IH61" i="5" s="1"/>
  <c r="JB61" i="5" s="1"/>
  <c r="JU61" i="5" s="1"/>
  <c r="FB65" i="5"/>
  <c r="IH65" i="5" s="1"/>
  <c r="JB65" i="5" s="1"/>
  <c r="JU65" i="5" s="1"/>
  <c r="EH64" i="5"/>
  <c r="EH54" i="5"/>
  <c r="FB55" i="5"/>
  <c r="IH55" i="5" s="1"/>
  <c r="JB55" i="5" s="1"/>
  <c r="JU55" i="5" s="1"/>
  <c r="EH57" i="5"/>
  <c r="FB58" i="5"/>
  <c r="IH58" i="5" s="1"/>
  <c r="JB58" i="5" s="1"/>
  <c r="JU58" i="5" s="1"/>
  <c r="EF31" i="5"/>
  <c r="EZ32" i="5"/>
  <c r="IF32" i="5" s="1"/>
  <c r="IZ32" i="5" s="1"/>
  <c r="JS32" i="5" s="1"/>
  <c r="EH38" i="5"/>
  <c r="FB39" i="5"/>
  <c r="IH39" i="5" s="1"/>
  <c r="JB39" i="5" s="1"/>
  <c r="JU39" i="5" s="1"/>
  <c r="FB52" i="5"/>
  <c r="EH51" i="5"/>
  <c r="EF55" i="5"/>
  <c r="EZ56" i="5"/>
  <c r="IF56" i="5" s="1"/>
  <c r="IZ56" i="5" s="1"/>
  <c r="JS56" i="5" s="1"/>
  <c r="EH33" i="5"/>
  <c r="FB34" i="5"/>
  <c r="IH34" i="5" s="1"/>
  <c r="JB34" i="5" s="1"/>
  <c r="JU34" i="5" s="1"/>
  <c r="FB57" i="5"/>
  <c r="EH56" i="5"/>
  <c r="EH48" i="5"/>
  <c r="FB49" i="5"/>
  <c r="IH49" i="5" s="1"/>
  <c r="JB49" i="5" s="1"/>
  <c r="JU49" i="5" s="1"/>
  <c r="FB37" i="5"/>
  <c r="EH36" i="5"/>
  <c r="EH65" i="5"/>
  <c r="FB66" i="5"/>
  <c r="IH66" i="5" s="1"/>
  <c r="JB66" i="5" s="1"/>
  <c r="JU66" i="5" s="1"/>
  <c r="FB41" i="5"/>
  <c r="EH40" i="5"/>
  <c r="FB42" i="5"/>
  <c r="EH41" i="5"/>
  <c r="FB40" i="5"/>
  <c r="EH39" i="5"/>
  <c r="EH31" i="5"/>
  <c r="FB32" i="5"/>
  <c r="IH32" i="5" s="1"/>
  <c r="JB32" i="5" s="1"/>
  <c r="JU32" i="5" s="1"/>
  <c r="N116" i="7"/>
  <c r="M116" i="7"/>
  <c r="D117" i="7"/>
  <c r="G116" i="7"/>
  <c r="B116" i="7"/>
  <c r="F116" i="7" s="1"/>
  <c r="C116" i="7"/>
  <c r="I116" i="7" s="1"/>
  <c r="E116" i="7"/>
  <c r="H116" i="7" s="1"/>
  <c r="K117" i="7"/>
  <c r="L117" i="7" s="1"/>
  <c r="J118" i="7"/>
  <c r="IH53" i="5" l="1"/>
  <c r="JB53" i="5" s="1"/>
  <c r="JU53" i="5" s="1"/>
  <c r="JC28" i="5"/>
  <c r="JV28" i="5" s="1"/>
  <c r="IH40" i="5"/>
  <c r="JB40" i="5" s="1"/>
  <c r="JU40" i="5" s="1"/>
  <c r="IH42" i="5"/>
  <c r="JB42" i="5" s="1"/>
  <c r="JU42" i="5" s="1"/>
  <c r="IH41" i="5"/>
  <c r="JB41" i="5" s="1"/>
  <c r="JU41" i="5" s="1"/>
  <c r="IH37" i="5"/>
  <c r="JB37" i="5" s="1"/>
  <c r="JU37" i="5" s="1"/>
  <c r="IH57" i="5"/>
  <c r="JB57" i="5" s="1"/>
  <c r="JU57" i="5" s="1"/>
  <c r="IH52" i="5"/>
  <c r="JB52" i="5" s="1"/>
  <c r="JU52" i="5" s="1"/>
  <c r="IH63" i="5"/>
  <c r="JB63" i="5" s="1"/>
  <c r="JU63" i="5" s="1"/>
  <c r="IH59" i="5"/>
  <c r="JB59" i="5" s="1"/>
  <c r="JU59" i="5" s="1"/>
  <c r="IH47" i="5"/>
  <c r="JB47" i="5" s="1"/>
  <c r="JU47" i="5" s="1"/>
  <c r="IH43" i="5"/>
  <c r="JB43" i="5" s="1"/>
  <c r="JU43" i="5" s="1"/>
  <c r="IH33" i="5"/>
  <c r="JB33" i="5" s="1"/>
  <c r="JU33" i="5" s="1"/>
  <c r="IH71" i="5"/>
  <c r="JB71" i="5" s="1"/>
  <c r="JU71" i="5" s="1"/>
  <c r="IH56" i="5"/>
  <c r="JB56" i="5" s="1"/>
  <c r="JU56" i="5" s="1"/>
  <c r="HO56" i="5"/>
  <c r="JW56" i="5" s="1"/>
  <c r="CW56" i="5"/>
  <c r="HO29" i="5"/>
  <c r="JW29" i="5" s="1"/>
  <c r="CW29" i="5"/>
  <c r="HO55" i="5"/>
  <c r="JW55" i="5" s="1"/>
  <c r="CW55" i="5"/>
  <c r="HO38" i="5"/>
  <c r="JW38" i="5" s="1"/>
  <c r="CW38" i="5"/>
  <c r="HO58" i="5"/>
  <c r="JW58" i="5" s="1"/>
  <c r="CW58" i="5"/>
  <c r="HO62" i="5"/>
  <c r="JW62" i="5" s="1"/>
  <c r="CW62" i="5"/>
  <c r="HO40" i="5"/>
  <c r="JW40" i="5" s="1"/>
  <c r="CW40" i="5"/>
  <c r="HO65" i="5"/>
  <c r="JW65" i="5" s="1"/>
  <c r="CW65" i="5"/>
  <c r="HO34" i="5"/>
  <c r="JW34" i="5" s="1"/>
  <c r="CW34" i="5"/>
  <c r="HO46" i="5"/>
  <c r="JW46" i="5" s="1"/>
  <c r="CW46" i="5"/>
  <c r="HO63" i="5"/>
  <c r="JW63" i="5" s="1"/>
  <c r="CW63" i="5"/>
  <c r="HO59" i="5"/>
  <c r="JW59" i="5" s="1"/>
  <c r="CW59" i="5"/>
  <c r="HO61" i="5"/>
  <c r="JW61" i="5" s="1"/>
  <c r="CW61" i="5"/>
  <c r="HO30" i="5"/>
  <c r="JW30" i="5" s="1"/>
  <c r="CW30" i="5"/>
  <c r="HO53" i="5"/>
  <c r="JW53" i="5" s="1"/>
  <c r="CW53" i="5"/>
  <c r="HO48" i="5"/>
  <c r="JW48" i="5" s="1"/>
  <c r="CW48" i="5"/>
  <c r="HO35" i="5"/>
  <c r="JW35" i="5" s="1"/>
  <c r="CW35" i="5"/>
  <c r="HO67" i="5"/>
  <c r="JW67" i="5" s="1"/>
  <c r="CW67" i="5"/>
  <c r="HO33" i="5"/>
  <c r="JW33" i="5" s="1"/>
  <c r="CW33" i="5"/>
  <c r="HO51" i="5"/>
  <c r="JW51" i="5" s="1"/>
  <c r="CW51" i="5"/>
  <c r="HO41" i="5"/>
  <c r="JW41" i="5" s="1"/>
  <c r="CW41" i="5"/>
  <c r="HO60" i="5"/>
  <c r="JW60" i="5" s="1"/>
  <c r="CW60" i="5"/>
  <c r="HO49" i="5"/>
  <c r="JW49" i="5" s="1"/>
  <c r="CW49" i="5"/>
  <c r="HO39" i="5"/>
  <c r="JW39" i="5" s="1"/>
  <c r="CW39" i="5"/>
  <c r="HO66" i="5"/>
  <c r="JW66" i="5" s="1"/>
  <c r="CW66" i="5"/>
  <c r="HO31" i="5"/>
  <c r="JW31" i="5" s="1"/>
  <c r="CW31" i="5"/>
  <c r="HO68" i="5"/>
  <c r="JW68" i="5" s="1"/>
  <c r="CW68" i="5"/>
  <c r="HO54" i="5"/>
  <c r="JW54" i="5" s="1"/>
  <c r="CW54" i="5"/>
  <c r="HO43" i="5"/>
  <c r="JW43" i="5" s="1"/>
  <c r="CW43" i="5"/>
  <c r="HO32" i="5"/>
  <c r="JW32" i="5" s="1"/>
  <c r="CW32" i="5"/>
  <c r="HO45" i="5"/>
  <c r="JW45" i="5" s="1"/>
  <c r="CW45" i="5"/>
  <c r="HO36" i="5"/>
  <c r="JW36" i="5" s="1"/>
  <c r="CW36" i="5"/>
  <c r="HO42" i="5"/>
  <c r="JW42" i="5" s="1"/>
  <c r="CW42" i="5"/>
  <c r="HO70" i="5"/>
  <c r="JW70" i="5" s="1"/>
  <c r="CW70" i="5"/>
  <c r="HO28" i="5"/>
  <c r="JW28" i="5" s="1"/>
  <c r="CW28" i="5"/>
  <c r="HO50" i="5"/>
  <c r="JW50" i="5" s="1"/>
  <c r="CW50" i="5"/>
  <c r="HO69" i="5"/>
  <c r="JW69" i="5" s="1"/>
  <c r="CW69" i="5"/>
  <c r="HO47" i="5"/>
  <c r="JW47" i="5" s="1"/>
  <c r="CW47" i="5"/>
  <c r="HO71" i="5"/>
  <c r="JW71" i="5" s="1"/>
  <c r="CW71" i="5"/>
  <c r="HO37" i="5"/>
  <c r="JW37" i="5" s="1"/>
  <c r="CW37" i="5"/>
  <c r="HO44" i="5"/>
  <c r="JW44" i="5" s="1"/>
  <c r="CW44" i="5"/>
  <c r="HO57" i="5"/>
  <c r="JW57" i="5" s="1"/>
  <c r="CW57" i="5"/>
  <c r="HO64" i="5"/>
  <c r="JW64" i="5" s="1"/>
  <c r="CW64" i="5"/>
  <c r="HO52" i="5"/>
  <c r="JW52" i="5" s="1"/>
  <c r="CW52" i="5"/>
  <c r="FC39" i="5"/>
  <c r="II39" i="5" s="1"/>
  <c r="JC39" i="5" s="1"/>
  <c r="JV39" i="5" s="1"/>
  <c r="EI38" i="5"/>
  <c r="FD38" i="5" s="1"/>
  <c r="FC41" i="5"/>
  <c r="II41" i="5" s="1"/>
  <c r="JC41" i="5" s="1"/>
  <c r="JV41" i="5" s="1"/>
  <c r="EI40" i="5"/>
  <c r="FD40" i="5" s="1"/>
  <c r="EI39" i="5"/>
  <c r="FD39" i="5" s="1"/>
  <c r="FC40" i="5"/>
  <c r="II40" i="5" s="1"/>
  <c r="JC40" i="5" s="1"/>
  <c r="JV40" i="5" s="1"/>
  <c r="EI55" i="5"/>
  <c r="FD55" i="5" s="1"/>
  <c r="FC56" i="5"/>
  <c r="II56" i="5" s="1"/>
  <c r="JC56" i="5" s="1"/>
  <c r="JV56" i="5" s="1"/>
  <c r="EI50" i="5"/>
  <c r="FD50" i="5" s="1"/>
  <c r="FC51" i="5"/>
  <c r="II51" i="5" s="1"/>
  <c r="JC51" i="5" s="1"/>
  <c r="JV51" i="5" s="1"/>
  <c r="EI63" i="5"/>
  <c r="FD63" i="5" s="1"/>
  <c r="FC64" i="5"/>
  <c r="II64" i="5" s="1"/>
  <c r="JC64" i="5" s="1"/>
  <c r="JV64" i="5" s="1"/>
  <c r="EI61" i="5"/>
  <c r="FD61" i="5" s="1"/>
  <c r="FC62" i="5"/>
  <c r="II62" i="5" s="1"/>
  <c r="JC62" i="5" s="1"/>
  <c r="JV62" i="5" s="1"/>
  <c r="FA73" i="5"/>
  <c r="IG73" i="5" s="1"/>
  <c r="JA73" i="5" s="1"/>
  <c r="JT73" i="5" s="1"/>
  <c r="EG72" i="5"/>
  <c r="EI57" i="5"/>
  <c r="FD57" i="5" s="1"/>
  <c r="FC58" i="5"/>
  <c r="II58" i="5" s="1"/>
  <c r="JC58" i="5" s="1"/>
  <c r="JV58" i="5" s="1"/>
  <c r="EI45" i="5"/>
  <c r="FD45" i="5" s="1"/>
  <c r="FC46" i="5"/>
  <c r="II46" i="5" s="1"/>
  <c r="JC46" i="5" s="1"/>
  <c r="JV46" i="5" s="1"/>
  <c r="EI41" i="5"/>
  <c r="FD41" i="5" s="1"/>
  <c r="FC42" i="5"/>
  <c r="II42" i="5" s="1"/>
  <c r="JC42" i="5" s="1"/>
  <c r="JV42" i="5" s="1"/>
  <c r="EI31" i="5"/>
  <c r="FD31" i="5" s="1"/>
  <c r="FC32" i="5"/>
  <c r="II32" i="5" s="1"/>
  <c r="JC32" i="5" s="1"/>
  <c r="JV32" i="5" s="1"/>
  <c r="FC70" i="5"/>
  <c r="II70" i="5" s="1"/>
  <c r="JC70" i="5" s="1"/>
  <c r="JV70" i="5" s="1"/>
  <c r="EI69" i="5"/>
  <c r="FD69" i="5" s="1"/>
  <c r="EI54" i="5"/>
  <c r="FD54" i="5" s="1"/>
  <c r="FC55" i="5"/>
  <c r="II55" i="5" s="1"/>
  <c r="JC55" i="5" s="1"/>
  <c r="JV55" i="5" s="1"/>
  <c r="FC36" i="5"/>
  <c r="II36" i="5" s="1"/>
  <c r="JC36" i="5" s="1"/>
  <c r="JV36" i="5" s="1"/>
  <c r="EI35" i="5"/>
  <c r="FD35" i="5" s="1"/>
  <c r="FC31" i="5"/>
  <c r="II31" i="5" s="1"/>
  <c r="JC31" i="5" s="1"/>
  <c r="JV31" i="5" s="1"/>
  <c r="EI30" i="5"/>
  <c r="FD30" i="5" s="1"/>
  <c r="FC65" i="5"/>
  <c r="II65" i="5" s="1"/>
  <c r="JC65" i="5" s="1"/>
  <c r="JV65" i="5" s="1"/>
  <c r="EI64" i="5"/>
  <c r="FD64" i="5" s="1"/>
  <c r="FC48" i="5"/>
  <c r="II48" i="5" s="1"/>
  <c r="JC48" i="5" s="1"/>
  <c r="JV48" i="5" s="1"/>
  <c r="EI47" i="5"/>
  <c r="FD47" i="5" s="1"/>
  <c r="FC33" i="5"/>
  <c r="II33" i="5" s="1"/>
  <c r="JC33" i="5" s="1"/>
  <c r="JV33" i="5" s="1"/>
  <c r="EI32" i="5"/>
  <c r="FD32" i="5" s="1"/>
  <c r="FA55" i="5"/>
  <c r="IG55" i="5" s="1"/>
  <c r="JA55" i="5" s="1"/>
  <c r="JT55" i="5" s="1"/>
  <c r="EG54" i="5"/>
  <c r="FC38" i="5"/>
  <c r="II38" i="5" s="1"/>
  <c r="JC38" i="5" s="1"/>
  <c r="JV38" i="5" s="1"/>
  <c r="EI37" i="5"/>
  <c r="FD37" i="5" s="1"/>
  <c r="EG30" i="5"/>
  <c r="FA31" i="5"/>
  <c r="IG31" i="5" s="1"/>
  <c r="JA31" i="5" s="1"/>
  <c r="JT31" i="5" s="1"/>
  <c r="EI56" i="5"/>
  <c r="FD56" i="5" s="1"/>
  <c r="FC57" i="5"/>
  <c r="II57" i="5" s="1"/>
  <c r="JC57" i="5" s="1"/>
  <c r="JV57" i="5" s="1"/>
  <c r="FC54" i="5"/>
  <c r="II54" i="5" s="1"/>
  <c r="JC54" i="5" s="1"/>
  <c r="JV54" i="5" s="1"/>
  <c r="EI53" i="5"/>
  <c r="FD53" i="5" s="1"/>
  <c r="EI59" i="5"/>
  <c r="FD59" i="5" s="1"/>
  <c r="FC60" i="5"/>
  <c r="II60" i="5" s="1"/>
  <c r="JC60" i="5" s="1"/>
  <c r="JV60" i="5" s="1"/>
  <c r="EI67" i="5"/>
  <c r="FD67" i="5" s="1"/>
  <c r="FC68" i="5"/>
  <c r="II68" i="5" s="1"/>
  <c r="JC68" i="5" s="1"/>
  <c r="JV68" i="5" s="1"/>
  <c r="EI71" i="5"/>
  <c r="FD71" i="5" s="1"/>
  <c r="FC72" i="5"/>
  <c r="II72" i="5" s="1"/>
  <c r="JC72" i="5" s="1"/>
  <c r="JV72" i="5" s="1"/>
  <c r="EG62" i="5"/>
  <c r="FA63" i="5"/>
  <c r="IG63" i="5" s="1"/>
  <c r="JA63" i="5" s="1"/>
  <c r="JT63" i="5" s="1"/>
  <c r="EH49" i="5"/>
  <c r="FB50" i="5"/>
  <c r="IH50" i="5" s="1"/>
  <c r="JB50" i="5" s="1"/>
  <c r="JU50" i="5" s="1"/>
  <c r="FC30" i="5"/>
  <c r="II30" i="5" s="1"/>
  <c r="JC30" i="5" s="1"/>
  <c r="JV30" i="5" s="1"/>
  <c r="EI29" i="5"/>
  <c r="FD29" i="5" s="1"/>
  <c r="EI65" i="5"/>
  <c r="FD65" i="5" s="1"/>
  <c r="FC66" i="5"/>
  <c r="II66" i="5" s="1"/>
  <c r="JC66" i="5" s="1"/>
  <c r="JV66" i="5" s="1"/>
  <c r="EI49" i="5"/>
  <c r="FD49" i="5" s="1"/>
  <c r="FC50" i="5"/>
  <c r="II50" i="5" s="1"/>
  <c r="JC50" i="5" s="1"/>
  <c r="JV50" i="5" s="1"/>
  <c r="FC52" i="5"/>
  <c r="II52" i="5" s="1"/>
  <c r="JC52" i="5" s="1"/>
  <c r="JV52" i="5" s="1"/>
  <c r="EI51" i="5"/>
  <c r="FD51" i="5" s="1"/>
  <c r="EI43" i="5"/>
  <c r="FD43" i="5" s="1"/>
  <c r="FC44" i="5"/>
  <c r="II44" i="5" s="1"/>
  <c r="JC44" i="5" s="1"/>
  <c r="JV44" i="5" s="1"/>
  <c r="EG38" i="5"/>
  <c r="FA39" i="5"/>
  <c r="IG39" i="5" s="1"/>
  <c r="JA39" i="5" s="1"/>
  <c r="JT39" i="5" s="1"/>
  <c r="FA65" i="5"/>
  <c r="IG65" i="5" s="1"/>
  <c r="JA65" i="5" s="1"/>
  <c r="JT65" i="5" s="1"/>
  <c r="EG64" i="5"/>
  <c r="FC67" i="5"/>
  <c r="II67" i="5" s="1"/>
  <c r="JC67" i="5" s="1"/>
  <c r="JV67" i="5" s="1"/>
  <c r="EI66" i="5"/>
  <c r="FD66" i="5" s="1"/>
  <c r="EI42" i="5"/>
  <c r="FD42" i="5" s="1"/>
  <c r="FC43" i="5"/>
  <c r="II43" i="5" s="1"/>
  <c r="JC43" i="5" s="1"/>
  <c r="JV43" i="5" s="1"/>
  <c r="FC35" i="5"/>
  <c r="II35" i="5" s="1"/>
  <c r="JC35" i="5" s="1"/>
  <c r="JV35" i="5" s="1"/>
  <c r="EI34" i="5"/>
  <c r="FD34" i="5" s="1"/>
  <c r="EG46" i="5"/>
  <c r="FA47" i="5"/>
  <c r="IG47" i="5" s="1"/>
  <c r="JA47" i="5" s="1"/>
  <c r="JT47" i="5" s="1"/>
  <c r="FA49" i="5"/>
  <c r="IG49" i="5" s="1"/>
  <c r="JA49" i="5" s="1"/>
  <c r="JT49" i="5" s="1"/>
  <c r="EG48" i="5"/>
  <c r="EI33" i="5"/>
  <c r="FD33" i="5" s="1"/>
  <c r="FC34" i="5"/>
  <c r="II34" i="5" s="1"/>
  <c r="JC34" i="5" s="1"/>
  <c r="JV34" i="5" s="1"/>
  <c r="FC59" i="5"/>
  <c r="II59" i="5" s="1"/>
  <c r="JC59" i="5" s="1"/>
  <c r="JV59" i="5" s="1"/>
  <c r="EI58" i="5"/>
  <c r="FD58" i="5" s="1"/>
  <c r="EG70" i="5"/>
  <c r="FA71" i="5"/>
  <c r="IG71" i="5" s="1"/>
  <c r="JA71" i="5" s="1"/>
  <c r="JT71" i="5" s="1"/>
  <c r="M117" i="7"/>
  <c r="N117" i="7"/>
  <c r="D118" i="7"/>
  <c r="C117" i="7"/>
  <c r="I117" i="7" s="1"/>
  <c r="E117" i="7"/>
  <c r="H117" i="7" s="1"/>
  <c r="G117" i="7"/>
  <c r="B117" i="7"/>
  <c r="F117" i="7" s="1"/>
  <c r="K118" i="7"/>
  <c r="L118" i="7" s="1"/>
  <c r="J119" i="7"/>
  <c r="EH47" i="5" l="1"/>
  <c r="FB48" i="5"/>
  <c r="IH48" i="5" s="1"/>
  <c r="JB48" i="5" s="1"/>
  <c r="JU48" i="5" s="1"/>
  <c r="EH63" i="5"/>
  <c r="FB64" i="5"/>
  <c r="IH64" i="5" s="1"/>
  <c r="JB64" i="5" s="1"/>
  <c r="JU64" i="5" s="1"/>
  <c r="EH53" i="5"/>
  <c r="FB54" i="5"/>
  <c r="IH54" i="5" s="1"/>
  <c r="JB54" i="5" s="1"/>
  <c r="JU54" i="5" s="1"/>
  <c r="EH71" i="5"/>
  <c r="FB72" i="5"/>
  <c r="IH72" i="5" s="1"/>
  <c r="JB72" i="5" s="1"/>
  <c r="JU72" i="5" s="1"/>
  <c r="EH69" i="5"/>
  <c r="FB70" i="5"/>
  <c r="IH70" i="5" s="1"/>
  <c r="JB70" i="5" s="1"/>
  <c r="JU70" i="5" s="1"/>
  <c r="EH45" i="5"/>
  <c r="FB46" i="5"/>
  <c r="IH46" i="5" s="1"/>
  <c r="JB46" i="5" s="1"/>
  <c r="JU46" i="5" s="1"/>
  <c r="EH37" i="5"/>
  <c r="FB38" i="5"/>
  <c r="IH38" i="5" s="1"/>
  <c r="JB38" i="5" s="1"/>
  <c r="JU38" i="5" s="1"/>
  <c r="FC49" i="5"/>
  <c r="II49" i="5" s="1"/>
  <c r="JC49" i="5" s="1"/>
  <c r="JV49" i="5" s="1"/>
  <c r="EI48" i="5"/>
  <c r="FD48" i="5" s="1"/>
  <c r="FB62" i="5"/>
  <c r="IH62" i="5" s="1"/>
  <c r="JB62" i="5" s="1"/>
  <c r="JU62" i="5" s="1"/>
  <c r="EH61" i="5"/>
  <c r="EH29" i="5"/>
  <c r="FB30" i="5"/>
  <c r="IH30" i="5" s="1"/>
  <c r="JB30" i="5" s="1"/>
  <c r="JU30" i="5" s="1"/>
  <c r="M118" i="7"/>
  <c r="N118" i="7"/>
  <c r="D119" i="7"/>
  <c r="C118" i="7"/>
  <c r="I118" i="7" s="1"/>
  <c r="B118" i="7"/>
  <c r="F118" i="7" s="1"/>
  <c r="E118" i="7"/>
  <c r="H118" i="7" s="1"/>
  <c r="G118" i="7"/>
  <c r="K119" i="7"/>
  <c r="L119" i="7" s="1"/>
  <c r="J120" i="7"/>
  <c r="EI60" i="5" l="1"/>
  <c r="FD60" i="5" s="1"/>
  <c r="FC61" i="5"/>
  <c r="II61" i="5" s="1"/>
  <c r="JC61" i="5" s="1"/>
  <c r="JV61" i="5" s="1"/>
  <c r="EI28" i="5"/>
  <c r="FD28" i="5" s="1"/>
  <c r="FC29" i="5"/>
  <c r="II29" i="5" s="1"/>
  <c r="JC29" i="5" s="1"/>
  <c r="JV29" i="5" s="1"/>
  <c r="EI36" i="5"/>
  <c r="FD36" i="5" s="1"/>
  <c r="FC37" i="5"/>
  <c r="II37" i="5" s="1"/>
  <c r="JC37" i="5" s="1"/>
  <c r="JV37" i="5" s="1"/>
  <c r="EI44" i="5"/>
  <c r="FD44" i="5" s="1"/>
  <c r="FC45" i="5"/>
  <c r="II45" i="5" s="1"/>
  <c r="JC45" i="5" s="1"/>
  <c r="JV45" i="5" s="1"/>
  <c r="EI68" i="5"/>
  <c r="FC69" i="5"/>
  <c r="II69" i="5" s="1"/>
  <c r="JC69" i="5" s="1"/>
  <c r="JV69" i="5" s="1"/>
  <c r="EI70" i="5"/>
  <c r="FD70" i="5" s="1"/>
  <c r="FC71" i="5"/>
  <c r="II71" i="5" s="1"/>
  <c r="JC71" i="5" s="1"/>
  <c r="JV71" i="5" s="1"/>
  <c r="FC53" i="5"/>
  <c r="II53" i="5" s="1"/>
  <c r="JC53" i="5" s="1"/>
  <c r="JV53" i="5" s="1"/>
  <c r="EI52" i="5"/>
  <c r="FD52" i="5" s="1"/>
  <c r="EI62" i="5"/>
  <c r="FD62" i="5" s="1"/>
  <c r="FC63" i="5"/>
  <c r="II63" i="5" s="1"/>
  <c r="JC63" i="5" s="1"/>
  <c r="JV63" i="5" s="1"/>
  <c r="FC47" i="5"/>
  <c r="II47" i="5" s="1"/>
  <c r="JC47" i="5" s="1"/>
  <c r="JV47" i="5" s="1"/>
  <c r="EI46" i="5"/>
  <c r="FD46" i="5" s="1"/>
  <c r="M119" i="7"/>
  <c r="N119" i="7"/>
  <c r="D120" i="7"/>
  <c r="C119" i="7"/>
  <c r="I119" i="7" s="1"/>
  <c r="E119" i="7"/>
  <c r="H119" i="7" s="1"/>
  <c r="G119" i="7"/>
  <c r="B119" i="7"/>
  <c r="F119" i="7" s="1"/>
  <c r="K120" i="7"/>
  <c r="L120" i="7" s="1"/>
  <c r="J121" i="7"/>
  <c r="FD68" i="5" l="1"/>
  <c r="M120" i="7"/>
  <c r="N120" i="7"/>
  <c r="D121" i="7"/>
  <c r="C120" i="7"/>
  <c r="I120" i="7" s="1"/>
  <c r="E120" i="7"/>
  <c r="H120" i="7" s="1"/>
  <c r="B120" i="7"/>
  <c r="F120" i="7" s="1"/>
  <c r="G120" i="7"/>
  <c r="K121" i="7"/>
  <c r="L121" i="7" s="1"/>
  <c r="J122" i="7"/>
  <c r="M121" i="7" l="1"/>
  <c r="N121" i="7"/>
  <c r="D122" i="7"/>
  <c r="C121" i="7"/>
  <c r="I121" i="7" s="1"/>
  <c r="G121" i="7"/>
  <c r="B121" i="7"/>
  <c r="F121" i="7" s="1"/>
  <c r="E121" i="7"/>
  <c r="H121" i="7" s="1"/>
  <c r="K122" i="7"/>
  <c r="L122" i="7" s="1"/>
  <c r="J123" i="7"/>
  <c r="M122" i="7" l="1"/>
  <c r="N122" i="7"/>
  <c r="D123" i="7"/>
  <c r="C122" i="7"/>
  <c r="I122" i="7" s="1"/>
  <c r="E122" i="7"/>
  <c r="H122" i="7" s="1"/>
  <c r="B122" i="7"/>
  <c r="F122" i="7" s="1"/>
  <c r="G122" i="7"/>
  <c r="K123" i="7"/>
  <c r="L123" i="7" s="1"/>
  <c r="J124" i="7"/>
  <c r="M123" i="7" l="1"/>
  <c r="N123" i="7"/>
  <c r="D124" i="7"/>
  <c r="C123" i="7"/>
  <c r="I123" i="7" s="1"/>
  <c r="G123" i="7"/>
  <c r="B123" i="7"/>
  <c r="F123" i="7" s="1"/>
  <c r="E123" i="7"/>
  <c r="H123" i="7" s="1"/>
  <c r="K124" i="7"/>
  <c r="L124" i="7" s="1"/>
  <c r="J125" i="7"/>
  <c r="M124" i="7" l="1"/>
  <c r="N124" i="7"/>
  <c r="D125" i="7"/>
  <c r="C124" i="7"/>
  <c r="I124" i="7" s="1"/>
  <c r="G124" i="7"/>
  <c r="B124" i="7"/>
  <c r="F124" i="7" s="1"/>
  <c r="E124" i="7"/>
  <c r="H124" i="7" s="1"/>
  <c r="K125" i="7"/>
  <c r="L125" i="7" s="1"/>
  <c r="J126" i="7"/>
  <c r="M125" i="7" l="1"/>
  <c r="N125" i="7"/>
  <c r="D126" i="7"/>
  <c r="E125" i="7"/>
  <c r="H125" i="7" s="1"/>
  <c r="B125" i="7"/>
  <c r="F125" i="7" s="1"/>
  <c r="C125" i="7"/>
  <c r="I125" i="7" s="1"/>
  <c r="G125" i="7"/>
  <c r="K126" i="7"/>
  <c r="L126" i="7" s="1"/>
  <c r="J127" i="7"/>
  <c r="M126" i="7" l="1"/>
  <c r="N126" i="7"/>
  <c r="D127" i="7"/>
  <c r="G126" i="7"/>
  <c r="B126" i="7"/>
  <c r="F126" i="7" s="1"/>
  <c r="C126" i="7"/>
  <c r="I126" i="7" s="1"/>
  <c r="E126" i="7"/>
  <c r="H126" i="7" s="1"/>
  <c r="K127" i="7"/>
  <c r="L127" i="7" s="1"/>
  <c r="J128" i="7"/>
  <c r="M127" i="7" l="1"/>
  <c r="N127" i="7"/>
  <c r="D128" i="7"/>
  <c r="C127" i="7"/>
  <c r="I127" i="7" s="1"/>
  <c r="E127" i="7"/>
  <c r="H127" i="7" s="1"/>
  <c r="G127" i="7"/>
  <c r="B127" i="7"/>
  <c r="F127" i="7" s="1"/>
  <c r="K128" i="7"/>
  <c r="L128" i="7" s="1"/>
  <c r="J129" i="7"/>
  <c r="M128" i="7" l="1"/>
  <c r="N128" i="7"/>
  <c r="D129" i="7"/>
  <c r="C128" i="7"/>
  <c r="I128" i="7" s="1"/>
  <c r="G128" i="7"/>
  <c r="B128" i="7"/>
  <c r="F128" i="7" s="1"/>
  <c r="E128" i="7"/>
  <c r="H128" i="7" s="1"/>
  <c r="K129" i="7"/>
  <c r="L129" i="7" s="1"/>
  <c r="J130" i="7"/>
  <c r="M129" i="7" l="1"/>
  <c r="N129" i="7"/>
  <c r="D130" i="7"/>
  <c r="C129" i="7"/>
  <c r="I129" i="7" s="1"/>
  <c r="B129" i="7"/>
  <c r="F129" i="7" s="1"/>
  <c r="E129" i="7"/>
  <c r="H129" i="7" s="1"/>
  <c r="G129" i="7"/>
  <c r="K130" i="7"/>
  <c r="L130" i="7" s="1"/>
  <c r="J131" i="7"/>
  <c r="N130" i="7" l="1"/>
  <c r="M130" i="7"/>
  <c r="D131" i="7"/>
  <c r="G130" i="7"/>
  <c r="B130" i="7"/>
  <c r="F130" i="7" s="1"/>
  <c r="C130" i="7"/>
  <c r="I130" i="7" s="1"/>
  <c r="E130" i="7"/>
  <c r="H130" i="7" s="1"/>
  <c r="K131" i="7"/>
  <c r="L131" i="7" s="1"/>
  <c r="J132" i="7"/>
  <c r="M131" i="7" l="1"/>
  <c r="N131" i="7"/>
  <c r="D132" i="7"/>
  <c r="E131" i="7"/>
  <c r="H131" i="7" s="1"/>
  <c r="B131" i="7"/>
  <c r="F131" i="7" s="1"/>
  <c r="C131" i="7"/>
  <c r="I131" i="7" s="1"/>
  <c r="G131" i="7"/>
  <c r="K132" i="7"/>
  <c r="L132" i="7" s="1"/>
  <c r="J133" i="7"/>
  <c r="M132" i="7" l="1"/>
  <c r="N132" i="7"/>
  <c r="D133" i="7"/>
  <c r="B132" i="7"/>
  <c r="F132" i="7" s="1"/>
  <c r="C132" i="7"/>
  <c r="I132" i="7" s="1"/>
  <c r="E132" i="7"/>
  <c r="H132" i="7" s="1"/>
  <c r="G132" i="7"/>
  <c r="K133" i="7"/>
  <c r="L133" i="7" s="1"/>
  <c r="J134" i="7"/>
  <c r="M133" i="7" l="1"/>
  <c r="N133" i="7"/>
  <c r="D134" i="7"/>
  <c r="G133" i="7"/>
  <c r="B133" i="7"/>
  <c r="F133" i="7" s="1"/>
  <c r="C133" i="7"/>
  <c r="I133" i="7" s="1"/>
  <c r="E133" i="7"/>
  <c r="H133" i="7" s="1"/>
  <c r="K134" i="7"/>
  <c r="L134" i="7" s="1"/>
  <c r="J135" i="7"/>
  <c r="M134" i="7" l="1"/>
  <c r="N134" i="7"/>
  <c r="D135" i="7"/>
  <c r="C134" i="7"/>
  <c r="I134" i="7" s="1"/>
  <c r="G134" i="7"/>
  <c r="B134" i="7"/>
  <c r="F134" i="7" s="1"/>
  <c r="E134" i="7"/>
  <c r="H134" i="7" s="1"/>
  <c r="K135" i="7"/>
  <c r="L135" i="7" s="1"/>
  <c r="J136" i="7"/>
  <c r="M135" i="7" l="1"/>
  <c r="N135" i="7"/>
  <c r="D136" i="7"/>
  <c r="C135" i="7"/>
  <c r="I135" i="7" s="1"/>
  <c r="G135" i="7"/>
  <c r="B135" i="7"/>
  <c r="F135" i="7" s="1"/>
  <c r="E135" i="7"/>
  <c r="H135" i="7" s="1"/>
  <c r="K136" i="7"/>
  <c r="L136" i="7" s="1"/>
  <c r="J137" i="7"/>
  <c r="M136" i="7" l="1"/>
  <c r="N136" i="7"/>
  <c r="D137" i="7"/>
  <c r="C136" i="7"/>
  <c r="I136" i="7" s="1"/>
  <c r="E136" i="7"/>
  <c r="H136" i="7" s="1"/>
  <c r="G136" i="7"/>
  <c r="B136" i="7"/>
  <c r="F136" i="7" s="1"/>
  <c r="K137" i="7"/>
  <c r="L137" i="7" s="1"/>
  <c r="J138" i="7"/>
  <c r="M137" i="7" l="1"/>
  <c r="N137" i="7"/>
  <c r="D138" i="7"/>
  <c r="C137" i="7"/>
  <c r="I137" i="7" s="1"/>
  <c r="E137" i="7"/>
  <c r="H137" i="7" s="1"/>
  <c r="G137" i="7"/>
  <c r="B137" i="7"/>
  <c r="F137" i="7" s="1"/>
  <c r="K138" i="7"/>
  <c r="L138" i="7" s="1"/>
  <c r="J139" i="7"/>
  <c r="M138" i="7" l="1"/>
  <c r="N138" i="7"/>
  <c r="D139" i="7"/>
  <c r="E138" i="7"/>
  <c r="H138" i="7" s="1"/>
  <c r="B138" i="7"/>
  <c r="F138" i="7" s="1"/>
  <c r="C138" i="7"/>
  <c r="I138" i="7" s="1"/>
  <c r="G138" i="7"/>
  <c r="K139" i="7"/>
  <c r="L139" i="7" s="1"/>
  <c r="J140" i="7"/>
  <c r="D140" i="7" l="1"/>
  <c r="M139" i="7"/>
  <c r="N139" i="7"/>
  <c r="C139" i="7"/>
  <c r="I139" i="7" s="1"/>
  <c r="B139" i="7"/>
  <c r="F139" i="7" s="1"/>
  <c r="E139" i="7"/>
  <c r="H139" i="7" s="1"/>
  <c r="G139" i="7"/>
  <c r="K140" i="7"/>
  <c r="L140" i="7" s="1"/>
  <c r="J141" i="7"/>
  <c r="M140" i="7" l="1"/>
  <c r="D141" i="7"/>
  <c r="N140" i="7"/>
  <c r="C140" i="7"/>
  <c r="I140" i="7" s="1"/>
  <c r="E140" i="7"/>
  <c r="H140" i="7" s="1"/>
  <c r="G140" i="7"/>
  <c r="B140" i="7"/>
  <c r="F140" i="7" s="1"/>
  <c r="K141" i="7"/>
  <c r="L141" i="7" s="1"/>
  <c r="J142" i="7"/>
  <c r="N141" i="7" l="1"/>
  <c r="M141" i="7"/>
  <c r="D142" i="7"/>
  <c r="C141" i="7"/>
  <c r="I141" i="7" s="1"/>
  <c r="E141" i="7"/>
  <c r="H141" i="7" s="1"/>
  <c r="G141" i="7"/>
  <c r="B141" i="7"/>
  <c r="F141" i="7" s="1"/>
  <c r="K142" i="7"/>
  <c r="L142" i="7" s="1"/>
  <c r="J143" i="7"/>
  <c r="M142" i="7" l="1"/>
  <c r="N142" i="7"/>
  <c r="D143" i="7"/>
  <c r="B142" i="7"/>
  <c r="F142" i="7" s="1"/>
  <c r="C142" i="7"/>
  <c r="I142" i="7" s="1"/>
  <c r="E142" i="7"/>
  <c r="H142" i="7" s="1"/>
  <c r="G142" i="7"/>
  <c r="K143" i="7"/>
  <c r="L143" i="7" s="1"/>
  <c r="J144" i="7"/>
  <c r="M143" i="7" l="1"/>
  <c r="N143" i="7"/>
  <c r="D144" i="7"/>
  <c r="B143" i="7"/>
  <c r="F143" i="7" s="1"/>
  <c r="C143" i="7"/>
  <c r="I143" i="7" s="1"/>
  <c r="E143" i="7"/>
  <c r="H143" i="7" s="1"/>
  <c r="G143" i="7"/>
  <c r="K144" i="7"/>
  <c r="L144" i="7" s="1"/>
  <c r="J145" i="7"/>
  <c r="M144" i="7" l="1"/>
  <c r="N144" i="7"/>
  <c r="D145" i="7"/>
  <c r="C144" i="7"/>
  <c r="I144" i="7" s="1"/>
  <c r="E144" i="7"/>
  <c r="H144" i="7" s="1"/>
  <c r="G144" i="7"/>
  <c r="B144" i="7"/>
  <c r="F144" i="7" s="1"/>
  <c r="K145" i="7"/>
  <c r="L145" i="7" s="1"/>
  <c r="J146" i="7"/>
  <c r="M145" i="7" l="1"/>
  <c r="N145" i="7"/>
  <c r="D146" i="7"/>
  <c r="C145" i="7"/>
  <c r="I145" i="7" s="1"/>
  <c r="E145" i="7"/>
  <c r="H145" i="7" s="1"/>
  <c r="G145" i="7"/>
  <c r="B145" i="7"/>
  <c r="F145" i="7" s="1"/>
  <c r="K146" i="7"/>
  <c r="L146" i="7" s="1"/>
  <c r="J147" i="7"/>
  <c r="M146" i="7" l="1"/>
  <c r="N146" i="7"/>
  <c r="D147" i="7"/>
  <c r="C146" i="7"/>
  <c r="I146" i="7" s="1"/>
  <c r="B146" i="7"/>
  <c r="F146" i="7" s="1"/>
  <c r="E146" i="7"/>
  <c r="H146" i="7" s="1"/>
  <c r="G146" i="7"/>
  <c r="K147" i="7"/>
  <c r="L147" i="7" s="1"/>
  <c r="J148" i="7"/>
  <c r="M147" i="7" l="1"/>
  <c r="N147" i="7"/>
  <c r="D148" i="7"/>
  <c r="C147" i="7"/>
  <c r="I147" i="7" s="1"/>
  <c r="E147" i="7"/>
  <c r="H147" i="7" s="1"/>
  <c r="B147" i="7"/>
  <c r="F147" i="7" s="1"/>
  <c r="G147" i="7"/>
  <c r="K148" i="7"/>
  <c r="L148" i="7" s="1"/>
  <c r="J149" i="7"/>
  <c r="M148" i="7" l="1"/>
  <c r="N148" i="7"/>
  <c r="D149" i="7"/>
  <c r="C148" i="7"/>
  <c r="I148" i="7" s="1"/>
  <c r="G148" i="7"/>
  <c r="B148" i="7"/>
  <c r="F148" i="7" s="1"/>
  <c r="E148" i="7"/>
  <c r="H148" i="7" s="1"/>
  <c r="K149" i="7"/>
  <c r="L149" i="7" s="1"/>
  <c r="J150" i="7"/>
  <c r="N149" i="7" l="1"/>
  <c r="M149" i="7"/>
  <c r="D150" i="7"/>
  <c r="E149" i="7"/>
  <c r="H149" i="7" s="1"/>
  <c r="B149" i="7"/>
  <c r="F149" i="7" s="1"/>
  <c r="C149" i="7"/>
  <c r="I149" i="7" s="1"/>
  <c r="G149" i="7"/>
  <c r="K150" i="7"/>
  <c r="L150" i="7" s="1"/>
  <c r="J151" i="7"/>
  <c r="N150" i="7" l="1"/>
  <c r="M150" i="7"/>
  <c r="D151" i="7"/>
  <c r="G150" i="7"/>
  <c r="B150" i="7"/>
  <c r="F150" i="7" s="1"/>
  <c r="C150" i="7"/>
  <c r="I150" i="7" s="1"/>
  <c r="E150" i="7"/>
  <c r="H150" i="7" s="1"/>
  <c r="K151" i="7"/>
  <c r="L151" i="7" s="1"/>
  <c r="J152" i="7"/>
  <c r="M151" i="7" l="1"/>
  <c r="N151" i="7"/>
  <c r="D152" i="7"/>
  <c r="C151" i="7"/>
  <c r="I151" i="7" s="1"/>
  <c r="E151" i="7"/>
  <c r="H151" i="7" s="1"/>
  <c r="G151" i="7"/>
  <c r="B151" i="7"/>
  <c r="F151" i="7" s="1"/>
  <c r="K152" i="7"/>
  <c r="L152" i="7" s="1"/>
  <c r="J153" i="7"/>
  <c r="M152" i="7" l="1"/>
  <c r="N152" i="7"/>
  <c r="D153" i="7"/>
  <c r="C152" i="7"/>
  <c r="I152" i="7" s="1"/>
  <c r="E152" i="7"/>
  <c r="H152" i="7" s="1"/>
  <c r="G152" i="7"/>
  <c r="B152" i="7"/>
  <c r="F152" i="7" s="1"/>
  <c r="K153" i="7"/>
  <c r="L153" i="7" s="1"/>
  <c r="J154" i="7"/>
  <c r="M153" i="7" l="1"/>
  <c r="N153" i="7"/>
  <c r="D154" i="7"/>
  <c r="B153" i="7"/>
  <c r="F153" i="7" s="1"/>
  <c r="C153" i="7"/>
  <c r="I153" i="7" s="1"/>
  <c r="E153" i="7"/>
  <c r="H153" i="7" s="1"/>
  <c r="G153" i="7"/>
  <c r="K154" i="7"/>
  <c r="L154" i="7" s="1"/>
  <c r="J155" i="7"/>
  <c r="M154" i="7" l="1"/>
  <c r="N154" i="7"/>
  <c r="D155" i="7"/>
  <c r="C154" i="7"/>
  <c r="I154" i="7" s="1"/>
  <c r="B154" i="7"/>
  <c r="F154" i="7" s="1"/>
  <c r="E154" i="7"/>
  <c r="H154" i="7" s="1"/>
  <c r="G154" i="7"/>
  <c r="K155" i="7"/>
  <c r="L155" i="7" s="1"/>
  <c r="J156" i="7"/>
  <c r="M155" i="7" l="1"/>
  <c r="N155" i="7"/>
  <c r="D156" i="7"/>
  <c r="C155" i="7"/>
  <c r="I155" i="7" s="1"/>
  <c r="G155" i="7"/>
  <c r="B155" i="7"/>
  <c r="F155" i="7" s="1"/>
  <c r="E155" i="7"/>
  <c r="H155" i="7" s="1"/>
  <c r="K156" i="7"/>
  <c r="L156" i="7" s="1"/>
  <c r="J157" i="7"/>
  <c r="M156" i="7" l="1"/>
  <c r="N156" i="7"/>
  <c r="D157" i="7"/>
  <c r="C156" i="7"/>
  <c r="I156" i="7" s="1"/>
  <c r="E156" i="7"/>
  <c r="H156" i="7" s="1"/>
  <c r="G156" i="7"/>
  <c r="B156" i="7"/>
  <c r="F156" i="7" s="1"/>
  <c r="K157" i="7"/>
  <c r="L157" i="7" s="1"/>
  <c r="J158" i="7"/>
  <c r="M157" i="7" l="1"/>
  <c r="N157" i="7"/>
  <c r="D158" i="7"/>
  <c r="C157" i="7"/>
  <c r="I157" i="7" s="1"/>
  <c r="E157" i="7"/>
  <c r="H157" i="7" s="1"/>
  <c r="G157" i="7"/>
  <c r="B157" i="7"/>
  <c r="F157" i="7" s="1"/>
  <c r="K158" i="7"/>
  <c r="L158" i="7" s="1"/>
  <c r="J159" i="7"/>
  <c r="M158" i="7" l="1"/>
  <c r="N158" i="7"/>
  <c r="D159" i="7"/>
  <c r="C158" i="7"/>
  <c r="I158" i="7" s="1"/>
  <c r="B158" i="7"/>
  <c r="F158" i="7" s="1"/>
  <c r="E158" i="7"/>
  <c r="H158" i="7" s="1"/>
  <c r="G158" i="7"/>
  <c r="K159" i="7"/>
  <c r="L159" i="7" s="1"/>
  <c r="J160" i="7"/>
  <c r="M159" i="7" l="1"/>
  <c r="N159" i="7"/>
  <c r="D160" i="7"/>
  <c r="C159" i="7"/>
  <c r="I159" i="7" s="1"/>
  <c r="G159" i="7"/>
  <c r="B159" i="7"/>
  <c r="F159" i="7" s="1"/>
  <c r="E159" i="7"/>
  <c r="H159" i="7" s="1"/>
  <c r="K160" i="7"/>
  <c r="L160" i="7" s="1"/>
  <c r="J161" i="7"/>
  <c r="M160" i="7" l="1"/>
  <c r="N160" i="7"/>
  <c r="D161" i="7"/>
  <c r="C160" i="7"/>
  <c r="I160" i="7" s="1"/>
  <c r="E160" i="7"/>
  <c r="H160" i="7" s="1"/>
  <c r="G160" i="7"/>
  <c r="B160" i="7"/>
  <c r="F160" i="7" s="1"/>
  <c r="K161" i="7"/>
  <c r="L161" i="7" s="1"/>
  <c r="J162" i="7"/>
  <c r="M161" i="7" l="1"/>
  <c r="N161" i="7"/>
  <c r="D162" i="7"/>
  <c r="C161" i="7"/>
  <c r="I161" i="7" s="1"/>
  <c r="E161" i="7"/>
  <c r="H161" i="7" s="1"/>
  <c r="G161" i="7"/>
  <c r="B161" i="7"/>
  <c r="F161" i="7" s="1"/>
  <c r="K162" i="7"/>
  <c r="L162" i="7" s="1"/>
  <c r="J163" i="7"/>
  <c r="M162" i="7" l="1"/>
  <c r="N162" i="7"/>
  <c r="D163" i="7"/>
  <c r="C162" i="7"/>
  <c r="I162" i="7" s="1"/>
  <c r="B162" i="7"/>
  <c r="F162" i="7" s="1"/>
  <c r="E162" i="7"/>
  <c r="H162" i="7" s="1"/>
  <c r="G162" i="7"/>
  <c r="K163" i="7"/>
  <c r="L163" i="7" s="1"/>
  <c r="J164" i="7"/>
  <c r="M163" i="7" l="1"/>
  <c r="N163" i="7"/>
  <c r="D164" i="7"/>
  <c r="C163" i="7"/>
  <c r="I163" i="7" s="1"/>
  <c r="G163" i="7"/>
  <c r="B163" i="7"/>
  <c r="F163" i="7" s="1"/>
  <c r="E163" i="7"/>
  <c r="H163" i="7" s="1"/>
  <c r="K164" i="7"/>
  <c r="L164" i="7" s="1"/>
  <c r="J165" i="7"/>
  <c r="M164" i="7" l="1"/>
  <c r="N164" i="7"/>
  <c r="D165" i="7"/>
  <c r="C164" i="7"/>
  <c r="I164" i="7" s="1"/>
  <c r="E164" i="7"/>
  <c r="H164" i="7" s="1"/>
  <c r="B164" i="7"/>
  <c r="F164" i="7" s="1"/>
  <c r="G164" i="7"/>
  <c r="K165" i="7"/>
  <c r="L165" i="7" s="1"/>
  <c r="J166" i="7"/>
  <c r="M165" i="7" l="1"/>
  <c r="N165" i="7"/>
  <c r="D166" i="7"/>
  <c r="C165" i="7"/>
  <c r="I165" i="7" s="1"/>
  <c r="E165" i="7"/>
  <c r="H165" i="7" s="1"/>
  <c r="B165" i="7"/>
  <c r="F165" i="7" s="1"/>
  <c r="G165" i="7"/>
  <c r="K166" i="7"/>
  <c r="L166" i="7" s="1"/>
  <c r="J167" i="7"/>
  <c r="M166" i="7" l="1"/>
  <c r="N166" i="7"/>
  <c r="D167" i="7"/>
  <c r="B166" i="7"/>
  <c r="F166" i="7" s="1"/>
  <c r="C166" i="7"/>
  <c r="I166" i="7" s="1"/>
  <c r="E166" i="7"/>
  <c r="H166" i="7" s="1"/>
  <c r="G166" i="7"/>
  <c r="K167" i="7"/>
  <c r="L167" i="7" s="1"/>
  <c r="J168" i="7"/>
  <c r="N167" i="7" l="1"/>
  <c r="M167" i="7"/>
  <c r="D168" i="7"/>
  <c r="B167" i="7"/>
  <c r="F167" i="7" s="1"/>
  <c r="C167" i="7"/>
  <c r="I167" i="7" s="1"/>
  <c r="E167" i="7"/>
  <c r="H167" i="7" s="1"/>
  <c r="G167" i="7"/>
  <c r="K168" i="7"/>
  <c r="L168" i="7" s="1"/>
  <c r="J169" i="7"/>
  <c r="M168" i="7" l="1"/>
  <c r="N168" i="7"/>
  <c r="D169" i="7"/>
  <c r="C168" i="7"/>
  <c r="I168" i="7" s="1"/>
  <c r="E168" i="7"/>
  <c r="H168" i="7" s="1"/>
  <c r="G168" i="7"/>
  <c r="B168" i="7"/>
  <c r="F168" i="7" s="1"/>
  <c r="K169" i="7"/>
  <c r="L169" i="7" s="1"/>
  <c r="J170" i="7"/>
  <c r="M169" i="7" l="1"/>
  <c r="N169" i="7"/>
  <c r="D170" i="7"/>
  <c r="C169" i="7"/>
  <c r="I169" i="7" s="1"/>
  <c r="G169" i="7"/>
  <c r="B169" i="7"/>
  <c r="F169" i="7" s="1"/>
  <c r="E169" i="7"/>
  <c r="H169" i="7" s="1"/>
  <c r="K170" i="7"/>
  <c r="L170" i="7" s="1"/>
  <c r="J171" i="7"/>
  <c r="M170" i="7" l="1"/>
  <c r="N170" i="7"/>
  <c r="D171" i="7"/>
  <c r="G170" i="7"/>
  <c r="B170" i="7"/>
  <c r="F170" i="7" s="1"/>
  <c r="C170" i="7"/>
  <c r="I170" i="7" s="1"/>
  <c r="E170" i="7"/>
  <c r="H170" i="7" s="1"/>
  <c r="K171" i="7"/>
  <c r="L171" i="7" s="1"/>
  <c r="J172" i="7"/>
  <c r="M171" i="7" l="1"/>
  <c r="N171" i="7"/>
  <c r="D172" i="7"/>
  <c r="C171" i="7"/>
  <c r="I171" i="7" s="1"/>
  <c r="G171" i="7"/>
  <c r="B171" i="7"/>
  <c r="F171" i="7" s="1"/>
  <c r="E171" i="7"/>
  <c r="H171" i="7" s="1"/>
  <c r="K172" i="7"/>
  <c r="L172" i="7" s="1"/>
  <c r="J173" i="7"/>
  <c r="M172" i="7" l="1"/>
  <c r="N172" i="7"/>
  <c r="D173" i="7"/>
  <c r="E172" i="7"/>
  <c r="H172" i="7" s="1"/>
  <c r="B172" i="7"/>
  <c r="F172" i="7" s="1"/>
  <c r="C172" i="7"/>
  <c r="I172" i="7" s="1"/>
  <c r="G172" i="7"/>
  <c r="K173" i="7"/>
  <c r="L173" i="7" s="1"/>
  <c r="J174" i="7"/>
  <c r="D174" i="7" l="1"/>
  <c r="M173" i="7"/>
  <c r="N173" i="7"/>
  <c r="G173" i="7"/>
  <c r="B173" i="7"/>
  <c r="F173" i="7" s="1"/>
  <c r="C173" i="7"/>
  <c r="I173" i="7" s="1"/>
  <c r="E173" i="7"/>
  <c r="H173" i="7" s="1"/>
  <c r="K174" i="7"/>
  <c r="L174" i="7" s="1"/>
  <c r="J175" i="7"/>
  <c r="M174" i="7" l="1"/>
  <c r="N174" i="7"/>
  <c r="D175" i="7"/>
  <c r="C174" i="7"/>
  <c r="I174" i="7" s="1"/>
  <c r="E174" i="7"/>
  <c r="H174" i="7" s="1"/>
  <c r="G174" i="7"/>
  <c r="B174" i="7"/>
  <c r="F174" i="7" s="1"/>
  <c r="K175" i="7"/>
  <c r="L175" i="7" s="1"/>
  <c r="J176" i="7"/>
  <c r="M175" i="7" l="1"/>
  <c r="N175" i="7"/>
  <c r="D176" i="7"/>
  <c r="B175" i="7"/>
  <c r="F175" i="7" s="1"/>
  <c r="C175" i="7"/>
  <c r="I175" i="7" s="1"/>
  <c r="E175" i="7"/>
  <c r="H175" i="7" s="1"/>
  <c r="G175" i="7"/>
  <c r="K176" i="7"/>
  <c r="L176" i="7" s="1"/>
  <c r="J177" i="7"/>
  <c r="M176" i="7" l="1"/>
  <c r="N176" i="7"/>
  <c r="D177" i="7"/>
  <c r="E176" i="7"/>
  <c r="H176" i="7" s="1"/>
  <c r="B176" i="7"/>
  <c r="F176" i="7" s="1"/>
  <c r="C176" i="7"/>
  <c r="I176" i="7" s="1"/>
  <c r="G176" i="7"/>
  <c r="K177" i="7"/>
  <c r="L177" i="7" s="1"/>
  <c r="J178" i="7"/>
  <c r="M177" i="7" l="1"/>
  <c r="N177" i="7"/>
  <c r="D178" i="7"/>
  <c r="C177" i="7"/>
  <c r="I177" i="7" s="1"/>
  <c r="B177" i="7"/>
  <c r="F177" i="7" s="1"/>
  <c r="E177" i="7"/>
  <c r="H177" i="7" s="1"/>
  <c r="G177" i="7"/>
  <c r="K178" i="7"/>
  <c r="L178" i="7" s="1"/>
  <c r="J179" i="7"/>
  <c r="N178" i="7" l="1"/>
  <c r="M178" i="7"/>
  <c r="D179" i="7"/>
  <c r="G178" i="7"/>
  <c r="B178" i="7"/>
  <c r="F178" i="7" s="1"/>
  <c r="C178" i="7"/>
  <c r="I178" i="7" s="1"/>
  <c r="E178" i="7"/>
  <c r="H178" i="7" s="1"/>
  <c r="K179" i="7"/>
  <c r="L179" i="7" s="1"/>
  <c r="J180" i="7"/>
  <c r="M179" i="7" l="1"/>
  <c r="N179" i="7"/>
  <c r="D180" i="7"/>
  <c r="C179" i="7"/>
  <c r="I179" i="7" s="1"/>
  <c r="E179" i="7"/>
  <c r="H179" i="7" s="1"/>
  <c r="G179" i="7"/>
  <c r="B179" i="7"/>
  <c r="F179" i="7" s="1"/>
  <c r="K180" i="7"/>
  <c r="L180" i="7" s="1"/>
  <c r="J181" i="7"/>
  <c r="M180" i="7" l="1"/>
  <c r="N180" i="7"/>
  <c r="D181" i="7"/>
  <c r="B180" i="7"/>
  <c r="F180" i="7" s="1"/>
  <c r="C180" i="7"/>
  <c r="I180" i="7" s="1"/>
  <c r="E180" i="7"/>
  <c r="H180" i="7" s="1"/>
  <c r="G180" i="7"/>
  <c r="K181" i="7"/>
  <c r="L181" i="7" s="1"/>
  <c r="J182" i="7"/>
  <c r="M181" i="7" l="1"/>
  <c r="N181" i="7"/>
  <c r="D182" i="7"/>
  <c r="B181" i="7"/>
  <c r="F181" i="7" s="1"/>
  <c r="C181" i="7"/>
  <c r="I181" i="7" s="1"/>
  <c r="E181" i="7"/>
  <c r="H181" i="7" s="1"/>
  <c r="G181" i="7"/>
  <c r="K182" i="7"/>
  <c r="L182" i="7" s="1"/>
  <c r="J183" i="7"/>
  <c r="M182" i="7" l="1"/>
  <c r="N182" i="7"/>
  <c r="D183" i="7"/>
  <c r="C182" i="7"/>
  <c r="I182" i="7" s="1"/>
  <c r="G182" i="7"/>
  <c r="B182" i="7"/>
  <c r="F182" i="7" s="1"/>
  <c r="E182" i="7"/>
  <c r="H182" i="7" s="1"/>
  <c r="K183" i="7"/>
  <c r="L183" i="7" s="1"/>
  <c r="J184" i="7"/>
  <c r="M183" i="7" l="1"/>
  <c r="N183" i="7"/>
  <c r="D184" i="7"/>
  <c r="C183" i="7"/>
  <c r="I183" i="7" s="1"/>
  <c r="E183" i="7"/>
  <c r="H183" i="7" s="1"/>
  <c r="B183" i="7"/>
  <c r="F183" i="7" s="1"/>
  <c r="G183" i="7"/>
  <c r="K184" i="7"/>
  <c r="L184" i="7" s="1"/>
  <c r="J185" i="7"/>
  <c r="M184" i="7" l="1"/>
  <c r="N184" i="7"/>
  <c r="D185" i="7"/>
  <c r="C184" i="7"/>
  <c r="I184" i="7" s="1"/>
  <c r="G184" i="7"/>
  <c r="B184" i="7"/>
  <c r="F184" i="7" s="1"/>
  <c r="E184" i="7"/>
  <c r="H184" i="7" s="1"/>
  <c r="K185" i="7"/>
  <c r="L185" i="7" s="1"/>
  <c r="J186" i="7"/>
  <c r="M185" i="7" l="1"/>
  <c r="N185" i="7"/>
  <c r="D186" i="7"/>
  <c r="E185" i="7"/>
  <c r="H185" i="7" s="1"/>
  <c r="B185" i="7"/>
  <c r="F185" i="7" s="1"/>
  <c r="C185" i="7"/>
  <c r="I185" i="7" s="1"/>
  <c r="G185" i="7"/>
  <c r="K186" i="7"/>
  <c r="L186" i="7" s="1"/>
  <c r="J187" i="7"/>
  <c r="M186" i="7" l="1"/>
  <c r="N186" i="7"/>
  <c r="D187" i="7"/>
  <c r="G186" i="7"/>
  <c r="B186" i="7"/>
  <c r="F186" i="7" s="1"/>
  <c r="C186" i="7"/>
  <c r="I186" i="7" s="1"/>
  <c r="E186" i="7"/>
  <c r="H186" i="7" s="1"/>
  <c r="K187" i="7"/>
  <c r="L187" i="7" s="1"/>
  <c r="J188" i="7"/>
  <c r="M187" i="7" l="1"/>
  <c r="N187" i="7"/>
  <c r="D188" i="7"/>
  <c r="C187" i="7"/>
  <c r="I187" i="7" s="1"/>
  <c r="E187" i="7"/>
  <c r="H187" i="7" s="1"/>
  <c r="G187" i="7"/>
  <c r="B187" i="7"/>
  <c r="F187" i="7" s="1"/>
  <c r="K188" i="7"/>
  <c r="L188" i="7" s="1"/>
  <c r="J189" i="7"/>
  <c r="M188" i="7" l="1"/>
  <c r="N188" i="7"/>
  <c r="D189" i="7"/>
  <c r="G188" i="7"/>
  <c r="B188" i="7"/>
  <c r="F188" i="7" s="1"/>
  <c r="C188" i="7"/>
  <c r="I188" i="7" s="1"/>
  <c r="E188" i="7"/>
  <c r="H188" i="7" s="1"/>
  <c r="K189" i="7"/>
  <c r="L189" i="7" s="1"/>
  <c r="J190" i="7"/>
  <c r="M189" i="7" l="1"/>
  <c r="N189" i="7"/>
  <c r="D190" i="7"/>
  <c r="C189" i="7"/>
  <c r="I189" i="7" s="1"/>
  <c r="E189" i="7"/>
  <c r="H189" i="7" s="1"/>
  <c r="B189" i="7"/>
  <c r="F189" i="7" s="1"/>
  <c r="G189" i="7"/>
  <c r="K190" i="7"/>
  <c r="L190" i="7" s="1"/>
  <c r="J191" i="7"/>
  <c r="M190" i="7" l="1"/>
  <c r="N190" i="7"/>
  <c r="D191" i="7"/>
  <c r="C190" i="7"/>
  <c r="I190" i="7" s="1"/>
  <c r="G190" i="7"/>
  <c r="B190" i="7"/>
  <c r="F190" i="7" s="1"/>
  <c r="E190" i="7"/>
  <c r="H190" i="7" s="1"/>
  <c r="K191" i="7"/>
  <c r="L191" i="7" s="1"/>
  <c r="J192" i="7"/>
  <c r="M191" i="7" l="1"/>
  <c r="N191" i="7"/>
  <c r="D192" i="7"/>
  <c r="C191" i="7"/>
  <c r="I191" i="7" s="1"/>
  <c r="B191" i="7"/>
  <c r="F191" i="7" s="1"/>
  <c r="E191" i="7"/>
  <c r="H191" i="7" s="1"/>
  <c r="G191" i="7"/>
  <c r="K192" i="7"/>
  <c r="L192" i="7" s="1"/>
  <c r="J193" i="7"/>
  <c r="M192" i="7" l="1"/>
  <c r="N192" i="7"/>
  <c r="D193" i="7"/>
  <c r="C192" i="7"/>
  <c r="I192" i="7" s="1"/>
  <c r="B192" i="7"/>
  <c r="F192" i="7" s="1"/>
  <c r="E192" i="7"/>
  <c r="H192" i="7" s="1"/>
  <c r="G192" i="7"/>
  <c r="K193" i="7"/>
  <c r="L193" i="7" s="1"/>
  <c r="J194" i="7"/>
  <c r="M193" i="7" l="1"/>
  <c r="N193" i="7"/>
  <c r="D194" i="7"/>
  <c r="C193" i="7"/>
  <c r="I193" i="7" s="1"/>
  <c r="B193" i="7"/>
  <c r="F193" i="7" s="1"/>
  <c r="E193" i="7"/>
  <c r="H193" i="7" s="1"/>
  <c r="G193" i="7"/>
  <c r="K194" i="7"/>
  <c r="L194" i="7" s="1"/>
  <c r="J195" i="7"/>
  <c r="M194" i="7" l="1"/>
  <c r="D195" i="7"/>
  <c r="N194" i="7"/>
  <c r="E194" i="7"/>
  <c r="H194" i="7" s="1"/>
  <c r="B194" i="7"/>
  <c r="F194" i="7" s="1"/>
  <c r="C194" i="7"/>
  <c r="I194" i="7" s="1"/>
  <c r="G194" i="7"/>
  <c r="K195" i="7"/>
  <c r="L195" i="7" s="1"/>
  <c r="J196" i="7"/>
  <c r="M195" i="7" l="1"/>
  <c r="D196" i="7"/>
  <c r="N195" i="7"/>
  <c r="C195" i="7"/>
  <c r="I195" i="7" s="1"/>
  <c r="E195" i="7"/>
  <c r="H195" i="7" s="1"/>
  <c r="G195" i="7"/>
  <c r="B195" i="7"/>
  <c r="F195" i="7" s="1"/>
  <c r="K196" i="7"/>
  <c r="M196" i="7" s="1"/>
  <c r="J197" i="7"/>
  <c r="D197" i="7" l="1"/>
  <c r="N196" i="7"/>
  <c r="L196" i="7"/>
  <c r="C196" i="7"/>
  <c r="I196" i="7" s="1"/>
  <c r="E196" i="7"/>
  <c r="H196" i="7" s="1"/>
  <c r="G196" i="7"/>
  <c r="B196" i="7"/>
  <c r="F196" i="7" s="1"/>
  <c r="K197" i="7"/>
  <c r="L197" i="7" s="1"/>
  <c r="J198" i="7"/>
  <c r="M197" i="7" l="1"/>
  <c r="N197" i="7"/>
  <c r="D198" i="7"/>
  <c r="B197" i="7"/>
  <c r="F197" i="7" s="1"/>
  <c r="C197" i="7"/>
  <c r="I197" i="7" s="1"/>
  <c r="E197" i="7"/>
  <c r="H197" i="7" s="1"/>
  <c r="G197" i="7"/>
  <c r="K198" i="7"/>
  <c r="L198" i="7" s="1"/>
  <c r="J199" i="7"/>
  <c r="M198" i="7" l="1"/>
  <c r="N198" i="7"/>
  <c r="D199" i="7"/>
  <c r="C198" i="7"/>
  <c r="I198" i="7" s="1"/>
  <c r="B198" i="7"/>
  <c r="F198" i="7" s="1"/>
  <c r="E198" i="7"/>
  <c r="H198" i="7" s="1"/>
  <c r="G198" i="7"/>
  <c r="K199" i="7"/>
  <c r="L199" i="7" s="1"/>
  <c r="J200" i="7"/>
  <c r="M199" i="7" l="1"/>
  <c r="N199" i="7"/>
  <c r="D200" i="7"/>
  <c r="C199" i="7"/>
  <c r="I199" i="7" s="1"/>
  <c r="E199" i="7"/>
  <c r="H199" i="7" s="1"/>
  <c r="B199" i="7"/>
  <c r="F199" i="7" s="1"/>
  <c r="G199" i="7"/>
  <c r="K200" i="7"/>
  <c r="L200" i="7" s="1"/>
  <c r="J201" i="7"/>
  <c r="M200" i="7" l="1"/>
  <c r="N200" i="7"/>
  <c r="D201" i="7"/>
  <c r="G200" i="7"/>
  <c r="B200" i="7"/>
  <c r="F200" i="7" s="1"/>
  <c r="C200" i="7"/>
  <c r="I200" i="7" s="1"/>
  <c r="E200" i="7"/>
  <c r="H200" i="7" s="1"/>
  <c r="K201" i="7"/>
  <c r="L201" i="7" s="1"/>
  <c r="J202" i="7"/>
  <c r="M201" i="7" l="1"/>
  <c r="N201" i="7"/>
  <c r="D202" i="7"/>
  <c r="B201" i="7"/>
  <c r="F201" i="7" s="1"/>
  <c r="C201" i="7"/>
  <c r="I201" i="7" s="1"/>
  <c r="E201" i="7"/>
  <c r="H201" i="7" s="1"/>
  <c r="G201" i="7"/>
  <c r="K202" i="7"/>
  <c r="L202" i="7" s="1"/>
  <c r="J203" i="7"/>
  <c r="M202" i="7" l="1"/>
  <c r="N202" i="7"/>
  <c r="D203" i="7"/>
  <c r="C202" i="7"/>
  <c r="I202" i="7" s="1"/>
  <c r="B202" i="7"/>
  <c r="F202" i="7" s="1"/>
  <c r="E202" i="7"/>
  <c r="H202" i="7" s="1"/>
  <c r="G202" i="7"/>
  <c r="K203" i="7"/>
  <c r="L203" i="7" s="1"/>
  <c r="J204" i="7"/>
  <c r="M203" i="7" l="1"/>
  <c r="D204" i="7"/>
  <c r="N203" i="7"/>
  <c r="C203" i="7"/>
  <c r="I203" i="7" s="1"/>
  <c r="G203" i="7"/>
  <c r="B203" i="7"/>
  <c r="F203" i="7" s="1"/>
  <c r="E203" i="7"/>
  <c r="H203" i="7" s="1"/>
  <c r="K204" i="7"/>
  <c r="L204" i="7" s="1"/>
  <c r="J205" i="7"/>
  <c r="D205" i="7" l="1"/>
  <c r="M204" i="7"/>
  <c r="N204" i="7"/>
  <c r="C204" i="7"/>
  <c r="I204" i="7" s="1"/>
  <c r="E204" i="7"/>
  <c r="H204" i="7" s="1"/>
  <c r="G204" i="7"/>
  <c r="B204" i="7"/>
  <c r="F204" i="7" s="1"/>
  <c r="K205" i="7"/>
  <c r="L205" i="7" s="1"/>
  <c r="J206" i="7"/>
  <c r="M205" i="7" l="1"/>
  <c r="N205" i="7"/>
  <c r="D206" i="7"/>
  <c r="C205" i="7"/>
  <c r="I205" i="7" s="1"/>
  <c r="E205" i="7"/>
  <c r="H205" i="7" s="1"/>
  <c r="G205" i="7"/>
  <c r="B205" i="7"/>
  <c r="F205" i="7" s="1"/>
  <c r="K206" i="7"/>
  <c r="L206" i="7" s="1"/>
  <c r="J207" i="7"/>
  <c r="M206" i="7" l="1"/>
  <c r="N206" i="7"/>
  <c r="D207" i="7"/>
  <c r="B206" i="7"/>
  <c r="F206" i="7" s="1"/>
  <c r="C206" i="7"/>
  <c r="I206" i="7" s="1"/>
  <c r="E206" i="7"/>
  <c r="H206" i="7" s="1"/>
  <c r="G206" i="7"/>
  <c r="K207" i="7"/>
  <c r="L207" i="7" s="1"/>
  <c r="J208" i="7"/>
  <c r="M207" i="7" l="1"/>
  <c r="N207" i="7"/>
  <c r="D208" i="7"/>
  <c r="C207" i="7"/>
  <c r="I207" i="7" s="1"/>
  <c r="B207" i="7"/>
  <c r="F207" i="7" s="1"/>
  <c r="E207" i="7"/>
  <c r="H207" i="7" s="1"/>
  <c r="G207" i="7"/>
  <c r="K208" i="7"/>
  <c r="L208" i="7" s="1"/>
  <c r="J209" i="7"/>
  <c r="M208" i="7" l="1"/>
  <c r="N208" i="7"/>
  <c r="D209" i="7"/>
  <c r="B208" i="7"/>
  <c r="F208" i="7" s="1"/>
  <c r="C208" i="7"/>
  <c r="I208" i="7" s="1"/>
  <c r="E208" i="7"/>
  <c r="H208" i="7" s="1"/>
  <c r="G208" i="7"/>
  <c r="K209" i="7"/>
  <c r="L209" i="7" s="1"/>
  <c r="J210" i="7"/>
  <c r="M209" i="7" l="1"/>
  <c r="N209" i="7"/>
  <c r="D210" i="7"/>
  <c r="C209" i="7"/>
  <c r="I209" i="7" s="1"/>
  <c r="G209" i="7"/>
  <c r="B209" i="7"/>
  <c r="F209" i="7" s="1"/>
  <c r="E209" i="7"/>
  <c r="H209" i="7" s="1"/>
  <c r="K210" i="7"/>
  <c r="L210" i="7" s="1"/>
  <c r="J211" i="7"/>
  <c r="M210" i="7" l="1"/>
  <c r="N210" i="7"/>
  <c r="D211" i="7"/>
  <c r="C210" i="7"/>
  <c r="I210" i="7" s="1"/>
  <c r="E210" i="7"/>
  <c r="H210" i="7" s="1"/>
  <c r="B210" i="7"/>
  <c r="F210" i="7" s="1"/>
  <c r="G210" i="7"/>
  <c r="K211" i="7"/>
  <c r="L211" i="7" s="1"/>
  <c r="J212" i="7"/>
  <c r="M211" i="7" l="1"/>
  <c r="D212" i="7"/>
  <c r="N211" i="7"/>
  <c r="C211" i="7"/>
  <c r="I211" i="7" s="1"/>
  <c r="E211" i="7"/>
  <c r="H211" i="7" s="1"/>
  <c r="G211" i="7"/>
  <c r="B211" i="7"/>
  <c r="F211" i="7" s="1"/>
  <c r="K212" i="7"/>
  <c r="L212" i="7" s="1"/>
  <c r="J213" i="7"/>
  <c r="M212" i="7" l="1"/>
  <c r="D213" i="7"/>
  <c r="N212" i="7"/>
  <c r="C212" i="7"/>
  <c r="I212" i="7" s="1"/>
  <c r="E212" i="7"/>
  <c r="H212" i="7" s="1"/>
  <c r="G212" i="7"/>
  <c r="B212" i="7"/>
  <c r="F212" i="7" s="1"/>
  <c r="K213" i="7"/>
  <c r="M213" i="7" s="1"/>
  <c r="J214" i="7"/>
  <c r="D214" i="7" l="1"/>
  <c r="N213" i="7"/>
  <c r="L213" i="7"/>
  <c r="B213" i="7"/>
  <c r="F213" i="7" s="1"/>
  <c r="C213" i="7"/>
  <c r="I213" i="7" s="1"/>
  <c r="E213" i="7"/>
  <c r="H213" i="7" s="1"/>
  <c r="G213" i="7"/>
  <c r="K214" i="7"/>
  <c r="L214" i="7" s="1"/>
  <c r="J215" i="7"/>
  <c r="M214" i="7" l="1"/>
  <c r="N214" i="7"/>
  <c r="D215" i="7"/>
  <c r="B214" i="7"/>
  <c r="F214" i="7" s="1"/>
  <c r="C214" i="7"/>
  <c r="I214" i="7" s="1"/>
  <c r="E214" i="7"/>
  <c r="H214" i="7" s="1"/>
  <c r="G214" i="7"/>
  <c r="K215" i="7"/>
  <c r="L215" i="7" s="1"/>
  <c r="J216" i="7"/>
  <c r="M215" i="7" l="1"/>
  <c r="N215" i="7"/>
  <c r="D216" i="7"/>
  <c r="G215" i="7"/>
  <c r="B215" i="7"/>
  <c r="F215" i="7" s="1"/>
  <c r="C215" i="7"/>
  <c r="I215" i="7" s="1"/>
  <c r="E215" i="7"/>
  <c r="H215" i="7" s="1"/>
  <c r="K216" i="7"/>
  <c r="L216" i="7" s="1"/>
  <c r="J217" i="7"/>
  <c r="M216" i="7" l="1"/>
  <c r="N216" i="7"/>
  <c r="D217" i="7"/>
  <c r="C216" i="7"/>
  <c r="I216" i="7" s="1"/>
  <c r="E216" i="7"/>
  <c r="H216" i="7" s="1"/>
  <c r="B216" i="7"/>
  <c r="F216" i="7" s="1"/>
  <c r="G216" i="7"/>
  <c r="K217" i="7"/>
  <c r="L217" i="7" s="1"/>
  <c r="J218" i="7"/>
  <c r="M217" i="7" l="1"/>
  <c r="N217" i="7"/>
  <c r="D218" i="7"/>
  <c r="C217" i="7"/>
  <c r="I217" i="7" s="1"/>
  <c r="B217" i="7"/>
  <c r="F217" i="7" s="1"/>
  <c r="E217" i="7"/>
  <c r="H217" i="7" s="1"/>
  <c r="G217" i="7"/>
  <c r="K218" i="7"/>
  <c r="L218" i="7" s="1"/>
  <c r="J219" i="7"/>
  <c r="M218" i="7" l="1"/>
  <c r="N218" i="7"/>
  <c r="D219" i="7"/>
  <c r="C218" i="7"/>
  <c r="I218" i="7" s="1"/>
  <c r="B218" i="7"/>
  <c r="F218" i="7" s="1"/>
  <c r="E218" i="7"/>
  <c r="H218" i="7" s="1"/>
  <c r="G218" i="7"/>
  <c r="K219" i="7"/>
  <c r="L219" i="7" s="1"/>
  <c r="J220" i="7"/>
  <c r="N219" i="7" l="1"/>
  <c r="M219" i="7"/>
  <c r="D220" i="7"/>
  <c r="C219" i="7"/>
  <c r="I219" i="7" s="1"/>
  <c r="E219" i="7"/>
  <c r="H219" i="7" s="1"/>
  <c r="G219" i="7"/>
  <c r="B219" i="7"/>
  <c r="F219" i="7" s="1"/>
  <c r="K220" i="7"/>
  <c r="L220" i="7" s="1"/>
  <c r="J221" i="7"/>
  <c r="M220" i="7" l="1"/>
  <c r="N220" i="7"/>
  <c r="D221" i="7"/>
  <c r="C220" i="7"/>
  <c r="I220" i="7" s="1"/>
  <c r="E220" i="7"/>
  <c r="H220" i="7" s="1"/>
  <c r="G220" i="7"/>
  <c r="B220" i="7"/>
  <c r="F220" i="7" s="1"/>
  <c r="K221" i="7"/>
  <c r="L221" i="7" s="1"/>
  <c r="J222" i="7"/>
  <c r="M221" i="7" l="1"/>
  <c r="N221" i="7"/>
  <c r="D222" i="7"/>
  <c r="E221" i="7"/>
  <c r="H221" i="7" s="1"/>
  <c r="B221" i="7"/>
  <c r="F221" i="7" s="1"/>
  <c r="C221" i="7"/>
  <c r="I221" i="7" s="1"/>
  <c r="G221" i="7"/>
  <c r="K222" i="7"/>
  <c r="L222" i="7" s="1"/>
  <c r="J223" i="7"/>
  <c r="M222" i="7" l="1"/>
  <c r="N222" i="7"/>
  <c r="D223" i="7"/>
  <c r="C222" i="7"/>
  <c r="I222" i="7" s="1"/>
  <c r="B222" i="7"/>
  <c r="F222" i="7" s="1"/>
  <c r="E222" i="7"/>
  <c r="H222" i="7" s="1"/>
  <c r="G222" i="7"/>
  <c r="K223" i="7"/>
  <c r="L223" i="7" s="1"/>
  <c r="J224" i="7"/>
  <c r="N223" i="7" l="1"/>
  <c r="M223" i="7"/>
  <c r="D224" i="7"/>
  <c r="C223" i="7"/>
  <c r="I223" i="7" s="1"/>
  <c r="E223" i="7"/>
  <c r="H223" i="7" s="1"/>
  <c r="G223" i="7"/>
  <c r="B223" i="7"/>
  <c r="F223" i="7" s="1"/>
  <c r="K224" i="7"/>
  <c r="L224" i="7" s="1"/>
  <c r="J225" i="7"/>
  <c r="M224" i="7" l="1"/>
  <c r="N224" i="7"/>
  <c r="D225" i="7"/>
  <c r="C224" i="7"/>
  <c r="I224" i="7" s="1"/>
  <c r="E224" i="7"/>
  <c r="H224" i="7" s="1"/>
  <c r="G224" i="7"/>
  <c r="B224" i="7"/>
  <c r="F224" i="7" s="1"/>
  <c r="K225" i="7"/>
  <c r="L225" i="7" s="1"/>
  <c r="J226" i="7"/>
  <c r="M225" i="7" l="1"/>
  <c r="N225" i="7"/>
  <c r="D226" i="7"/>
  <c r="C225" i="7"/>
  <c r="I225" i="7" s="1"/>
  <c r="G225" i="7"/>
  <c r="B225" i="7"/>
  <c r="F225" i="7" s="1"/>
  <c r="E225" i="7"/>
  <c r="H225" i="7" s="1"/>
  <c r="K226" i="7"/>
  <c r="L226" i="7" s="1"/>
  <c r="J227" i="7"/>
  <c r="M226" i="7" l="1"/>
  <c r="N226" i="7"/>
  <c r="D227" i="7"/>
  <c r="B226" i="7"/>
  <c r="F226" i="7" s="1"/>
  <c r="C226" i="7"/>
  <c r="I226" i="7" s="1"/>
  <c r="E226" i="7"/>
  <c r="H226" i="7" s="1"/>
  <c r="G226" i="7"/>
  <c r="K227" i="7"/>
  <c r="L227" i="7" s="1"/>
  <c r="J228" i="7"/>
  <c r="M227" i="7" l="1"/>
  <c r="N227" i="7"/>
  <c r="D228" i="7"/>
  <c r="C227" i="7"/>
  <c r="I227" i="7" s="1"/>
  <c r="G227" i="7"/>
  <c r="B227" i="7"/>
  <c r="F227" i="7" s="1"/>
  <c r="E227" i="7"/>
  <c r="H227" i="7" s="1"/>
  <c r="K228" i="7"/>
  <c r="L228" i="7" s="1"/>
  <c r="J229" i="7"/>
  <c r="M228" i="7" l="1"/>
  <c r="N228" i="7"/>
  <c r="D229" i="7"/>
  <c r="C228" i="7"/>
  <c r="I228" i="7" s="1"/>
  <c r="G228" i="7"/>
  <c r="B228" i="7"/>
  <c r="F228" i="7" s="1"/>
  <c r="E228" i="7"/>
  <c r="H228" i="7" s="1"/>
  <c r="K229" i="7"/>
  <c r="L229" i="7" s="1"/>
  <c r="J230" i="7"/>
  <c r="M229" i="7" l="1"/>
  <c r="N229" i="7"/>
  <c r="D230" i="7"/>
  <c r="C229" i="7"/>
  <c r="I229" i="7" s="1"/>
  <c r="G229" i="7"/>
  <c r="B229" i="7"/>
  <c r="F229" i="7" s="1"/>
  <c r="E229" i="7"/>
  <c r="H229" i="7" s="1"/>
  <c r="K230" i="7"/>
  <c r="L230" i="7" s="1"/>
  <c r="J231" i="7"/>
  <c r="M230" i="7" l="1"/>
  <c r="N230" i="7"/>
  <c r="D231" i="7"/>
  <c r="C230" i="7"/>
  <c r="I230" i="7" s="1"/>
  <c r="G230" i="7"/>
  <c r="B230" i="7"/>
  <c r="F230" i="7" s="1"/>
  <c r="E230" i="7"/>
  <c r="H230" i="7" s="1"/>
  <c r="K231" i="7"/>
  <c r="L231" i="7" s="1"/>
  <c r="J232" i="7"/>
  <c r="M231" i="7" l="1"/>
  <c r="N231" i="7"/>
  <c r="D232" i="7"/>
  <c r="C231" i="7"/>
  <c r="I231" i="7" s="1"/>
  <c r="B231" i="7"/>
  <c r="F231" i="7" s="1"/>
  <c r="E231" i="7"/>
  <c r="H231" i="7" s="1"/>
  <c r="G231" i="7"/>
  <c r="K232" i="7"/>
  <c r="L232" i="7" s="1"/>
  <c r="J233" i="7"/>
  <c r="M232" i="7" l="1"/>
  <c r="N232" i="7"/>
  <c r="D233" i="7"/>
  <c r="C232" i="7"/>
  <c r="I232" i="7" s="1"/>
  <c r="B232" i="7"/>
  <c r="F232" i="7" s="1"/>
  <c r="E232" i="7"/>
  <c r="H232" i="7" s="1"/>
  <c r="G232" i="7"/>
  <c r="K233" i="7"/>
  <c r="L233" i="7" s="1"/>
  <c r="J234" i="7"/>
  <c r="M233" i="7" l="1"/>
  <c r="N233" i="7"/>
  <c r="D234" i="7"/>
  <c r="E233" i="7"/>
  <c r="H233" i="7" s="1"/>
  <c r="B233" i="7"/>
  <c r="F233" i="7" s="1"/>
  <c r="C233" i="7"/>
  <c r="I233" i="7" s="1"/>
  <c r="G233" i="7"/>
  <c r="K234" i="7"/>
  <c r="L234" i="7" s="1"/>
  <c r="J235" i="7"/>
  <c r="N234" i="7" l="1"/>
  <c r="M234" i="7"/>
  <c r="D235" i="7"/>
  <c r="E234" i="7"/>
  <c r="H234" i="7" s="1"/>
  <c r="B234" i="7"/>
  <c r="F234" i="7" s="1"/>
  <c r="C234" i="7"/>
  <c r="I234" i="7" s="1"/>
  <c r="G234" i="7"/>
  <c r="K235" i="7"/>
  <c r="L235" i="7" s="1"/>
  <c r="J236" i="7"/>
  <c r="M235" i="7" l="1"/>
  <c r="N235" i="7"/>
  <c r="D236" i="7"/>
  <c r="C235" i="7"/>
  <c r="I235" i="7" s="1"/>
  <c r="E235" i="7"/>
  <c r="H235" i="7" s="1"/>
  <c r="B235" i="7"/>
  <c r="F235" i="7" s="1"/>
  <c r="G235" i="7"/>
  <c r="K236" i="7"/>
  <c r="L236" i="7" s="1"/>
  <c r="J237" i="7"/>
  <c r="M236" i="7" l="1"/>
  <c r="D237" i="7"/>
  <c r="N236" i="7"/>
  <c r="C236" i="7"/>
  <c r="I236" i="7" s="1"/>
  <c r="E236" i="7"/>
  <c r="H236" i="7" s="1"/>
  <c r="B236" i="7"/>
  <c r="F236" i="7" s="1"/>
  <c r="G236" i="7"/>
  <c r="K237" i="7"/>
  <c r="L237" i="7" s="1"/>
  <c r="J238" i="7"/>
  <c r="D238" i="7" l="1"/>
  <c r="M237" i="7"/>
  <c r="N237" i="7"/>
  <c r="C237" i="7"/>
  <c r="I237" i="7" s="1"/>
  <c r="E237" i="7"/>
  <c r="H237" i="7" s="1"/>
  <c r="G237" i="7"/>
  <c r="B237" i="7"/>
  <c r="F237" i="7" s="1"/>
  <c r="K238" i="7"/>
  <c r="L238" i="7" s="1"/>
  <c r="J239" i="7"/>
  <c r="M238" i="7" l="1"/>
  <c r="N238" i="7"/>
  <c r="D239" i="7"/>
  <c r="C238" i="7"/>
  <c r="I238" i="7" s="1"/>
  <c r="E238" i="7"/>
  <c r="H238" i="7" s="1"/>
  <c r="G238" i="7"/>
  <c r="B238" i="7"/>
  <c r="F238" i="7" s="1"/>
  <c r="K239" i="7"/>
  <c r="L239" i="7" s="1"/>
  <c r="J240" i="7"/>
  <c r="M239" i="7" l="1"/>
  <c r="N239" i="7"/>
  <c r="D240" i="7"/>
  <c r="G239" i="7"/>
  <c r="B239" i="7"/>
  <c r="F239" i="7" s="1"/>
  <c r="C239" i="7"/>
  <c r="I239" i="7" s="1"/>
  <c r="E239" i="7"/>
  <c r="H239" i="7" s="1"/>
  <c r="K240" i="7"/>
  <c r="L240" i="7" s="1"/>
  <c r="J241" i="7"/>
  <c r="M240" i="7" l="1"/>
  <c r="N240" i="7"/>
  <c r="D241" i="7"/>
  <c r="G240" i="7"/>
  <c r="B240" i="7"/>
  <c r="F240" i="7" s="1"/>
  <c r="C240" i="7"/>
  <c r="I240" i="7" s="1"/>
  <c r="E240" i="7"/>
  <c r="H240" i="7" s="1"/>
  <c r="K241" i="7"/>
  <c r="L241" i="7" s="1"/>
  <c r="J242" i="7"/>
  <c r="M241" i="7" l="1"/>
  <c r="N241" i="7"/>
  <c r="D242" i="7"/>
  <c r="B241" i="7"/>
  <c r="F241" i="7" s="1"/>
  <c r="C241" i="7"/>
  <c r="I241" i="7" s="1"/>
  <c r="E241" i="7"/>
  <c r="H241" i="7" s="1"/>
  <c r="G241" i="7"/>
  <c r="K242" i="7"/>
  <c r="L242" i="7" s="1"/>
  <c r="J243" i="7"/>
  <c r="M242" i="7" l="1"/>
  <c r="N242" i="7"/>
  <c r="D243" i="7"/>
  <c r="C242" i="7"/>
  <c r="I242" i="7" s="1"/>
  <c r="G242" i="7"/>
  <c r="B242" i="7"/>
  <c r="F242" i="7" s="1"/>
  <c r="E242" i="7"/>
  <c r="H242" i="7" s="1"/>
  <c r="K243" i="7"/>
  <c r="L243" i="7" s="1"/>
  <c r="J244" i="7"/>
  <c r="M243" i="7" l="1"/>
  <c r="N243" i="7"/>
  <c r="D244" i="7"/>
  <c r="C243" i="7"/>
  <c r="I243" i="7" s="1"/>
  <c r="E243" i="7"/>
  <c r="H243" i="7" s="1"/>
  <c r="G243" i="7"/>
  <c r="B243" i="7"/>
  <c r="F243" i="7" s="1"/>
  <c r="K244" i="7"/>
  <c r="L244" i="7" s="1"/>
  <c r="J245" i="7"/>
  <c r="M244" i="7" l="1"/>
  <c r="N244" i="7"/>
  <c r="D245" i="7"/>
  <c r="C244" i="7"/>
  <c r="I244" i="7" s="1"/>
  <c r="G244" i="7"/>
  <c r="B244" i="7"/>
  <c r="F244" i="7" s="1"/>
  <c r="E244" i="7"/>
  <c r="H244" i="7" s="1"/>
  <c r="K245" i="7"/>
  <c r="L245" i="7" s="1"/>
  <c r="J246" i="7"/>
  <c r="M245" i="7" l="1"/>
  <c r="N245" i="7"/>
  <c r="D246" i="7"/>
  <c r="G245" i="7"/>
  <c r="B245" i="7"/>
  <c r="F245" i="7" s="1"/>
  <c r="C245" i="7"/>
  <c r="I245" i="7" s="1"/>
  <c r="E245" i="7"/>
  <c r="H245" i="7" s="1"/>
  <c r="K246" i="7"/>
  <c r="L246" i="7" s="1"/>
  <c r="J247" i="7"/>
  <c r="M246" i="7" l="1"/>
  <c r="N246" i="7"/>
  <c r="D247" i="7"/>
  <c r="C246" i="7"/>
  <c r="I246" i="7" s="1"/>
  <c r="G246" i="7"/>
  <c r="B246" i="7"/>
  <c r="F246" i="7" s="1"/>
  <c r="E246" i="7"/>
  <c r="H246" i="7" s="1"/>
  <c r="K247" i="7"/>
  <c r="L247" i="7" s="1"/>
  <c r="J248" i="7"/>
  <c r="M247" i="7" l="1"/>
  <c r="N247" i="7"/>
  <c r="D248" i="7"/>
  <c r="B247" i="7"/>
  <c r="F247" i="7" s="1"/>
  <c r="C247" i="7"/>
  <c r="I247" i="7" s="1"/>
  <c r="E247" i="7"/>
  <c r="H247" i="7" s="1"/>
  <c r="G247" i="7"/>
  <c r="K248" i="7"/>
  <c r="L248" i="7" s="1"/>
  <c r="J249" i="7"/>
  <c r="M248" i="7" l="1"/>
  <c r="N248" i="7"/>
  <c r="D249" i="7"/>
  <c r="G248" i="7"/>
  <c r="B248" i="7"/>
  <c r="F248" i="7" s="1"/>
  <c r="C248" i="7"/>
  <c r="I248" i="7" s="1"/>
  <c r="E248" i="7"/>
  <c r="H248" i="7" s="1"/>
  <c r="K249" i="7"/>
  <c r="L249" i="7" s="1"/>
  <c r="J250" i="7"/>
  <c r="M249" i="7" l="1"/>
  <c r="N249" i="7"/>
  <c r="D250" i="7"/>
  <c r="C249" i="7"/>
  <c r="I249" i="7" s="1"/>
  <c r="G249" i="7"/>
  <c r="B249" i="7"/>
  <c r="F249" i="7" s="1"/>
  <c r="E249" i="7"/>
  <c r="H249" i="7" s="1"/>
  <c r="K250" i="7"/>
  <c r="L250" i="7" s="1"/>
  <c r="J251" i="7"/>
  <c r="M250" i="7" l="1"/>
  <c r="N250" i="7"/>
  <c r="D251" i="7"/>
  <c r="C250" i="7"/>
  <c r="I250" i="7" s="1"/>
  <c r="G250" i="7"/>
  <c r="B250" i="7"/>
  <c r="F250" i="7" s="1"/>
  <c r="E250" i="7"/>
  <c r="H250" i="7" s="1"/>
  <c r="K251" i="7"/>
  <c r="L251" i="7" s="1"/>
  <c r="J252" i="7"/>
  <c r="M251" i="7" l="1"/>
  <c r="N251" i="7"/>
  <c r="D252" i="7"/>
  <c r="E251" i="7"/>
  <c r="H251" i="7" s="1"/>
  <c r="B251" i="7"/>
  <c r="F251" i="7" s="1"/>
  <c r="C251" i="7"/>
  <c r="I251" i="7" s="1"/>
  <c r="G251" i="7"/>
  <c r="K252" i="7"/>
  <c r="L252" i="7" s="1"/>
  <c r="J253" i="7"/>
  <c r="M252" i="7" l="1"/>
  <c r="N252" i="7"/>
  <c r="D253" i="7"/>
  <c r="E252" i="7"/>
  <c r="H252" i="7" s="1"/>
  <c r="B252" i="7"/>
  <c r="F252" i="7" s="1"/>
  <c r="C252" i="7"/>
  <c r="I252" i="7" s="1"/>
  <c r="G252" i="7"/>
  <c r="K253" i="7"/>
  <c r="L253" i="7" s="1"/>
  <c r="J254" i="7"/>
  <c r="N253" i="7" l="1"/>
  <c r="M253" i="7"/>
  <c r="D254" i="7"/>
  <c r="C253" i="7"/>
  <c r="I253" i="7" s="1"/>
  <c r="G253" i="7"/>
  <c r="B253" i="7"/>
  <c r="F253" i="7" s="1"/>
  <c r="E253" i="7"/>
  <c r="H253" i="7" s="1"/>
  <c r="K254" i="7"/>
  <c r="L254" i="7" s="1"/>
  <c r="J255" i="7"/>
  <c r="M254" i="7" l="1"/>
  <c r="N254" i="7"/>
  <c r="D255" i="7"/>
  <c r="C254" i="7"/>
  <c r="I254" i="7" s="1"/>
  <c r="E254" i="7"/>
  <c r="H254" i="7" s="1"/>
  <c r="G254" i="7"/>
  <c r="B254" i="7"/>
  <c r="F254" i="7" s="1"/>
  <c r="K255" i="7"/>
  <c r="L255" i="7" s="1"/>
  <c r="J256" i="7"/>
  <c r="M255" i="7" l="1"/>
  <c r="N255" i="7"/>
  <c r="D256" i="7"/>
  <c r="G255" i="7"/>
  <c r="B255" i="7"/>
  <c r="F255" i="7" s="1"/>
  <c r="C255" i="7"/>
  <c r="I255" i="7" s="1"/>
  <c r="E255" i="7"/>
  <c r="H255" i="7" s="1"/>
  <c r="K256" i="7"/>
  <c r="L256" i="7" s="1"/>
  <c r="J257" i="7"/>
  <c r="M256" i="7" l="1"/>
  <c r="N256" i="7"/>
  <c r="D257" i="7"/>
  <c r="C256" i="7"/>
  <c r="I256" i="7" s="1"/>
  <c r="G256" i="7"/>
  <c r="B256" i="7"/>
  <c r="F256" i="7" s="1"/>
  <c r="E256" i="7"/>
  <c r="H256" i="7" s="1"/>
  <c r="K257" i="7"/>
  <c r="L257" i="7" s="1"/>
  <c r="J258" i="7"/>
  <c r="M257" i="7" l="1"/>
  <c r="N257" i="7"/>
  <c r="D258" i="7"/>
  <c r="C257" i="7"/>
  <c r="I257" i="7" s="1"/>
  <c r="E257" i="7"/>
  <c r="H257" i="7" s="1"/>
  <c r="G257" i="7"/>
  <c r="B257" i="7"/>
  <c r="F257" i="7" s="1"/>
  <c r="K258" i="7"/>
  <c r="L258" i="7" s="1"/>
  <c r="J259" i="7"/>
  <c r="M258" i="7" l="1"/>
  <c r="N258" i="7"/>
  <c r="D259" i="7"/>
  <c r="B258" i="7"/>
  <c r="F258" i="7" s="1"/>
  <c r="C258" i="7"/>
  <c r="I258" i="7" s="1"/>
  <c r="E258" i="7"/>
  <c r="H258" i="7" s="1"/>
  <c r="G258" i="7"/>
  <c r="K259" i="7"/>
  <c r="L259" i="7" s="1"/>
  <c r="J260" i="7"/>
  <c r="M259" i="7" l="1"/>
  <c r="D260" i="7"/>
  <c r="N259" i="7"/>
  <c r="C259" i="7"/>
  <c r="I259" i="7" s="1"/>
  <c r="B259" i="7"/>
  <c r="F259" i="7" s="1"/>
  <c r="E259" i="7"/>
  <c r="H259" i="7" s="1"/>
  <c r="G259" i="7"/>
  <c r="K260" i="7"/>
  <c r="M260" i="7" s="1"/>
  <c r="J261" i="7"/>
  <c r="D261" i="7" l="1"/>
  <c r="N260" i="7"/>
  <c r="L260" i="7"/>
  <c r="C260" i="7"/>
  <c r="I260" i="7" s="1"/>
  <c r="E260" i="7"/>
  <c r="H260" i="7" s="1"/>
  <c r="G260" i="7"/>
  <c r="B260" i="7"/>
  <c r="F260" i="7" s="1"/>
  <c r="K261" i="7"/>
  <c r="L261" i="7" s="1"/>
  <c r="J262" i="7"/>
  <c r="M261" i="7" l="1"/>
  <c r="N261" i="7"/>
  <c r="D262" i="7"/>
  <c r="B261" i="7"/>
  <c r="F261" i="7" s="1"/>
  <c r="C261" i="7"/>
  <c r="I261" i="7" s="1"/>
  <c r="E261" i="7"/>
  <c r="H261" i="7" s="1"/>
  <c r="G261" i="7"/>
  <c r="K262" i="7"/>
  <c r="L262" i="7" s="1"/>
  <c r="J263" i="7"/>
  <c r="M262" i="7" l="1"/>
  <c r="N262" i="7"/>
  <c r="D263" i="7"/>
  <c r="B262" i="7"/>
  <c r="F262" i="7" s="1"/>
  <c r="C262" i="7"/>
  <c r="I262" i="7" s="1"/>
  <c r="E262" i="7"/>
  <c r="H262" i="7" s="1"/>
  <c r="G262" i="7"/>
  <c r="K263" i="7"/>
  <c r="L263" i="7" s="1"/>
  <c r="J264" i="7"/>
  <c r="M263" i="7" l="1"/>
  <c r="D264" i="7"/>
  <c r="N263" i="7"/>
  <c r="C263" i="7"/>
  <c r="I263" i="7" s="1"/>
  <c r="E263" i="7"/>
  <c r="H263" i="7" s="1"/>
  <c r="B263" i="7"/>
  <c r="F263" i="7" s="1"/>
  <c r="G263" i="7"/>
  <c r="K264" i="7"/>
  <c r="L264" i="7" s="1"/>
  <c r="J265" i="7"/>
  <c r="M264" i="7" l="1"/>
  <c r="D265" i="7"/>
  <c r="N264" i="7"/>
  <c r="C264" i="7"/>
  <c r="I264" i="7" s="1"/>
  <c r="E264" i="7"/>
  <c r="H264" i="7" s="1"/>
  <c r="G264" i="7"/>
  <c r="B264" i="7"/>
  <c r="F264" i="7" s="1"/>
  <c r="K265" i="7"/>
  <c r="L265" i="7" s="1"/>
  <c r="J266" i="7"/>
  <c r="D266" i="7" l="1"/>
  <c r="M265" i="7"/>
  <c r="N265" i="7"/>
  <c r="C265" i="7"/>
  <c r="I265" i="7" s="1"/>
  <c r="E265" i="7"/>
  <c r="H265" i="7" s="1"/>
  <c r="G265" i="7"/>
  <c r="B265" i="7"/>
  <c r="F265" i="7" s="1"/>
  <c r="K266" i="7"/>
  <c r="L266" i="7" s="1"/>
  <c r="J267" i="7"/>
  <c r="M266" i="7" l="1"/>
  <c r="N266" i="7"/>
  <c r="D267" i="7"/>
  <c r="B266" i="7"/>
  <c r="F266" i="7" s="1"/>
  <c r="C266" i="7"/>
  <c r="I266" i="7" s="1"/>
  <c r="E266" i="7"/>
  <c r="H266" i="7" s="1"/>
  <c r="G266" i="7"/>
  <c r="K267" i="7"/>
  <c r="L267" i="7" s="1"/>
  <c r="J268" i="7"/>
  <c r="M267" i="7" l="1"/>
  <c r="N267" i="7"/>
  <c r="D268" i="7"/>
  <c r="C267" i="7"/>
  <c r="I267" i="7" s="1"/>
  <c r="B267" i="7"/>
  <c r="F267" i="7" s="1"/>
  <c r="E267" i="7"/>
  <c r="H267" i="7" s="1"/>
  <c r="G267" i="7"/>
  <c r="K268" i="7"/>
  <c r="L268" i="7" s="1"/>
  <c r="J269" i="7"/>
  <c r="M268" i="7" l="1"/>
  <c r="N268" i="7"/>
  <c r="D269" i="7"/>
  <c r="G268" i="7"/>
  <c r="B268" i="7"/>
  <c r="F268" i="7" s="1"/>
  <c r="C268" i="7"/>
  <c r="I268" i="7" s="1"/>
  <c r="E268" i="7"/>
  <c r="H268" i="7" s="1"/>
  <c r="K269" i="7"/>
  <c r="L269" i="7" s="1"/>
  <c r="J270" i="7"/>
  <c r="M269" i="7" l="1"/>
  <c r="N269" i="7"/>
  <c r="D270" i="7"/>
  <c r="C269" i="7"/>
  <c r="I269" i="7" s="1"/>
  <c r="E269" i="7"/>
  <c r="H269" i="7" s="1"/>
  <c r="G269" i="7"/>
  <c r="B269" i="7"/>
  <c r="F269" i="7" s="1"/>
  <c r="K270" i="7"/>
  <c r="L270" i="7" s="1"/>
  <c r="J271" i="7"/>
  <c r="M270" i="7" l="1"/>
  <c r="N270" i="7"/>
  <c r="D271" i="7"/>
  <c r="C270" i="7"/>
  <c r="I270" i="7" s="1"/>
  <c r="G270" i="7"/>
  <c r="B270" i="7"/>
  <c r="F270" i="7" s="1"/>
  <c r="E270" i="7"/>
  <c r="H270" i="7" s="1"/>
  <c r="K271" i="7"/>
  <c r="L271" i="7" s="1"/>
  <c r="J272" i="7"/>
  <c r="M271" i="7" l="1"/>
  <c r="N271" i="7"/>
  <c r="D272" i="7"/>
  <c r="C271" i="7"/>
  <c r="I271" i="7" s="1"/>
  <c r="E271" i="7"/>
  <c r="H271" i="7" s="1"/>
  <c r="B271" i="7"/>
  <c r="F271" i="7" s="1"/>
  <c r="G271" i="7"/>
  <c r="K272" i="7"/>
  <c r="L272" i="7" s="1"/>
  <c r="J273" i="7"/>
  <c r="M272" i="7" l="1"/>
  <c r="N272" i="7"/>
  <c r="D273" i="7"/>
  <c r="C272" i="7"/>
  <c r="I272" i="7" s="1"/>
  <c r="E272" i="7"/>
  <c r="H272" i="7" s="1"/>
  <c r="G272" i="7"/>
  <c r="B272" i="7"/>
  <c r="F272" i="7" s="1"/>
  <c r="K273" i="7"/>
  <c r="L273" i="7" s="1"/>
  <c r="J274" i="7"/>
  <c r="M273" i="7" l="1"/>
  <c r="N273" i="7"/>
  <c r="D274" i="7"/>
  <c r="C273" i="7"/>
  <c r="I273" i="7" s="1"/>
  <c r="E273" i="7"/>
  <c r="H273" i="7" s="1"/>
  <c r="G273" i="7"/>
  <c r="B273" i="7"/>
  <c r="F273" i="7" s="1"/>
  <c r="K274" i="7"/>
  <c r="L274" i="7" s="1"/>
  <c r="J275" i="7"/>
  <c r="M274" i="7" l="1"/>
  <c r="N274" i="7"/>
  <c r="D275" i="7"/>
  <c r="C274" i="7"/>
  <c r="I274" i="7" s="1"/>
  <c r="E274" i="7"/>
  <c r="H274" i="7" s="1"/>
  <c r="G274" i="7"/>
  <c r="B274" i="7"/>
  <c r="F274" i="7" s="1"/>
  <c r="K275" i="7"/>
  <c r="L275" i="7" s="1"/>
  <c r="J276" i="7"/>
  <c r="M275" i="7" l="1"/>
  <c r="N275" i="7"/>
  <c r="D276" i="7"/>
  <c r="C275" i="7"/>
  <c r="I275" i="7" s="1"/>
  <c r="G275" i="7"/>
  <c r="B275" i="7"/>
  <c r="F275" i="7" s="1"/>
  <c r="E275" i="7"/>
  <c r="H275" i="7" s="1"/>
  <c r="K276" i="7"/>
  <c r="L276" i="7" s="1"/>
  <c r="J277" i="7"/>
  <c r="M276" i="7" l="1"/>
  <c r="N276" i="7"/>
  <c r="D277" i="7"/>
  <c r="C276" i="7"/>
  <c r="I276" i="7" s="1"/>
  <c r="E276" i="7"/>
  <c r="H276" i="7" s="1"/>
  <c r="B276" i="7"/>
  <c r="F276" i="7" s="1"/>
  <c r="G276" i="7"/>
  <c r="K277" i="7"/>
  <c r="L277" i="7" s="1"/>
  <c r="J278" i="7"/>
  <c r="M277" i="7" l="1"/>
  <c r="N277" i="7"/>
  <c r="D278" i="7"/>
  <c r="C277" i="7"/>
  <c r="I277" i="7" s="1"/>
  <c r="G277" i="7"/>
  <c r="B277" i="7"/>
  <c r="F277" i="7" s="1"/>
  <c r="E277" i="7"/>
  <c r="H277" i="7" s="1"/>
  <c r="K278" i="7"/>
  <c r="L278" i="7" s="1"/>
  <c r="J279" i="7"/>
  <c r="M278" i="7" l="1"/>
  <c r="N278" i="7"/>
  <c r="D279" i="7"/>
  <c r="C278" i="7"/>
  <c r="I278" i="7" s="1"/>
  <c r="E278" i="7"/>
  <c r="H278" i="7" s="1"/>
  <c r="G278" i="7"/>
  <c r="B278" i="7"/>
  <c r="F278" i="7" s="1"/>
  <c r="K279" i="7"/>
  <c r="L279" i="7" s="1"/>
  <c r="J280" i="7"/>
  <c r="M279" i="7" l="1"/>
  <c r="N279" i="7"/>
  <c r="D280" i="7"/>
  <c r="C279" i="7"/>
  <c r="I279" i="7" s="1"/>
  <c r="G279" i="7"/>
  <c r="B279" i="7"/>
  <c r="F279" i="7" s="1"/>
  <c r="E279" i="7"/>
  <c r="H279" i="7" s="1"/>
  <c r="K280" i="7"/>
  <c r="L280" i="7" s="1"/>
  <c r="J281" i="7"/>
  <c r="M280" i="7" l="1"/>
  <c r="N280" i="7"/>
  <c r="D281" i="7"/>
  <c r="B280" i="7"/>
  <c r="F280" i="7" s="1"/>
  <c r="C280" i="7"/>
  <c r="I280" i="7" s="1"/>
  <c r="E280" i="7"/>
  <c r="H280" i="7" s="1"/>
  <c r="G280" i="7"/>
  <c r="K281" i="7"/>
  <c r="L281" i="7" s="1"/>
  <c r="J282" i="7"/>
  <c r="M281" i="7" l="1"/>
  <c r="N281" i="7"/>
  <c r="D282" i="7"/>
  <c r="B281" i="7"/>
  <c r="F281" i="7" s="1"/>
  <c r="C281" i="7"/>
  <c r="I281" i="7" s="1"/>
  <c r="E281" i="7"/>
  <c r="H281" i="7" s="1"/>
  <c r="G281" i="7"/>
  <c r="K282" i="7"/>
  <c r="L282" i="7" s="1"/>
  <c r="J283" i="7"/>
  <c r="M282" i="7" l="1"/>
  <c r="N282" i="7"/>
  <c r="D283" i="7"/>
  <c r="B282" i="7"/>
  <c r="F282" i="7" s="1"/>
  <c r="C282" i="7"/>
  <c r="I282" i="7" s="1"/>
  <c r="E282" i="7"/>
  <c r="H282" i="7" s="1"/>
  <c r="G282" i="7"/>
  <c r="K283" i="7"/>
  <c r="L283" i="7" s="1"/>
  <c r="J284" i="7"/>
  <c r="M283" i="7" l="1"/>
  <c r="N283" i="7"/>
  <c r="D284" i="7"/>
  <c r="B283" i="7"/>
  <c r="F283" i="7" s="1"/>
  <c r="C283" i="7"/>
  <c r="I283" i="7" s="1"/>
  <c r="E283" i="7"/>
  <c r="H283" i="7" s="1"/>
  <c r="G283" i="7"/>
  <c r="K284" i="7"/>
  <c r="L284" i="7" s="1"/>
  <c r="J285" i="7"/>
  <c r="M284" i="7" l="1"/>
  <c r="N284" i="7"/>
  <c r="D285" i="7"/>
  <c r="B284" i="7"/>
  <c r="F284" i="7" s="1"/>
  <c r="C284" i="7"/>
  <c r="I284" i="7" s="1"/>
  <c r="E284" i="7"/>
  <c r="H284" i="7" s="1"/>
  <c r="G284" i="7"/>
  <c r="K285" i="7"/>
  <c r="L285" i="7" s="1"/>
  <c r="J286" i="7"/>
  <c r="M285" i="7" l="1"/>
  <c r="N285" i="7"/>
  <c r="D286" i="7"/>
  <c r="E285" i="7"/>
  <c r="H285" i="7" s="1"/>
  <c r="B285" i="7"/>
  <c r="F285" i="7" s="1"/>
  <c r="C285" i="7"/>
  <c r="I285" i="7" s="1"/>
  <c r="G285" i="7"/>
  <c r="K286" i="7"/>
  <c r="L286" i="7" s="1"/>
  <c r="J287" i="7"/>
  <c r="M286" i="7" l="1"/>
  <c r="N286" i="7"/>
  <c r="D287" i="7"/>
  <c r="C286" i="7"/>
  <c r="I286" i="7" s="1"/>
  <c r="E286" i="7"/>
  <c r="H286" i="7" s="1"/>
  <c r="G286" i="7"/>
  <c r="B286" i="7"/>
  <c r="F286" i="7" s="1"/>
  <c r="K287" i="7"/>
  <c r="L287" i="7" s="1"/>
  <c r="J288" i="7"/>
  <c r="M287" i="7" l="1"/>
  <c r="N287" i="7"/>
  <c r="D288" i="7"/>
  <c r="E287" i="7"/>
  <c r="H287" i="7" s="1"/>
  <c r="B287" i="7"/>
  <c r="F287" i="7" s="1"/>
  <c r="C287" i="7"/>
  <c r="I287" i="7" s="1"/>
  <c r="G287" i="7"/>
  <c r="K288" i="7"/>
  <c r="L288" i="7" s="1"/>
  <c r="J289" i="7"/>
  <c r="N288" i="7" l="1"/>
  <c r="M288" i="7"/>
  <c r="D289" i="7"/>
  <c r="C288" i="7"/>
  <c r="I288" i="7" s="1"/>
  <c r="G288" i="7"/>
  <c r="B288" i="7"/>
  <c r="F288" i="7" s="1"/>
  <c r="E288" i="7"/>
  <c r="H288" i="7" s="1"/>
  <c r="K289" i="7"/>
  <c r="L289" i="7" s="1"/>
  <c r="J290" i="7"/>
  <c r="M289" i="7" l="1"/>
  <c r="N289" i="7"/>
  <c r="D290" i="7"/>
  <c r="B289" i="7"/>
  <c r="F289" i="7" s="1"/>
  <c r="C289" i="7"/>
  <c r="I289" i="7" s="1"/>
  <c r="E289" i="7"/>
  <c r="H289" i="7" s="1"/>
  <c r="G289" i="7"/>
  <c r="K290" i="7"/>
  <c r="L290" i="7" s="1"/>
  <c r="J291" i="7"/>
  <c r="M290" i="7" l="1"/>
  <c r="N290" i="7"/>
  <c r="D291" i="7"/>
  <c r="C290" i="7"/>
  <c r="I290" i="7" s="1"/>
  <c r="E290" i="7"/>
  <c r="H290" i="7" s="1"/>
  <c r="G290" i="7"/>
  <c r="B290" i="7"/>
  <c r="F290" i="7" s="1"/>
  <c r="K291" i="7"/>
  <c r="L291" i="7" s="1"/>
  <c r="J292" i="7"/>
  <c r="M291" i="7" l="1"/>
  <c r="N291" i="7"/>
  <c r="D292" i="7"/>
  <c r="C291" i="7"/>
  <c r="I291" i="7" s="1"/>
  <c r="G291" i="7"/>
  <c r="B291" i="7"/>
  <c r="F291" i="7" s="1"/>
  <c r="E291" i="7"/>
  <c r="H291" i="7" s="1"/>
  <c r="K292" i="7"/>
  <c r="L292" i="7" s="1"/>
  <c r="J293" i="7"/>
  <c r="M292" i="7" l="1"/>
  <c r="N292" i="7"/>
  <c r="D293" i="7"/>
  <c r="B292" i="7"/>
  <c r="F292" i="7" s="1"/>
  <c r="C292" i="7"/>
  <c r="I292" i="7" s="1"/>
  <c r="E292" i="7"/>
  <c r="H292" i="7" s="1"/>
  <c r="G292" i="7"/>
  <c r="K293" i="7"/>
  <c r="L293" i="7" s="1"/>
  <c r="J294" i="7"/>
  <c r="M293" i="7" l="1"/>
  <c r="N293" i="7"/>
  <c r="D294" i="7"/>
  <c r="E293" i="7"/>
  <c r="H293" i="7" s="1"/>
  <c r="B293" i="7"/>
  <c r="F293" i="7" s="1"/>
  <c r="C293" i="7"/>
  <c r="I293" i="7" s="1"/>
  <c r="G293" i="7"/>
  <c r="K294" i="7"/>
  <c r="L294" i="7" s="1"/>
  <c r="J295" i="7"/>
  <c r="M294" i="7" l="1"/>
  <c r="D295" i="7"/>
  <c r="N294" i="7"/>
  <c r="B294" i="7"/>
  <c r="F294" i="7" s="1"/>
  <c r="C294" i="7"/>
  <c r="I294" i="7" s="1"/>
  <c r="E294" i="7"/>
  <c r="H294" i="7" s="1"/>
  <c r="G294" i="7"/>
  <c r="K295" i="7"/>
  <c r="M295" i="7" s="1"/>
  <c r="J296" i="7"/>
  <c r="D296" i="7" l="1"/>
  <c r="N295" i="7"/>
  <c r="L295" i="7"/>
  <c r="C295" i="7"/>
  <c r="I295" i="7" s="1"/>
  <c r="E295" i="7"/>
  <c r="H295" i="7" s="1"/>
  <c r="G295" i="7"/>
  <c r="B295" i="7"/>
  <c r="F295" i="7" s="1"/>
  <c r="K296" i="7"/>
  <c r="L296" i="7" s="1"/>
  <c r="J297" i="7"/>
  <c r="M296" i="7" l="1"/>
  <c r="N296" i="7"/>
  <c r="D297" i="7"/>
  <c r="B296" i="7"/>
  <c r="F296" i="7" s="1"/>
  <c r="C296" i="7"/>
  <c r="I296" i="7" s="1"/>
  <c r="E296" i="7"/>
  <c r="H296" i="7" s="1"/>
  <c r="G296" i="7"/>
  <c r="K297" i="7"/>
  <c r="L297" i="7" s="1"/>
  <c r="J298" i="7"/>
  <c r="M297" i="7" l="1"/>
  <c r="N297" i="7"/>
  <c r="D298" i="7"/>
  <c r="G297" i="7"/>
  <c r="B297" i="7"/>
  <c r="F297" i="7" s="1"/>
  <c r="C297" i="7"/>
  <c r="I297" i="7" s="1"/>
  <c r="E297" i="7"/>
  <c r="H297" i="7" s="1"/>
  <c r="K298" i="7"/>
  <c r="L298" i="7" s="1"/>
  <c r="J299" i="7"/>
  <c r="M298" i="7" l="1"/>
  <c r="N298" i="7"/>
  <c r="D299" i="7"/>
  <c r="B298" i="7"/>
  <c r="F298" i="7" s="1"/>
  <c r="C298" i="7"/>
  <c r="I298" i="7" s="1"/>
  <c r="E298" i="7"/>
  <c r="H298" i="7" s="1"/>
  <c r="G298" i="7"/>
  <c r="K299" i="7"/>
  <c r="L299" i="7" s="1"/>
  <c r="J300" i="7"/>
  <c r="M299" i="7" l="1"/>
  <c r="N299" i="7"/>
  <c r="D300" i="7"/>
  <c r="C299" i="7"/>
  <c r="I299" i="7" s="1"/>
  <c r="G299" i="7"/>
  <c r="B299" i="7"/>
  <c r="F299" i="7" s="1"/>
  <c r="E299" i="7"/>
  <c r="H299" i="7" s="1"/>
  <c r="K300" i="7"/>
  <c r="L300" i="7" s="1"/>
  <c r="J301" i="7"/>
  <c r="M300" i="7" l="1"/>
  <c r="N300" i="7"/>
  <c r="D301" i="7"/>
  <c r="C300" i="7"/>
  <c r="I300" i="7" s="1"/>
  <c r="G300" i="7"/>
  <c r="B300" i="7"/>
  <c r="F300" i="7" s="1"/>
  <c r="E300" i="7"/>
  <c r="H300" i="7" s="1"/>
  <c r="K301" i="7"/>
  <c r="L301" i="7" s="1"/>
  <c r="J302" i="7"/>
  <c r="M301" i="7" l="1"/>
  <c r="N301" i="7"/>
  <c r="D302" i="7"/>
  <c r="C301" i="7"/>
  <c r="I301" i="7" s="1"/>
  <c r="G301" i="7"/>
  <c r="B301" i="7"/>
  <c r="F301" i="7" s="1"/>
  <c r="E301" i="7"/>
  <c r="H301" i="7" s="1"/>
  <c r="K302" i="7"/>
  <c r="L302" i="7" s="1"/>
  <c r="J303" i="7"/>
  <c r="M302" i="7" l="1"/>
  <c r="N302" i="7"/>
  <c r="D303" i="7"/>
  <c r="C302" i="7"/>
  <c r="I302" i="7" s="1"/>
  <c r="G302" i="7"/>
  <c r="B302" i="7"/>
  <c r="F302" i="7" s="1"/>
  <c r="E302" i="7"/>
  <c r="H302" i="7" s="1"/>
  <c r="K303" i="7"/>
  <c r="L303" i="7" s="1"/>
  <c r="J304" i="7"/>
  <c r="M303" i="7" l="1"/>
  <c r="N303" i="7"/>
  <c r="D304" i="7"/>
  <c r="C303" i="7"/>
  <c r="I303" i="7" s="1"/>
  <c r="G303" i="7"/>
  <c r="B303" i="7"/>
  <c r="F303" i="7" s="1"/>
  <c r="E303" i="7"/>
  <c r="H303" i="7" s="1"/>
  <c r="K304" i="7"/>
  <c r="L304" i="7" s="1"/>
  <c r="J305" i="7"/>
  <c r="M304" i="7" l="1"/>
  <c r="N304" i="7"/>
  <c r="D305" i="7"/>
  <c r="G304" i="7"/>
  <c r="B304" i="7"/>
  <c r="F304" i="7" s="1"/>
  <c r="C304" i="7"/>
  <c r="I304" i="7" s="1"/>
  <c r="E304" i="7"/>
  <c r="H304" i="7" s="1"/>
  <c r="K305" i="7"/>
  <c r="L305" i="7" s="1"/>
  <c r="J306" i="7"/>
  <c r="M305" i="7" l="1"/>
  <c r="N305" i="7"/>
  <c r="D306" i="7"/>
  <c r="G305" i="7"/>
  <c r="B305" i="7"/>
  <c r="F305" i="7" s="1"/>
  <c r="C305" i="7"/>
  <c r="I305" i="7" s="1"/>
  <c r="E305" i="7"/>
  <c r="H305" i="7" s="1"/>
  <c r="K306" i="7"/>
  <c r="L306" i="7" s="1"/>
  <c r="J307" i="7"/>
  <c r="M306" i="7" l="1"/>
  <c r="N306" i="7"/>
  <c r="D307" i="7"/>
  <c r="C306" i="7"/>
  <c r="I306" i="7" s="1"/>
  <c r="B306" i="7"/>
  <c r="F306" i="7" s="1"/>
  <c r="E306" i="7"/>
  <c r="H306" i="7" s="1"/>
  <c r="G306" i="7"/>
  <c r="K307" i="7"/>
  <c r="L307" i="7" s="1"/>
  <c r="J308" i="7"/>
  <c r="M307" i="7" l="1"/>
  <c r="D308" i="7"/>
  <c r="N307" i="7"/>
  <c r="C307" i="7"/>
  <c r="I307" i="7" s="1"/>
  <c r="B307" i="7"/>
  <c r="F307" i="7" s="1"/>
  <c r="E307" i="7"/>
  <c r="H307" i="7" s="1"/>
  <c r="G307" i="7"/>
  <c r="K308" i="7"/>
  <c r="M308" i="7" s="1"/>
  <c r="J309" i="7"/>
  <c r="D309" i="7" l="1"/>
  <c r="N308" i="7"/>
  <c r="L308" i="7"/>
  <c r="C308" i="7"/>
  <c r="I308" i="7" s="1"/>
  <c r="E308" i="7"/>
  <c r="H308" i="7" s="1"/>
  <c r="G308" i="7"/>
  <c r="B308" i="7"/>
  <c r="F308" i="7" s="1"/>
  <c r="K309" i="7"/>
  <c r="L309" i="7" s="1"/>
  <c r="J310" i="7"/>
  <c r="M309" i="7" l="1"/>
  <c r="N309" i="7"/>
  <c r="D310" i="7"/>
  <c r="B309" i="7"/>
  <c r="F309" i="7" s="1"/>
  <c r="C309" i="7"/>
  <c r="I309" i="7" s="1"/>
  <c r="E309" i="7"/>
  <c r="H309" i="7" s="1"/>
  <c r="G309" i="7"/>
  <c r="K310" i="7"/>
  <c r="L310" i="7" s="1"/>
  <c r="J311" i="7"/>
  <c r="M310" i="7" l="1"/>
  <c r="N310" i="7"/>
  <c r="D311" i="7"/>
  <c r="C310" i="7"/>
  <c r="I310" i="7" s="1"/>
  <c r="B310" i="7"/>
  <c r="F310" i="7" s="1"/>
  <c r="E310" i="7"/>
  <c r="H310" i="7" s="1"/>
  <c r="G310" i="7"/>
  <c r="K311" i="7"/>
  <c r="L311" i="7" s="1"/>
  <c r="J312" i="7"/>
  <c r="N311" i="7" l="1"/>
  <c r="M311" i="7"/>
  <c r="D312" i="7"/>
  <c r="C311" i="7"/>
  <c r="I311" i="7" s="1"/>
  <c r="G311" i="7"/>
  <c r="B311" i="7"/>
  <c r="F311" i="7" s="1"/>
  <c r="E311" i="7"/>
  <c r="H311" i="7" s="1"/>
  <c r="K312" i="7"/>
  <c r="L312" i="7" s="1"/>
  <c r="J313" i="7"/>
  <c r="M312" i="7" l="1"/>
  <c r="N312" i="7"/>
  <c r="D313" i="7"/>
  <c r="C312" i="7"/>
  <c r="I312" i="7" s="1"/>
  <c r="E312" i="7"/>
  <c r="H312" i="7" s="1"/>
  <c r="G312" i="7"/>
  <c r="B312" i="7"/>
  <c r="F312" i="7" s="1"/>
  <c r="K313" i="7"/>
  <c r="L313" i="7" s="1"/>
  <c r="J314" i="7"/>
  <c r="M313" i="7" l="1"/>
  <c r="N313" i="7"/>
  <c r="D314" i="7"/>
  <c r="C313" i="7"/>
  <c r="I313" i="7" s="1"/>
  <c r="G313" i="7"/>
  <c r="B313" i="7"/>
  <c r="F313" i="7" s="1"/>
  <c r="E313" i="7"/>
  <c r="H313" i="7" s="1"/>
  <c r="K314" i="7"/>
  <c r="L314" i="7" s="1"/>
  <c r="J315" i="7"/>
  <c r="M314" i="7" l="1"/>
  <c r="N314" i="7"/>
  <c r="D315" i="7"/>
  <c r="C314" i="7"/>
  <c r="I314" i="7" s="1"/>
  <c r="E314" i="7"/>
  <c r="H314" i="7" s="1"/>
  <c r="B314" i="7"/>
  <c r="F314" i="7" s="1"/>
  <c r="G314" i="7"/>
  <c r="K315" i="7"/>
  <c r="L315" i="7" s="1"/>
  <c r="J316" i="7"/>
  <c r="M315" i="7" l="1"/>
  <c r="N315" i="7"/>
  <c r="D316" i="7"/>
  <c r="C315" i="7"/>
  <c r="I315" i="7" s="1"/>
  <c r="G315" i="7"/>
  <c r="B315" i="7"/>
  <c r="F315" i="7" s="1"/>
  <c r="E315" i="7"/>
  <c r="H315" i="7" s="1"/>
  <c r="K316" i="7"/>
  <c r="L316" i="7" s="1"/>
  <c r="J317" i="7"/>
  <c r="M316" i="7" l="1"/>
  <c r="N316" i="7"/>
  <c r="D317" i="7"/>
  <c r="C316" i="7"/>
  <c r="I316" i="7" s="1"/>
  <c r="E316" i="7"/>
  <c r="H316" i="7" s="1"/>
  <c r="G316" i="7"/>
  <c r="B316" i="7"/>
  <c r="F316" i="7" s="1"/>
  <c r="K317" i="7"/>
  <c r="L317" i="7" s="1"/>
  <c r="J318" i="7"/>
  <c r="M317" i="7" l="1"/>
  <c r="D318" i="7"/>
  <c r="N317" i="7"/>
  <c r="C317" i="7"/>
  <c r="I317" i="7" s="1"/>
  <c r="E317" i="7"/>
  <c r="H317" i="7" s="1"/>
  <c r="B317" i="7"/>
  <c r="F317" i="7" s="1"/>
  <c r="G317" i="7"/>
  <c r="K318" i="7"/>
  <c r="L318" i="7" s="1"/>
  <c r="J319" i="7"/>
  <c r="D319" i="7" l="1"/>
  <c r="M318" i="7"/>
  <c r="N318" i="7"/>
  <c r="C318" i="7"/>
  <c r="I318" i="7" s="1"/>
  <c r="E318" i="7"/>
  <c r="H318" i="7" s="1"/>
  <c r="G318" i="7"/>
  <c r="B318" i="7"/>
  <c r="F318" i="7" s="1"/>
  <c r="K319" i="7"/>
  <c r="L319" i="7" s="1"/>
  <c r="J320" i="7"/>
  <c r="M319" i="7" l="1"/>
  <c r="N319" i="7"/>
  <c r="D320" i="7"/>
  <c r="C319" i="7"/>
  <c r="I319" i="7" s="1"/>
  <c r="E319" i="7"/>
  <c r="H319" i="7" s="1"/>
  <c r="G319" i="7"/>
  <c r="B319" i="7"/>
  <c r="F319" i="7" s="1"/>
  <c r="K320" i="7"/>
  <c r="L320" i="7" s="1"/>
  <c r="J321" i="7"/>
  <c r="M320" i="7" l="1"/>
  <c r="N320" i="7"/>
  <c r="D321" i="7"/>
  <c r="C320" i="7"/>
  <c r="I320" i="7" s="1"/>
  <c r="G320" i="7"/>
  <c r="B320" i="7"/>
  <c r="F320" i="7" s="1"/>
  <c r="E320" i="7"/>
  <c r="H320" i="7" s="1"/>
  <c r="K321" i="7"/>
  <c r="L321" i="7" s="1"/>
  <c r="J322" i="7"/>
  <c r="N321" i="7" l="1"/>
  <c r="M321" i="7"/>
  <c r="D322" i="7"/>
  <c r="C321" i="7"/>
  <c r="I321" i="7" s="1"/>
  <c r="B321" i="7"/>
  <c r="F321" i="7" s="1"/>
  <c r="E321" i="7"/>
  <c r="H321" i="7" s="1"/>
  <c r="G321" i="7"/>
  <c r="K322" i="7"/>
  <c r="M322" i="7" s="1"/>
  <c r="J323" i="7"/>
  <c r="N322" i="7" l="1"/>
  <c r="L322" i="7"/>
  <c r="D323" i="7"/>
  <c r="C322" i="7"/>
  <c r="I322" i="7" s="1"/>
  <c r="B322" i="7"/>
  <c r="F322" i="7" s="1"/>
  <c r="E322" i="7"/>
  <c r="H322" i="7" s="1"/>
  <c r="G322" i="7"/>
  <c r="K323" i="7"/>
  <c r="L323" i="7" s="1"/>
  <c r="J324" i="7"/>
  <c r="N323" i="7" l="1"/>
  <c r="M323" i="7"/>
  <c r="D324" i="7"/>
  <c r="C323" i="7"/>
  <c r="I323" i="7" s="1"/>
  <c r="G323" i="7"/>
  <c r="B323" i="7"/>
  <c r="F323" i="7" s="1"/>
  <c r="E323" i="7"/>
  <c r="H323" i="7" s="1"/>
  <c r="K324" i="7"/>
  <c r="L324" i="7" s="1"/>
  <c r="J325" i="7"/>
  <c r="M324" i="7" l="1"/>
  <c r="N324" i="7"/>
  <c r="D325" i="7"/>
  <c r="C324" i="7"/>
  <c r="I324" i="7" s="1"/>
  <c r="E324" i="7"/>
  <c r="H324" i="7" s="1"/>
  <c r="G324" i="7"/>
  <c r="B324" i="7"/>
  <c r="F324" i="7" s="1"/>
  <c r="K325" i="7"/>
  <c r="L325" i="7" s="1"/>
  <c r="J326" i="7"/>
  <c r="M325" i="7" l="1"/>
  <c r="N325" i="7"/>
  <c r="D326" i="7"/>
  <c r="C325" i="7"/>
  <c r="I325" i="7" s="1"/>
  <c r="E325" i="7"/>
  <c r="H325" i="7" s="1"/>
  <c r="B325" i="7"/>
  <c r="F325" i="7" s="1"/>
  <c r="G325" i="7"/>
  <c r="K326" i="7"/>
  <c r="L326" i="7" s="1"/>
  <c r="J327" i="7"/>
  <c r="M326" i="7" l="1"/>
  <c r="N326" i="7"/>
  <c r="D327" i="7"/>
  <c r="E326" i="7"/>
  <c r="H326" i="7" s="1"/>
  <c r="B326" i="7"/>
  <c r="F326" i="7" s="1"/>
  <c r="C326" i="7"/>
  <c r="I326" i="7" s="1"/>
  <c r="G326" i="7"/>
  <c r="K327" i="7"/>
  <c r="L327" i="7" s="1"/>
  <c r="N327" i="7" l="1"/>
  <c r="M327" i="7"/>
  <c r="C327" i="7"/>
  <c r="I327" i="7" s="1"/>
  <c r="G327" i="7"/>
  <c r="B327" i="7"/>
  <c r="F327" i="7" s="1"/>
  <c r="E327" i="7"/>
  <c r="H327" i="7" s="1"/>
</calcChain>
</file>

<file path=xl/sharedStrings.xml><?xml version="1.0" encoding="utf-8"?>
<sst xmlns="http://schemas.openxmlformats.org/spreadsheetml/2006/main" count="428" uniqueCount="378">
  <si>
    <t>Age</t>
  </si>
  <si>
    <t>Dx</t>
  </si>
  <si>
    <t>x</t>
  </si>
  <si>
    <t>Nx</t>
  </si>
  <si>
    <t>gr</t>
  </si>
  <si>
    <t>Nx+1</t>
  </si>
  <si>
    <t>axn</t>
  </si>
  <si>
    <t>nEx</t>
  </si>
  <si>
    <t>Mx</t>
  </si>
  <si>
    <t>Mx+n</t>
  </si>
  <si>
    <t>Axn</t>
  </si>
  <si>
    <t>Valeur de rachat</t>
  </si>
  <si>
    <t>cotisation payé</t>
  </si>
  <si>
    <t>Durée du différé  en année</t>
  </si>
  <si>
    <t>Durée du de paiement de rente(en anné</t>
  </si>
  <si>
    <t>GARANTIES</t>
  </si>
  <si>
    <t>est versé 6 fois</t>
  </si>
  <si>
    <t>RENTE  en cas de vie au terme de la période de différé</t>
  </si>
  <si>
    <t>RENTE  en cas de décès de l'assuré pendant la période de différé</t>
  </si>
  <si>
    <t>est versé jusqu’à la fin du contrat</t>
  </si>
  <si>
    <t>EVOLUTION DES GARANTIES</t>
  </si>
  <si>
    <t>BENEFICIAIRES</t>
  </si>
  <si>
    <t>Année</t>
  </si>
  <si>
    <t>Né(e)le:</t>
  </si>
  <si>
    <t>am+n-k</t>
  </si>
  <si>
    <t>am</t>
  </si>
  <si>
    <t>am+n</t>
  </si>
  <si>
    <t>am+n/2</t>
  </si>
  <si>
    <t>taux interet annuel</t>
  </si>
  <si>
    <t>v</t>
  </si>
  <si>
    <t>taux interet mensuelle</t>
  </si>
  <si>
    <t>fractionnement</t>
  </si>
  <si>
    <t>k</t>
  </si>
  <si>
    <t>acc</t>
  </si>
  <si>
    <t>im</t>
  </si>
  <si>
    <t>axnp</t>
  </si>
  <si>
    <t>Mxn</t>
  </si>
  <si>
    <t>Nxn</t>
  </si>
  <si>
    <t>Nxn+1</t>
  </si>
  <si>
    <t>Dxn</t>
  </si>
  <si>
    <t>PUP</t>
  </si>
  <si>
    <t>PUI</t>
  </si>
  <si>
    <t>PUC</t>
  </si>
  <si>
    <t>PAP</t>
  </si>
  <si>
    <t>PAI</t>
  </si>
  <si>
    <t>PAC</t>
  </si>
  <si>
    <t>t</t>
  </si>
  <si>
    <t>am+n/2-k</t>
  </si>
  <si>
    <t>Date Effet</t>
  </si>
  <si>
    <t>Date de naissance</t>
  </si>
  <si>
    <t>Date d'Effet</t>
  </si>
  <si>
    <t>moins2</t>
  </si>
  <si>
    <t>exact</t>
  </si>
  <si>
    <t>plus1</t>
  </si>
  <si>
    <t>plus2</t>
  </si>
  <si>
    <t>PHTmoins1</t>
  </si>
  <si>
    <t>erreurs de -2</t>
  </si>
  <si>
    <t>erreurs de -1</t>
  </si>
  <si>
    <t>RENTE(Vk)</t>
  </si>
  <si>
    <t xml:space="preserve">PrimeHT(Vk) </t>
  </si>
  <si>
    <t>durée paiement de prime</t>
  </si>
  <si>
    <t>mensuelle</t>
  </si>
  <si>
    <t>Périodicité</t>
  </si>
  <si>
    <t>Evaluation de la Rente</t>
  </si>
  <si>
    <t>Frais sur versement</t>
  </si>
  <si>
    <t>Lx (TD CIMA)</t>
  </si>
  <si>
    <t>qx (TD CIMA)</t>
  </si>
  <si>
    <t>dx (TD CIMA)</t>
  </si>
  <si>
    <t>Montant échéance</t>
  </si>
  <si>
    <t>(et/ou en mois)</t>
  </si>
  <si>
    <t>Taux période</t>
  </si>
  <si>
    <t>Périodicité échéance</t>
  </si>
  <si>
    <t>Mensuel</t>
  </si>
  <si>
    <t>Nombre échéance par an</t>
  </si>
  <si>
    <t>Différé de paiement (mois)</t>
  </si>
  <si>
    <t>Nombre échéance total</t>
  </si>
  <si>
    <t>Durée (en mois)</t>
  </si>
  <si>
    <t>Récapitulatif</t>
  </si>
  <si>
    <t>Nbre
 Ech</t>
  </si>
  <si>
    <t>Dernière
échéance</t>
  </si>
  <si>
    <t>Emprunt</t>
  </si>
  <si>
    <t>Total Intérêts à payer</t>
  </si>
  <si>
    <t>Total Capital
remboursé</t>
  </si>
  <si>
    <t>Total Frais</t>
  </si>
  <si>
    <t>Total Échéances</t>
  </si>
  <si>
    <t>N° Ech</t>
  </si>
  <si>
    <t>Date</t>
  </si>
  <si>
    <t>Intérêts
à payer</t>
  </si>
  <si>
    <t>Capital  remboursé</t>
  </si>
  <si>
    <t>Frais</t>
  </si>
  <si>
    <t>Échéance payée</t>
  </si>
  <si>
    <r>
      <t>Date 1</t>
    </r>
    <r>
      <rPr>
        <b/>
        <vertAlign val="superscript"/>
        <sz val="10"/>
        <rFont val="Arial"/>
        <family val="2"/>
      </rPr>
      <t>ere</t>
    </r>
    <r>
      <rPr>
        <b/>
        <sz val="11"/>
        <color theme="1"/>
        <rFont val="Calibri"/>
        <family val="2"/>
        <scheme val="minor"/>
      </rPr>
      <t xml:space="preserve"> échéance</t>
    </r>
  </si>
  <si>
    <t>Caractéristiques du contrat</t>
  </si>
  <si>
    <t>résultat</t>
  </si>
  <si>
    <t xml:space="preserve">Montant du capital </t>
  </si>
  <si>
    <t>Taux interet</t>
  </si>
  <si>
    <t>duréepaiement</t>
  </si>
  <si>
    <t>qx</t>
  </si>
  <si>
    <t>tf</t>
  </si>
  <si>
    <t>Capital</t>
  </si>
  <si>
    <t>Prime pure</t>
  </si>
  <si>
    <t>frais de gestion</t>
  </si>
  <si>
    <t>fg</t>
  </si>
  <si>
    <t>Frais fractionnement</t>
  </si>
  <si>
    <t>Frais acquisition</t>
  </si>
  <si>
    <t>fraisacquisition</t>
  </si>
  <si>
    <t>Fraisfrac</t>
  </si>
  <si>
    <t>Frais gestion</t>
  </si>
  <si>
    <t>ligne du debut</t>
  </si>
  <si>
    <t>Echeance des cotisations</t>
  </si>
  <si>
    <t>acc2</t>
  </si>
  <si>
    <t>frais_gestion_rente</t>
  </si>
  <si>
    <t>périodicité :</t>
  </si>
  <si>
    <t>dx</t>
  </si>
  <si>
    <t>px</t>
  </si>
  <si>
    <t>qx(u)</t>
  </si>
  <si>
    <t>majoration</t>
  </si>
  <si>
    <t>dcx(u)</t>
  </si>
  <si>
    <t>Scx</t>
  </si>
  <si>
    <t>Lx</t>
  </si>
  <si>
    <t>Tx</t>
  </si>
  <si>
    <t>LCx</t>
  </si>
  <si>
    <t>TCx</t>
  </si>
  <si>
    <t>Ecx</t>
  </si>
  <si>
    <t>Rx</t>
  </si>
  <si>
    <t>Dx(u)</t>
  </si>
  <si>
    <t>Cx(u)</t>
  </si>
  <si>
    <t>Nx+n(u)</t>
  </si>
  <si>
    <t>Dx+n(u)</t>
  </si>
  <si>
    <t>Nx(u)</t>
  </si>
  <si>
    <t>NX+1</t>
  </si>
  <si>
    <t>anp</t>
  </si>
  <si>
    <t>gd</t>
  </si>
  <si>
    <t>gv2</t>
  </si>
  <si>
    <t>gv1</t>
  </si>
  <si>
    <t>app(u)</t>
  </si>
  <si>
    <t>nEx(u)</t>
  </si>
  <si>
    <t>lx(u)</t>
  </si>
  <si>
    <t>lx (CIMAH)</t>
  </si>
  <si>
    <t>pmensuelle</t>
  </si>
  <si>
    <t>nx+1</t>
  </si>
  <si>
    <t>nx+2</t>
  </si>
  <si>
    <t>nx+3</t>
  </si>
  <si>
    <t>nx+4</t>
  </si>
  <si>
    <t>nx+5</t>
  </si>
  <si>
    <t>nx+6</t>
  </si>
  <si>
    <t>nx+7</t>
  </si>
  <si>
    <t>nx+8</t>
  </si>
  <si>
    <t>nx+9</t>
  </si>
  <si>
    <t>nx+10</t>
  </si>
  <si>
    <t>nx+11</t>
  </si>
  <si>
    <t>nx+12</t>
  </si>
  <si>
    <t>nx+13</t>
  </si>
  <si>
    <t>nx+14</t>
  </si>
  <si>
    <t>nx+15</t>
  </si>
  <si>
    <t>nx+16</t>
  </si>
  <si>
    <t>nx+17</t>
  </si>
  <si>
    <t>nx+18</t>
  </si>
  <si>
    <t>nx+19</t>
  </si>
  <si>
    <t>nx+20</t>
  </si>
  <si>
    <t>nx+21</t>
  </si>
  <si>
    <t>Dx+1</t>
  </si>
  <si>
    <t>Dx+2</t>
  </si>
  <si>
    <t>Dx+3</t>
  </si>
  <si>
    <t>Dx+4</t>
  </si>
  <si>
    <t>Dx+5</t>
  </si>
  <si>
    <t>Dx+6</t>
  </si>
  <si>
    <t>Dx+7</t>
  </si>
  <si>
    <t>Dx+8</t>
  </si>
  <si>
    <t>Dx+9</t>
  </si>
  <si>
    <t>Dx+10</t>
  </si>
  <si>
    <t>Dx+11</t>
  </si>
  <si>
    <t>Dx+12</t>
  </si>
  <si>
    <t>Dx+13</t>
  </si>
  <si>
    <t>Dx+14</t>
  </si>
  <si>
    <t>Dx+15</t>
  </si>
  <si>
    <t>Dx+16</t>
  </si>
  <si>
    <t>Dx+17</t>
  </si>
  <si>
    <t>Dx+18</t>
  </si>
  <si>
    <t>Dx+19</t>
  </si>
  <si>
    <t>Dx+20</t>
  </si>
  <si>
    <t>Dx+21</t>
  </si>
  <si>
    <t>app1</t>
  </si>
  <si>
    <t>app2</t>
  </si>
  <si>
    <t>app3</t>
  </si>
  <si>
    <t>app4</t>
  </si>
  <si>
    <t>app5</t>
  </si>
  <si>
    <t>app6</t>
  </si>
  <si>
    <t>app7</t>
  </si>
  <si>
    <t>app8</t>
  </si>
  <si>
    <t>app9</t>
  </si>
  <si>
    <t>app10</t>
  </si>
  <si>
    <t>app11</t>
  </si>
  <si>
    <t>app12</t>
  </si>
  <si>
    <t>app13</t>
  </si>
  <si>
    <t>app14</t>
  </si>
  <si>
    <t>app15</t>
  </si>
  <si>
    <t>app16</t>
  </si>
  <si>
    <t>app17</t>
  </si>
  <si>
    <t>app18</t>
  </si>
  <si>
    <t>app19</t>
  </si>
  <si>
    <t>app20</t>
  </si>
  <si>
    <t>app21</t>
  </si>
  <si>
    <t>pu1</t>
  </si>
  <si>
    <t>pu2</t>
  </si>
  <si>
    <t>pu3</t>
  </si>
  <si>
    <t>pu4</t>
  </si>
  <si>
    <t>pu5</t>
  </si>
  <si>
    <t>pu6</t>
  </si>
  <si>
    <t>pu7</t>
  </si>
  <si>
    <t>pu8</t>
  </si>
  <si>
    <t>PROVISION MATHEMATIQUE</t>
  </si>
  <si>
    <t>PROVISION MATHEMATIQUE1</t>
  </si>
  <si>
    <t>PROVISION MATHEMATIQUE2</t>
  </si>
  <si>
    <t>PROVISION MATHEMATIQUE3</t>
  </si>
  <si>
    <t>PROVISION MATHEMATIQUE4</t>
  </si>
  <si>
    <t>PROVISION MATHEMATIQUE5</t>
  </si>
  <si>
    <t>PROVISION MATHEMATIQUE6</t>
  </si>
  <si>
    <t>PROVISION MATHEMATIQUE7</t>
  </si>
  <si>
    <t>PROVISION MATHEMATIQUE8</t>
  </si>
  <si>
    <t>Mx+1</t>
  </si>
  <si>
    <t>Mx+2</t>
  </si>
  <si>
    <t>Mx+3</t>
  </si>
  <si>
    <t>Mx+4</t>
  </si>
  <si>
    <t>Mx+5</t>
  </si>
  <si>
    <t>Mx+6</t>
  </si>
  <si>
    <t>Mx+7</t>
  </si>
  <si>
    <t>Mx+8</t>
  </si>
  <si>
    <t>Mx+9</t>
  </si>
  <si>
    <t>Mx+10</t>
  </si>
  <si>
    <t>Mx+11</t>
  </si>
  <si>
    <t>Mx+12</t>
  </si>
  <si>
    <t>Mx+13</t>
  </si>
  <si>
    <t>Mx+14</t>
  </si>
  <si>
    <t>Mx+15</t>
  </si>
  <si>
    <t>Mx+16</t>
  </si>
  <si>
    <t>Mx+17</t>
  </si>
  <si>
    <t>Mx+18</t>
  </si>
  <si>
    <t>Mx+19</t>
  </si>
  <si>
    <t>Mx+20</t>
  </si>
  <si>
    <t>Mx+21</t>
  </si>
  <si>
    <t>A1</t>
  </si>
  <si>
    <t>A2</t>
  </si>
  <si>
    <t>A3</t>
  </si>
  <si>
    <t>A4</t>
  </si>
  <si>
    <t>A5</t>
  </si>
  <si>
    <t>A6</t>
  </si>
  <si>
    <t>A7</t>
  </si>
  <si>
    <t>A8</t>
  </si>
  <si>
    <t>A9</t>
  </si>
  <si>
    <t>A10</t>
  </si>
  <si>
    <t>A11</t>
  </si>
  <si>
    <t>A12</t>
  </si>
  <si>
    <t>A13</t>
  </si>
  <si>
    <t>A14</t>
  </si>
  <si>
    <t>A15</t>
  </si>
  <si>
    <t>A16</t>
  </si>
  <si>
    <t>A17</t>
  </si>
  <si>
    <t>A18</t>
  </si>
  <si>
    <t>A19</t>
  </si>
  <si>
    <t>A20</t>
  </si>
  <si>
    <t>A21</t>
  </si>
  <si>
    <t>anp1</t>
  </si>
  <si>
    <t>anp2</t>
  </si>
  <si>
    <t>anp3</t>
  </si>
  <si>
    <t>anp4</t>
  </si>
  <si>
    <t>anp5</t>
  </si>
  <si>
    <t>anp6</t>
  </si>
  <si>
    <t>anp7</t>
  </si>
  <si>
    <t>anp8</t>
  </si>
  <si>
    <t>anp9</t>
  </si>
  <si>
    <t>anp10</t>
  </si>
  <si>
    <t>anp11</t>
  </si>
  <si>
    <t>anp12</t>
  </si>
  <si>
    <t>anp13</t>
  </si>
  <si>
    <t>anp15</t>
  </si>
  <si>
    <t>anp16</t>
  </si>
  <si>
    <t>anp17</t>
  </si>
  <si>
    <t>anp18</t>
  </si>
  <si>
    <t>anp19</t>
  </si>
  <si>
    <t>anp20</t>
  </si>
  <si>
    <t>nE1</t>
  </si>
  <si>
    <t>nE2</t>
  </si>
  <si>
    <t>nE3</t>
  </si>
  <si>
    <t>nE4</t>
  </si>
  <si>
    <t>nE5</t>
  </si>
  <si>
    <t>nE6</t>
  </si>
  <si>
    <t>nE7</t>
  </si>
  <si>
    <t>nE8</t>
  </si>
  <si>
    <t>nE9</t>
  </si>
  <si>
    <t>nE10</t>
  </si>
  <si>
    <t>nE11</t>
  </si>
  <si>
    <t>nE12</t>
  </si>
  <si>
    <t>nE13</t>
  </si>
  <si>
    <t>nE14</t>
  </si>
  <si>
    <t>nE15</t>
  </si>
  <si>
    <t>nE16</t>
  </si>
  <si>
    <t>nE17</t>
  </si>
  <si>
    <t>nE18</t>
  </si>
  <si>
    <t>nE19</t>
  </si>
  <si>
    <t>nE20</t>
  </si>
  <si>
    <t>nE21</t>
  </si>
  <si>
    <t>PUP1</t>
  </si>
  <si>
    <t>PUP2</t>
  </si>
  <si>
    <t>PUP3</t>
  </si>
  <si>
    <t>PUP4</t>
  </si>
  <si>
    <t>PUP5</t>
  </si>
  <si>
    <t>PUP6</t>
  </si>
  <si>
    <t>PUP7</t>
  </si>
  <si>
    <t>PUP8</t>
  </si>
  <si>
    <t>PUP9</t>
  </si>
  <si>
    <t>PUP10</t>
  </si>
  <si>
    <t>PUP11</t>
  </si>
  <si>
    <t>PUP12</t>
  </si>
  <si>
    <t>PUP13</t>
  </si>
  <si>
    <t>PUP14</t>
  </si>
  <si>
    <t>PUP15</t>
  </si>
  <si>
    <t>PUP16</t>
  </si>
  <si>
    <t>PUP17</t>
  </si>
  <si>
    <t>PUP18</t>
  </si>
  <si>
    <t>PUP19</t>
  </si>
  <si>
    <t>PUP20</t>
  </si>
  <si>
    <t>PUI1</t>
  </si>
  <si>
    <t>PUI2</t>
  </si>
  <si>
    <t>PUI3</t>
  </si>
  <si>
    <t>PUI4</t>
  </si>
  <si>
    <t>PUI5</t>
  </si>
  <si>
    <t>PUI6</t>
  </si>
  <si>
    <t>PUI7</t>
  </si>
  <si>
    <t>PUI8</t>
  </si>
  <si>
    <t>PUI9</t>
  </si>
  <si>
    <t>PUI10</t>
  </si>
  <si>
    <t>PUI11</t>
  </si>
  <si>
    <t>PUI12</t>
  </si>
  <si>
    <t>PUI13</t>
  </si>
  <si>
    <t>PUI14</t>
  </si>
  <si>
    <t>PUI15</t>
  </si>
  <si>
    <t>PUI16</t>
  </si>
  <si>
    <t>PUI17</t>
  </si>
  <si>
    <t>PUI18</t>
  </si>
  <si>
    <t>PUI19</t>
  </si>
  <si>
    <t>PUI20</t>
  </si>
  <si>
    <t>PM1</t>
  </si>
  <si>
    <t>PM2</t>
  </si>
  <si>
    <t>PM3</t>
  </si>
  <si>
    <t>PM4</t>
  </si>
  <si>
    <t>PM5</t>
  </si>
  <si>
    <t>PM6</t>
  </si>
  <si>
    <t>PM7</t>
  </si>
  <si>
    <t>PM8</t>
  </si>
  <si>
    <t>PM9</t>
  </si>
  <si>
    <t>PM10</t>
  </si>
  <si>
    <t>PM11</t>
  </si>
  <si>
    <t>PM12</t>
  </si>
  <si>
    <t>PM13</t>
  </si>
  <si>
    <t>PM14</t>
  </si>
  <si>
    <t>PM15</t>
  </si>
  <si>
    <t>PM16</t>
  </si>
  <si>
    <t>PM17</t>
  </si>
  <si>
    <t>PM18</t>
  </si>
  <si>
    <t>PM19</t>
  </si>
  <si>
    <t>PM20</t>
  </si>
  <si>
    <t>PMk</t>
  </si>
  <si>
    <t>RACHAT</t>
  </si>
  <si>
    <t>PM</t>
  </si>
  <si>
    <t>txpen(rachat)</t>
  </si>
  <si>
    <t>Primem1 HC</t>
  </si>
  <si>
    <t>rd</t>
  </si>
  <si>
    <t>P</t>
  </si>
  <si>
    <t>Veillissement(ans)</t>
  </si>
  <si>
    <t>Indice</t>
  </si>
  <si>
    <t>Taux Fractionnement</t>
  </si>
  <si>
    <t>Mensuelle</t>
  </si>
  <si>
    <t>Trimestrielle</t>
  </si>
  <si>
    <t>Semestrielle</t>
  </si>
  <si>
    <t>Annuelle</t>
  </si>
  <si>
    <t>fractionnelentrente</t>
  </si>
  <si>
    <t>Periodicitérente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</si>
</sst>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43" formatCode="_-* #,##0.00\ _€_-;\-* #,##0.00\ _€_-;_-* &quot;-&quot;??\ _€_-;_-@_-"/>
    <numFmt numFmtId="164" formatCode="0.0000%"/>
    <numFmt numFmtId="165" formatCode="0.00000%"/>
    <numFmt numFmtId="166" formatCode="0.000%"/>
    <numFmt numFmtId="167" formatCode="0.000000"/>
    <numFmt numFmtId="168" formatCode="0.00000000"/>
    <numFmt numFmtId="169" formatCode="0.0000000"/>
    <numFmt numFmtId="170" formatCode="#,##0.0000"/>
    <numFmt numFmtId="171" formatCode="0.000000%"/>
    <numFmt numFmtId="172" formatCode="mm/yyyy"/>
    <numFmt numFmtId="173" formatCode="0.0%"/>
    <numFmt numFmtId="174" formatCode="0.0000000%"/>
    <numFmt numFmtId="175" formatCode="#,##0.00000"/>
    <numFmt numFmtId="176" formatCode="0.0000000000000"/>
    <numFmt numFmtId="177" formatCode="0.0"/>
    <numFmt numFmtId="178" formatCode="0.000"/>
    <numFmt numFmtId="179" formatCode="0.0000"/>
    <numFmt numFmtId="180" formatCode="0.00000"/>
    <numFmt numFmtId="181" formatCode="_-* #,##0\ _€_-;\-* #,##0\ _€_-;_-* &quot;-&quot;??\ _€_-;_-@_-"/>
    <numFmt numFmtId="182" formatCode="_-* #,##0.000000\ _€_-;\-* #,##0.000000\ _€_-;_-* &quot;-&quot;??\ _€_-;_-@_-"/>
    <numFmt numFmtId="183" formatCode="0.00000000000"/>
    <numFmt numFmtId="184" formatCode="0.0000000000"/>
  </numFmts>
  <fonts count="17" x14ac:knownFonts="1">
    <font>
      <sz val="11"/>
      <color theme="1"/>
      <name val="Calibri"/>
      <family val="2"/>
      <scheme val="minor"/>
    </font>
    <font>
      <sz val="11"/>
      <color theme="1"/>
      <name val="Calibri"/>
      <family val="2"/>
      <scheme val="minor"/>
    </font>
    <font>
      <sz val="8"/>
      <color theme="1"/>
      <name val="Arial"/>
      <family val="2"/>
    </font>
    <font>
      <sz val="8"/>
      <color theme="3"/>
      <name val="Arial"/>
      <family val="2"/>
    </font>
    <font>
      <b/>
      <sz val="10"/>
      <name val="Book Antiqua"/>
      <family val="1"/>
    </font>
    <font>
      <sz val="12"/>
      <color theme="1"/>
      <name val="Arial"/>
      <family val="2"/>
    </font>
    <font>
      <b/>
      <sz val="11"/>
      <color theme="1"/>
      <name val="Calibri"/>
      <family val="2"/>
      <scheme val="minor"/>
    </font>
    <font>
      <b/>
      <sz val="11"/>
      <color theme="1"/>
      <name val="Times New Roman"/>
      <family val="1"/>
    </font>
    <font>
      <sz val="8"/>
      <name val="Arial"/>
      <family val="2"/>
    </font>
    <font>
      <sz val="9"/>
      <name val="Arial"/>
      <family val="2"/>
    </font>
    <font>
      <u/>
      <sz val="10"/>
      <color indexed="12"/>
      <name val="Arial"/>
      <family val="2"/>
    </font>
    <font>
      <sz val="9"/>
      <color indexed="24"/>
      <name val="Arial"/>
      <family val="2"/>
    </font>
    <font>
      <b/>
      <sz val="10"/>
      <color indexed="9"/>
      <name val="Arial"/>
      <family val="2"/>
    </font>
    <font>
      <sz val="10"/>
      <name val="Arial"/>
      <family val="2"/>
    </font>
    <font>
      <b/>
      <u/>
      <sz val="10"/>
      <name val="Arial"/>
      <family val="2"/>
    </font>
    <font>
      <b/>
      <sz val="10"/>
      <name val="Arial"/>
      <family val="2"/>
    </font>
    <font>
      <b/>
      <vertAlign val="superscript"/>
      <sz val="10"/>
      <name val="Arial"/>
      <family val="2"/>
    </font>
  </fonts>
  <fills count="18">
    <fill>
      <patternFill patternType="none"/>
    </fill>
    <fill>
      <patternFill patternType="gray125"/>
    </fill>
    <fill>
      <patternFill patternType="solid">
        <fgColor theme="9"/>
        <bgColor indexed="64"/>
      </patternFill>
    </fill>
    <fill>
      <patternFill patternType="solid">
        <fgColor rgb="FFFFFFCC"/>
        <bgColor indexed="64"/>
      </patternFill>
    </fill>
    <fill>
      <patternFill patternType="solid">
        <fgColor theme="8" tint="-0.249977111117893"/>
        <bgColor indexed="64"/>
      </patternFill>
    </fill>
    <fill>
      <patternFill patternType="solid">
        <fgColor rgb="FFFFFF00"/>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indexed="24"/>
        <bgColor indexed="64"/>
      </patternFill>
    </fill>
    <fill>
      <patternFill patternType="solid">
        <fgColor indexed="42"/>
        <bgColor indexed="64"/>
      </patternFill>
    </fill>
    <fill>
      <patternFill patternType="solid">
        <fgColor theme="2"/>
        <bgColor indexed="64"/>
      </patternFill>
    </fill>
    <fill>
      <patternFill patternType="solid">
        <fgColor theme="0"/>
        <bgColor indexed="64"/>
      </patternFill>
    </fill>
    <fill>
      <patternFill patternType="solid">
        <fgColor theme="8"/>
        <bgColor indexed="64"/>
      </patternFill>
    </fill>
    <fill>
      <patternFill patternType="solid">
        <fgColor theme="5" tint="0.59999389629810485"/>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6" tint="-0.249977111117893"/>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24"/>
      </left>
      <right/>
      <top style="medium">
        <color indexed="24"/>
      </top>
      <bottom style="medium">
        <color indexed="24"/>
      </bottom>
      <diagonal/>
    </border>
    <border>
      <left/>
      <right/>
      <top style="medium">
        <color indexed="24"/>
      </top>
      <bottom style="medium">
        <color indexed="24"/>
      </bottom>
      <diagonal/>
    </border>
    <border>
      <left/>
      <right style="medium">
        <color indexed="24"/>
      </right>
      <top style="medium">
        <color indexed="24"/>
      </top>
      <bottom style="medium">
        <color indexed="24"/>
      </bottom>
      <diagonal/>
    </border>
    <border>
      <left style="medium">
        <color indexed="24"/>
      </left>
      <right/>
      <top/>
      <bottom/>
      <diagonal/>
    </border>
    <border>
      <left/>
      <right style="medium">
        <color indexed="24"/>
      </right>
      <top/>
      <bottom/>
      <diagonal/>
    </border>
    <border>
      <left style="medium">
        <color indexed="24"/>
      </left>
      <right/>
      <top style="medium">
        <color indexed="24"/>
      </top>
      <bottom/>
      <diagonal/>
    </border>
    <border>
      <left/>
      <right/>
      <top style="medium">
        <color indexed="24"/>
      </top>
      <bottom/>
      <diagonal/>
    </border>
    <border>
      <left/>
      <right style="medium">
        <color indexed="24"/>
      </right>
      <top style="medium">
        <color indexed="24"/>
      </top>
      <bottom/>
      <diagonal/>
    </border>
    <border>
      <left style="thin">
        <color indexed="24"/>
      </left>
      <right style="thin">
        <color indexed="24"/>
      </right>
      <top style="thin">
        <color indexed="24"/>
      </top>
      <bottom style="thin">
        <color indexed="24"/>
      </bottom>
      <diagonal/>
    </border>
    <border>
      <left style="thin">
        <color indexed="24"/>
      </left>
      <right style="medium">
        <color indexed="24"/>
      </right>
      <top style="thin">
        <color indexed="24"/>
      </top>
      <bottom style="thin">
        <color indexed="24"/>
      </bottom>
      <diagonal/>
    </border>
    <border>
      <left/>
      <right style="thin">
        <color indexed="24"/>
      </right>
      <top/>
      <bottom/>
      <diagonal/>
    </border>
    <border>
      <left style="medium">
        <color indexed="24"/>
      </left>
      <right/>
      <top/>
      <bottom style="medium">
        <color indexed="24"/>
      </bottom>
      <diagonal/>
    </border>
    <border>
      <left/>
      <right/>
      <top/>
      <bottom style="medium">
        <color indexed="24"/>
      </bottom>
      <diagonal/>
    </border>
    <border>
      <left/>
      <right style="medium">
        <color indexed="24"/>
      </right>
      <top/>
      <bottom style="medium">
        <color indexed="24"/>
      </bottom>
      <diagonal/>
    </border>
    <border>
      <left style="medium">
        <color indexed="24"/>
      </left>
      <right/>
      <top style="medium">
        <color indexed="24"/>
      </top>
      <bottom style="thin">
        <color indexed="24"/>
      </bottom>
      <diagonal/>
    </border>
    <border>
      <left/>
      <right/>
      <top style="medium">
        <color indexed="24"/>
      </top>
      <bottom style="thin">
        <color indexed="24"/>
      </bottom>
      <diagonal/>
    </border>
    <border>
      <left style="thin">
        <color indexed="24"/>
      </left>
      <right/>
      <top style="medium">
        <color indexed="24"/>
      </top>
      <bottom style="thin">
        <color indexed="24"/>
      </bottom>
      <diagonal/>
    </border>
    <border>
      <left/>
      <right style="thin">
        <color indexed="24"/>
      </right>
      <top style="medium">
        <color indexed="24"/>
      </top>
      <bottom style="thin">
        <color indexed="24"/>
      </bottom>
      <diagonal/>
    </border>
    <border>
      <left/>
      <right style="medium">
        <color indexed="24"/>
      </right>
      <top style="medium">
        <color indexed="24"/>
      </top>
      <bottom style="thin">
        <color indexed="24"/>
      </bottom>
      <diagonal/>
    </border>
    <border>
      <left style="medium">
        <color indexed="24"/>
      </left>
      <right/>
      <top style="thin">
        <color indexed="24"/>
      </top>
      <bottom style="thin">
        <color indexed="24"/>
      </bottom>
      <diagonal/>
    </border>
    <border>
      <left/>
      <right/>
      <top style="thin">
        <color indexed="24"/>
      </top>
      <bottom style="thin">
        <color indexed="24"/>
      </bottom>
      <diagonal/>
    </border>
    <border>
      <left style="thin">
        <color indexed="24"/>
      </left>
      <right/>
      <top style="thin">
        <color indexed="24"/>
      </top>
      <bottom style="thin">
        <color indexed="24"/>
      </bottom>
      <diagonal/>
    </border>
    <border>
      <left/>
      <right style="thin">
        <color indexed="24"/>
      </right>
      <top style="thin">
        <color indexed="24"/>
      </top>
      <bottom style="thin">
        <color indexed="24"/>
      </bottom>
      <diagonal/>
    </border>
    <border>
      <left/>
      <right style="medium">
        <color indexed="24"/>
      </right>
      <top style="thin">
        <color indexed="24"/>
      </top>
      <bottom style="thin">
        <color indexed="24"/>
      </bottom>
      <diagonal/>
    </border>
    <border>
      <left style="medium">
        <color indexed="24"/>
      </left>
      <right/>
      <top style="thin">
        <color indexed="24"/>
      </top>
      <bottom style="medium">
        <color indexed="24"/>
      </bottom>
      <diagonal/>
    </border>
    <border>
      <left/>
      <right/>
      <top style="thin">
        <color indexed="24"/>
      </top>
      <bottom style="medium">
        <color indexed="24"/>
      </bottom>
      <diagonal/>
    </border>
    <border>
      <left style="thin">
        <color indexed="24"/>
      </left>
      <right/>
      <top style="thin">
        <color indexed="24"/>
      </top>
      <bottom style="medium">
        <color indexed="24"/>
      </bottom>
      <diagonal/>
    </border>
    <border>
      <left/>
      <right style="thin">
        <color indexed="24"/>
      </right>
      <top style="thin">
        <color indexed="24"/>
      </top>
      <bottom style="medium">
        <color indexed="24"/>
      </bottom>
      <diagonal/>
    </border>
    <border>
      <left/>
      <right style="medium">
        <color indexed="24"/>
      </right>
      <top style="thin">
        <color indexed="24"/>
      </top>
      <bottom style="medium">
        <color indexed="24"/>
      </bottom>
      <diagonal/>
    </border>
    <border>
      <left style="thin">
        <color theme="4"/>
      </left>
      <right style="thin">
        <color theme="4"/>
      </right>
      <top style="thin">
        <color theme="4"/>
      </top>
      <bottom style="thin">
        <color theme="4"/>
      </bottom>
      <diagonal/>
    </border>
    <border>
      <left style="thin">
        <color theme="4"/>
      </left>
      <right style="thin">
        <color indexed="64"/>
      </right>
      <top style="thin">
        <color indexed="64"/>
      </top>
      <bottom/>
      <diagonal/>
    </border>
    <border>
      <left style="thin">
        <color indexed="64"/>
      </left>
      <right style="thin">
        <color theme="4"/>
      </right>
      <top style="thin">
        <color indexed="64"/>
      </top>
      <bottom/>
      <diagonal/>
    </border>
    <border>
      <left/>
      <right style="thin">
        <color indexed="24"/>
      </right>
      <top style="thin">
        <color indexed="24"/>
      </top>
      <bottom/>
      <diagonal/>
    </border>
    <border>
      <left style="medium">
        <color indexed="64"/>
      </left>
      <right/>
      <top/>
      <bottom/>
      <diagonal/>
    </border>
    <border>
      <left style="medium">
        <color indexed="64"/>
      </left>
      <right style="medium">
        <color indexed="64"/>
      </right>
      <top style="medium">
        <color indexed="64"/>
      </top>
      <bottom/>
      <diagonal/>
    </border>
  </borders>
  <cellStyleXfs count="4">
    <xf numFmtId="0" fontId="0" fillId="0" borderId="0"/>
    <xf numFmtId="9" fontId="1" fillId="0" borderId="0" applyFont="0" applyFill="0" applyBorder="0" applyAlignment="0" applyProtection="0"/>
    <xf numFmtId="0" fontId="10" fillId="0" borderId="0" applyNumberFormat="0" applyFill="0" applyBorder="0" applyAlignment="0" applyProtection="0">
      <alignment vertical="top"/>
      <protection locked="0"/>
    </xf>
    <xf numFmtId="43" fontId="1" fillId="0" borderId="0" applyFont="0" applyFill="0" applyBorder="0" applyAlignment="0" applyProtection="0"/>
  </cellStyleXfs>
  <cellXfs count="233">
    <xf numFmtId="0" fontId="0" fillId="0" borderId="0" xfId="0"/>
    <xf numFmtId="3" fontId="3" fillId="0" borderId="2" xfId="0" applyNumberFormat="1" applyFont="1" applyBorder="1" applyAlignment="1">
      <alignment horizontal="center" vertical="center"/>
    </xf>
    <xf numFmtId="0" fontId="0" fillId="0" borderId="0" xfId="0" applyNumberFormat="1"/>
    <xf numFmtId="0" fontId="0" fillId="0" borderId="0" xfId="0" applyBorder="1"/>
    <xf numFmtId="0" fontId="0" fillId="0" borderId="0" xfId="0" applyFill="1"/>
    <xf numFmtId="0" fontId="0" fillId="4" borderId="1" xfId="0" applyFill="1" applyBorder="1"/>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2" xfId="0" applyFont="1" applyFill="1" applyBorder="1" applyAlignment="1">
      <alignment horizontal="center" vertical="center"/>
    </xf>
    <xf numFmtId="9" fontId="0" fillId="0" borderId="0" xfId="1" applyFont="1"/>
    <xf numFmtId="166" fontId="0" fillId="0" borderId="0" xfId="1" applyNumberFormat="1" applyFont="1"/>
    <xf numFmtId="0" fontId="5" fillId="4" borderId="2" xfId="0" applyFont="1" applyFill="1" applyBorder="1" applyAlignment="1">
      <alignment horizontal="center" vertical="center"/>
    </xf>
    <xf numFmtId="0" fontId="0" fillId="5" borderId="1" xfId="0" applyFill="1" applyBorder="1"/>
    <xf numFmtId="0" fontId="0" fillId="5" borderId="4" xfId="0" applyFill="1" applyBorder="1"/>
    <xf numFmtId="0" fontId="0" fillId="5" borderId="0" xfId="0" applyFill="1"/>
    <xf numFmtId="0" fontId="0" fillId="0" borderId="0" xfId="0" applyFill="1" applyBorder="1"/>
    <xf numFmtId="167" fontId="0" fillId="0" borderId="0" xfId="0" applyNumberFormat="1" applyFill="1" applyBorder="1"/>
    <xf numFmtId="168" fontId="0" fillId="0" borderId="0" xfId="0" applyNumberFormat="1" applyFill="1" applyBorder="1"/>
    <xf numFmtId="0" fontId="0" fillId="0" borderId="0" xfId="1" applyNumberFormat="1" applyFont="1" applyBorder="1"/>
    <xf numFmtId="169" fontId="0" fillId="0" borderId="0" xfId="0" applyNumberFormat="1"/>
    <xf numFmtId="0" fontId="0" fillId="0" borderId="0" xfId="0" applyFill="1" applyAlignment="1"/>
    <xf numFmtId="0" fontId="6" fillId="2" borderId="0" xfId="0" applyFont="1" applyFill="1"/>
    <xf numFmtId="0" fontId="6" fillId="0" borderId="0" xfId="0" applyFont="1" applyFill="1"/>
    <xf numFmtId="14" fontId="0" fillId="0" borderId="0" xfId="0" applyNumberFormat="1"/>
    <xf numFmtId="0" fontId="0" fillId="0" borderId="0" xfId="1" applyNumberFormat="1" applyFont="1" applyFill="1" applyBorder="1"/>
    <xf numFmtId="0" fontId="0" fillId="0" borderId="0" xfId="0"/>
    <xf numFmtId="170" fontId="4" fillId="0" borderId="1" xfId="0" applyNumberFormat="1" applyFont="1" applyBorder="1" applyAlignment="1">
      <alignment horizontal="center"/>
    </xf>
    <xf numFmtId="0" fontId="0" fillId="0" borderId="0" xfId="1" applyNumberFormat="1" applyFont="1"/>
    <xf numFmtId="10" fontId="0" fillId="0" borderId="0" xfId="1" applyNumberFormat="1" applyFont="1"/>
    <xf numFmtId="0" fontId="0" fillId="2" borderId="0" xfId="0" applyFill="1" applyAlignment="1">
      <alignment horizontal="center"/>
    </xf>
    <xf numFmtId="0" fontId="6" fillId="2" borderId="0" xfId="0" applyFont="1" applyFill="1" applyAlignment="1">
      <alignment horizontal="center"/>
    </xf>
    <xf numFmtId="164" fontId="0" fillId="0" borderId="0" xfId="1" applyNumberFormat="1" applyFont="1" applyFill="1" applyBorder="1"/>
    <xf numFmtId="3" fontId="3" fillId="0" borderId="0" xfId="0" applyNumberFormat="1" applyFont="1" applyFill="1" applyBorder="1" applyAlignment="1">
      <alignment horizontal="center" vertical="center"/>
    </xf>
    <xf numFmtId="0" fontId="2" fillId="3" borderId="2" xfId="0" applyFont="1" applyFill="1" applyBorder="1" applyAlignment="1">
      <alignment horizontal="center" vertical="center"/>
    </xf>
    <xf numFmtId="3" fontId="3" fillId="0" borderId="5" xfId="0" applyNumberFormat="1" applyFont="1" applyBorder="1" applyAlignment="1">
      <alignment horizontal="center" vertical="center"/>
    </xf>
    <xf numFmtId="0" fontId="6" fillId="7" borderId="0" xfId="0" applyFont="1" applyFill="1"/>
    <xf numFmtId="0" fontId="6" fillId="0" borderId="0" xfId="0" applyFont="1"/>
    <xf numFmtId="0" fontId="6" fillId="7" borderId="0" xfId="0" applyFont="1" applyFill="1" applyBorder="1"/>
    <xf numFmtId="170" fontId="0" fillId="0" borderId="0" xfId="0" applyNumberFormat="1" applyFill="1"/>
    <xf numFmtId="0" fontId="6" fillId="7" borderId="0" xfId="0" applyFont="1" applyFill="1" applyAlignment="1"/>
    <xf numFmtId="0" fontId="0" fillId="0" borderId="0" xfId="0" applyAlignment="1"/>
    <xf numFmtId="0" fontId="6" fillId="7" borderId="0" xfId="0" applyFont="1" applyFill="1" applyBorder="1" applyAlignment="1"/>
    <xf numFmtId="1" fontId="0" fillId="0" borderId="0" xfId="0" applyNumberFormat="1"/>
    <xf numFmtId="1" fontId="0" fillId="0" borderId="0" xfId="0" applyNumberFormat="1" applyFill="1"/>
    <xf numFmtId="167" fontId="0" fillId="0" borderId="0" xfId="0" applyNumberFormat="1" applyBorder="1"/>
    <xf numFmtId="1" fontId="0" fillId="0" borderId="0" xfId="0" applyNumberFormat="1" applyBorder="1"/>
    <xf numFmtId="0" fontId="0" fillId="6" borderId="0" xfId="0" applyFill="1" applyAlignment="1"/>
    <xf numFmtId="10" fontId="6" fillId="7" borderId="0" xfId="1" applyNumberFormat="1" applyFont="1" applyFill="1" applyBorder="1"/>
    <xf numFmtId="0" fontId="6" fillId="7" borderId="6" xfId="0" applyFont="1" applyFill="1" applyBorder="1"/>
    <xf numFmtId="0" fontId="6" fillId="7" borderId="6" xfId="0" applyFont="1" applyFill="1" applyBorder="1" applyAlignment="1"/>
    <xf numFmtId="0" fontId="0" fillId="0" borderId="0" xfId="0" applyNumberFormat="1" applyBorder="1"/>
    <xf numFmtId="14" fontId="0" fillId="0" borderId="0" xfId="0" applyNumberFormat="1" applyFill="1"/>
    <xf numFmtId="0" fontId="6" fillId="0" borderId="0" xfId="0" applyNumberFormat="1" applyFont="1"/>
    <xf numFmtId="0" fontId="6" fillId="0" borderId="1" xfId="0" applyFont="1" applyBorder="1" applyAlignment="1">
      <alignment horizontal="center"/>
    </xf>
    <xf numFmtId="0" fontId="0" fillId="0" borderId="1" xfId="0" applyBorder="1" applyAlignment="1">
      <alignment horizontal="center"/>
    </xf>
    <xf numFmtId="14" fontId="0" fillId="0" borderId="1" xfId="0" applyNumberFormat="1" applyBorder="1" applyAlignment="1">
      <alignment horizontal="center"/>
    </xf>
    <xf numFmtId="0" fontId="0" fillId="0" borderId="1" xfId="0" applyNumberFormat="1" applyBorder="1" applyAlignment="1">
      <alignment horizontal="center"/>
    </xf>
    <xf numFmtId="0" fontId="6" fillId="0" borderId="1" xfId="0" applyNumberFormat="1" applyFont="1" applyBorder="1" applyAlignment="1">
      <alignment horizontal="center"/>
    </xf>
    <xf numFmtId="165" fontId="6" fillId="0" borderId="1" xfId="1" applyNumberFormat="1" applyFont="1" applyBorder="1" applyAlignment="1">
      <alignment horizontal="center"/>
    </xf>
    <xf numFmtId="0" fontId="7" fillId="0" borderId="1" xfId="0" applyFont="1" applyBorder="1" applyAlignment="1">
      <alignment horizontal="center" vertical="center"/>
    </xf>
    <xf numFmtId="0" fontId="6" fillId="0" borderId="1" xfId="0" applyFont="1" applyBorder="1" applyAlignment="1">
      <alignment horizontal="center" vertical="center"/>
    </xf>
    <xf numFmtId="0" fontId="6" fillId="0" borderId="1" xfId="0" applyFont="1" applyBorder="1" applyAlignment="1">
      <alignment horizontal="center" vertical="center" wrapText="1"/>
    </xf>
    <xf numFmtId="171" fontId="6" fillId="0" borderId="1" xfId="1" applyNumberFormat="1" applyFont="1" applyBorder="1"/>
    <xf numFmtId="10" fontId="0" fillId="0" borderId="0" xfId="0" applyNumberFormat="1" applyFill="1"/>
    <xf numFmtId="9" fontId="0" fillId="0" borderId="0" xfId="0" applyNumberFormat="1" applyBorder="1"/>
    <xf numFmtId="168" fontId="0" fillId="0" borderId="0" xfId="0" applyNumberFormat="1" applyFill="1"/>
    <xf numFmtId="0" fontId="0" fillId="7" borderId="0" xfId="0" applyFill="1"/>
    <xf numFmtId="0" fontId="2" fillId="8" borderId="1" xfId="0" applyFont="1" applyFill="1" applyBorder="1" applyAlignment="1">
      <alignment horizontal="center" vertical="center"/>
    </xf>
    <xf numFmtId="0" fontId="2" fillId="8" borderId="2" xfId="0" applyFont="1" applyFill="1" applyBorder="1" applyAlignment="1">
      <alignment horizontal="center" vertical="center"/>
    </xf>
    <xf numFmtId="164" fontId="2" fillId="0" borderId="2" xfId="0" applyNumberFormat="1" applyFont="1" applyBorder="1" applyAlignment="1">
      <alignment horizontal="center" vertical="center"/>
    </xf>
    <xf numFmtId="3" fontId="8" fillId="0" borderId="2" xfId="0" applyNumberFormat="1" applyFont="1" applyBorder="1" applyAlignment="1">
      <alignment horizontal="center" vertical="center"/>
    </xf>
    <xf numFmtId="3" fontId="2" fillId="0" borderId="2" xfId="0" applyNumberFormat="1" applyFont="1" applyBorder="1" applyAlignment="1">
      <alignment horizontal="center" vertical="center"/>
    </xf>
    <xf numFmtId="0" fontId="2" fillId="8" borderId="5" xfId="0" applyFont="1" applyFill="1" applyBorder="1" applyAlignment="1">
      <alignment horizontal="center" vertical="center"/>
    </xf>
    <xf numFmtId="164" fontId="2" fillId="0" borderId="5" xfId="0" applyNumberFormat="1" applyFont="1" applyBorder="1" applyAlignment="1">
      <alignment horizontal="center" vertical="center"/>
    </xf>
    <xf numFmtId="3" fontId="2" fillId="0" borderId="5" xfId="0" applyNumberFormat="1" applyFont="1" applyBorder="1" applyAlignment="1">
      <alignment horizontal="center" vertical="center"/>
    </xf>
    <xf numFmtId="0" fontId="9" fillId="0" borderId="0" xfId="0" applyFont="1" applyFill="1" applyProtection="1"/>
    <xf numFmtId="0" fontId="11" fillId="0" borderId="0" xfId="0" applyFont="1" applyFill="1" applyProtection="1"/>
    <xf numFmtId="0" fontId="0" fillId="0" borderId="0" xfId="0" applyProtection="1"/>
    <xf numFmtId="0" fontId="0" fillId="0" borderId="0" xfId="0" applyFill="1" applyProtection="1"/>
    <xf numFmtId="4" fontId="13" fillId="10" borderId="17" xfId="0" applyNumberFormat="1" applyFont="1" applyFill="1" applyBorder="1" applyProtection="1">
      <protection locked="0"/>
    </xf>
    <xf numFmtId="166" fontId="0" fillId="10" borderId="17" xfId="0" applyNumberFormat="1" applyFill="1" applyBorder="1" applyProtection="1">
      <protection locked="0"/>
    </xf>
    <xf numFmtId="0" fontId="0" fillId="10" borderId="18" xfId="0" applyFill="1" applyBorder="1" applyAlignment="1" applyProtection="1">
      <alignment horizontal="center"/>
      <protection locked="0"/>
    </xf>
    <xf numFmtId="0" fontId="0" fillId="10" borderId="17" xfId="0" applyFill="1" applyBorder="1" applyProtection="1">
      <protection locked="0"/>
    </xf>
    <xf numFmtId="0" fontId="0" fillId="10" borderId="17" xfId="0" applyFill="1" applyBorder="1" applyAlignment="1" applyProtection="1">
      <alignment horizontal="right"/>
      <protection locked="0"/>
    </xf>
    <xf numFmtId="14" fontId="0" fillId="10" borderId="17" xfId="0" applyNumberFormat="1" applyFill="1" applyBorder="1" applyProtection="1">
      <protection locked="0"/>
    </xf>
    <xf numFmtId="0" fontId="0" fillId="10" borderId="17" xfId="0" applyNumberFormat="1" applyFill="1" applyBorder="1" applyProtection="1">
      <protection locked="0"/>
    </xf>
    <xf numFmtId="0" fontId="0" fillId="0" borderId="0" xfId="0" applyFill="1" applyAlignment="1" applyProtection="1">
      <alignment horizontal="center"/>
    </xf>
    <xf numFmtId="0" fontId="12" fillId="0" borderId="12" xfId="0" applyFont="1" applyFill="1" applyBorder="1" applyAlignment="1" applyProtection="1">
      <alignment horizontal="left"/>
    </xf>
    <xf numFmtId="0" fontId="12" fillId="0" borderId="0" xfId="0" applyFont="1" applyFill="1" applyBorder="1" applyAlignment="1" applyProtection="1">
      <alignment horizontal="left"/>
    </xf>
    <xf numFmtId="0" fontId="12" fillId="0" borderId="13" xfId="0" applyFont="1" applyFill="1" applyBorder="1" applyAlignment="1" applyProtection="1">
      <alignment horizontal="left"/>
    </xf>
    <xf numFmtId="0" fontId="0" fillId="0" borderId="13" xfId="0" applyFill="1" applyBorder="1" applyProtection="1"/>
    <xf numFmtId="0" fontId="0" fillId="0" borderId="22" xfId="0" applyFill="1" applyBorder="1" applyProtection="1"/>
    <xf numFmtId="0" fontId="12" fillId="11" borderId="14" xfId="0" applyFont="1" applyFill="1" applyBorder="1" applyAlignment="1" applyProtection="1"/>
    <xf numFmtId="0" fontId="12" fillId="11" borderId="15" xfId="0" applyFont="1" applyFill="1" applyBorder="1" applyAlignment="1" applyProtection="1"/>
    <xf numFmtId="0" fontId="12" fillId="11" borderId="16" xfId="0" applyFont="1" applyFill="1" applyBorder="1" applyProtection="1"/>
    <xf numFmtId="0" fontId="0" fillId="11" borderId="12" xfId="0" applyFill="1" applyBorder="1" applyProtection="1"/>
    <xf numFmtId="0" fontId="0" fillId="11" borderId="0" xfId="0" applyFill="1" applyBorder="1" applyProtection="1"/>
    <xf numFmtId="0" fontId="0" fillId="11" borderId="13" xfId="0" applyFill="1" applyBorder="1" applyProtection="1"/>
    <xf numFmtId="4" fontId="14" fillId="11" borderId="13" xfId="0" applyNumberFormat="1" applyFont="1" applyFill="1" applyBorder="1" applyAlignment="1" applyProtection="1">
      <alignment horizontal="center"/>
    </xf>
    <xf numFmtId="171" fontId="0" fillId="11" borderId="13" xfId="0" applyNumberFormat="1" applyFill="1" applyBorder="1" applyProtection="1"/>
    <xf numFmtId="0" fontId="0" fillId="11" borderId="13" xfId="0" applyFill="1" applyBorder="1" applyAlignment="1" applyProtection="1">
      <alignment horizontal="center"/>
    </xf>
    <xf numFmtId="0" fontId="0" fillId="11" borderId="33" xfId="0" applyFill="1" applyBorder="1" applyProtection="1"/>
    <xf numFmtId="172" fontId="0" fillId="11" borderId="34" xfId="0" applyNumberFormat="1" applyFill="1" applyBorder="1" applyProtection="1"/>
    <xf numFmtId="4" fontId="0" fillId="11" borderId="34" xfId="0" applyNumberFormat="1" applyFill="1" applyBorder="1" applyProtection="1"/>
    <xf numFmtId="4" fontId="0" fillId="11" borderId="35" xfId="0" applyNumberFormat="1" applyFill="1" applyBorder="1" applyProtection="1"/>
    <xf numFmtId="4" fontId="0" fillId="11" borderId="36" xfId="0" applyNumberFormat="1" applyFill="1" applyBorder="1" applyProtection="1"/>
    <xf numFmtId="4" fontId="0" fillId="11" borderId="37" xfId="0" applyNumberFormat="1" applyFill="1" applyBorder="1" applyProtection="1"/>
    <xf numFmtId="0" fontId="0" fillId="11" borderId="28" xfId="0" applyFill="1" applyBorder="1" applyProtection="1"/>
    <xf numFmtId="172" fontId="0" fillId="11" borderId="29" xfId="0" applyNumberFormat="1" applyFill="1" applyBorder="1" applyProtection="1"/>
    <xf numFmtId="4" fontId="0" fillId="11" borderId="29" xfId="0" applyNumberFormat="1" applyFill="1" applyBorder="1" applyProtection="1"/>
    <xf numFmtId="4" fontId="0" fillId="11" borderId="30" xfId="0" applyNumberFormat="1" applyFill="1" applyBorder="1" applyProtection="1"/>
    <xf numFmtId="4" fontId="0" fillId="11" borderId="31" xfId="0" applyNumberFormat="1" applyFill="1" applyBorder="1" applyProtection="1"/>
    <xf numFmtId="4" fontId="0" fillId="11" borderId="32" xfId="0" applyNumberFormat="1" applyFill="1" applyBorder="1" applyProtection="1"/>
    <xf numFmtId="10" fontId="0" fillId="0" borderId="0" xfId="1" applyNumberFormat="1" applyFont="1" applyProtection="1"/>
    <xf numFmtId="164" fontId="0" fillId="0" borderId="0" xfId="1" applyNumberFormat="1" applyFont="1" applyProtection="1"/>
    <xf numFmtId="0" fontId="0" fillId="0" borderId="38" xfId="0" applyFill="1" applyBorder="1" applyProtection="1"/>
    <xf numFmtId="0" fontId="0" fillId="0" borderId="38" xfId="0" applyFill="1" applyBorder="1" applyAlignment="1" applyProtection="1">
      <alignment horizontal="center"/>
    </xf>
    <xf numFmtId="0" fontId="0" fillId="10" borderId="41" xfId="0" applyFill="1" applyBorder="1" applyProtection="1">
      <protection locked="0"/>
    </xf>
    <xf numFmtId="14" fontId="0" fillId="0" borderId="38" xfId="0" applyNumberFormat="1" applyFill="1" applyBorder="1" applyProtection="1"/>
    <xf numFmtId="9" fontId="0" fillId="0" borderId="38" xfId="1" applyFont="1" applyFill="1" applyBorder="1" applyProtection="1"/>
    <xf numFmtId="0" fontId="0" fillId="11" borderId="0" xfId="0" applyFill="1" applyProtection="1"/>
    <xf numFmtId="9" fontId="0" fillId="11" borderId="0" xfId="1" applyFont="1" applyFill="1" applyBorder="1" applyProtection="1"/>
    <xf numFmtId="0" fontId="0" fillId="11" borderId="0" xfId="0" applyFill="1" applyBorder="1" applyAlignment="1" applyProtection="1">
      <alignment horizontal="center"/>
    </xf>
    <xf numFmtId="10" fontId="0" fillId="11" borderId="0" xfId="1" applyNumberFormat="1" applyFont="1" applyFill="1" applyProtection="1"/>
    <xf numFmtId="9" fontId="0" fillId="10" borderId="17" xfId="1" applyFont="1" applyFill="1" applyBorder="1" applyProtection="1">
      <protection locked="0"/>
    </xf>
    <xf numFmtId="0" fontId="6" fillId="0" borderId="0" xfId="0" applyFont="1" applyFill="1" applyAlignment="1">
      <alignment wrapText="1"/>
    </xf>
    <xf numFmtId="0" fontId="0" fillId="12" borderId="0" xfId="0" applyFill="1"/>
    <xf numFmtId="2" fontId="0" fillId="0" borderId="0" xfId="1" applyNumberFormat="1" applyFont="1"/>
    <xf numFmtId="43" fontId="0" fillId="0" borderId="0" xfId="3" applyFont="1"/>
    <xf numFmtId="43" fontId="0" fillId="0" borderId="0" xfId="3" applyFont="1" applyAlignment="1"/>
    <xf numFmtId="43" fontId="6" fillId="0" borderId="7" xfId="3" applyFont="1" applyBorder="1"/>
    <xf numFmtId="43" fontId="0" fillId="0" borderId="0" xfId="3" applyFont="1" applyBorder="1"/>
    <xf numFmtId="0" fontId="5" fillId="4" borderId="0" xfId="0" applyFont="1" applyFill="1" applyBorder="1" applyAlignment="1">
      <alignment horizontal="center" vertical="center"/>
    </xf>
    <xf numFmtId="174" fontId="0" fillId="0" borderId="0" xfId="1" applyNumberFormat="1" applyFont="1" applyFill="1"/>
    <xf numFmtId="173" fontId="0" fillId="0" borderId="0" xfId="1" applyNumberFormat="1" applyFont="1" applyBorder="1"/>
    <xf numFmtId="171" fontId="0" fillId="0" borderId="0" xfId="0" applyNumberFormat="1" applyBorder="1"/>
    <xf numFmtId="173" fontId="0" fillId="0" borderId="0" xfId="1" applyNumberFormat="1" applyFont="1" applyFill="1"/>
    <xf numFmtId="166" fontId="0" fillId="0" borderId="0" xfId="1" applyNumberFormat="1" applyFont="1" applyFill="1"/>
    <xf numFmtId="2" fontId="0" fillId="0" borderId="0" xfId="1" applyNumberFormat="1" applyFont="1" applyBorder="1"/>
    <xf numFmtId="2" fontId="0" fillId="0" borderId="0" xfId="1" applyNumberFormat="1" applyFont="1" applyFill="1"/>
    <xf numFmtId="0" fontId="6" fillId="13" borderId="42" xfId="0" applyFont="1" applyFill="1" applyBorder="1" applyAlignment="1">
      <alignment horizontal="center"/>
    </xf>
    <xf numFmtId="0" fontId="6" fillId="14" borderId="17" xfId="0" applyFont="1" applyFill="1" applyBorder="1" applyAlignment="1" applyProtection="1">
      <alignment horizontal="right"/>
      <protection locked="0"/>
    </xf>
    <xf numFmtId="43" fontId="6" fillId="11" borderId="43" xfId="3" applyFont="1" applyFill="1" applyBorder="1" applyAlignment="1">
      <alignment horizontal="center"/>
    </xf>
    <xf numFmtId="43" fontId="6" fillId="0" borderId="0" xfId="3" applyFont="1" applyFill="1" applyBorder="1" applyAlignment="1">
      <alignment horizontal="center"/>
    </xf>
    <xf numFmtId="176" fontId="0" fillId="0" borderId="0" xfId="1" applyNumberFormat="1" applyFont="1"/>
    <xf numFmtId="175" fontId="0" fillId="0" borderId="0" xfId="0" applyNumberFormat="1"/>
    <xf numFmtId="2" fontId="0" fillId="0" borderId="0" xfId="0" applyNumberFormat="1"/>
    <xf numFmtId="177" fontId="0" fillId="0" borderId="0" xfId="0" applyNumberFormat="1"/>
    <xf numFmtId="179" fontId="0" fillId="0" borderId="0" xfId="0" applyNumberFormat="1"/>
    <xf numFmtId="43" fontId="0" fillId="0" borderId="0" xfId="0" applyNumberFormat="1"/>
    <xf numFmtId="0" fontId="0" fillId="15" borderId="0" xfId="0" applyFill="1"/>
    <xf numFmtId="180" fontId="0" fillId="0" borderId="0" xfId="0" applyNumberFormat="1"/>
    <xf numFmtId="181" fontId="0" fillId="0" borderId="0" xfId="3" applyNumberFormat="1" applyFont="1"/>
    <xf numFmtId="182" fontId="0" fillId="0" borderId="0" xfId="3" applyNumberFormat="1" applyFont="1" applyBorder="1"/>
    <xf numFmtId="2" fontId="0" fillId="0" borderId="0" xfId="0" applyNumberFormat="1" applyFill="1"/>
    <xf numFmtId="167" fontId="0" fillId="0" borderId="0" xfId="1" applyNumberFormat="1" applyFont="1"/>
    <xf numFmtId="178" fontId="0" fillId="0" borderId="0" xfId="0" applyNumberFormat="1"/>
    <xf numFmtId="183" fontId="0" fillId="0" borderId="0" xfId="0" applyNumberFormat="1"/>
    <xf numFmtId="184" fontId="0" fillId="0" borderId="0" xfId="1" applyNumberFormat="1" applyFont="1"/>
    <xf numFmtId="167" fontId="0" fillId="0" borderId="0" xfId="1" applyNumberFormat="1" applyFont="1" applyFill="1" applyBorder="1"/>
    <xf numFmtId="0" fontId="0" fillId="5" borderId="0" xfId="0" applyFill="1" applyBorder="1"/>
    <xf numFmtId="0" fontId="0" fillId="0" borderId="1" xfId="0" applyFill="1" applyBorder="1"/>
    <xf numFmtId="0" fontId="6" fillId="0" borderId="1" xfId="0" applyFont="1" applyFill="1" applyBorder="1" applyAlignment="1">
      <alignment horizontal="center"/>
    </xf>
    <xf numFmtId="0" fontId="6" fillId="0" borderId="1" xfId="0" applyFont="1" applyFill="1" applyBorder="1" applyAlignment="1">
      <alignment horizontal="center" vertical="center"/>
    </xf>
    <xf numFmtId="167" fontId="0" fillId="0" borderId="0" xfId="0" applyNumberFormat="1" applyFill="1"/>
    <xf numFmtId="1" fontId="6" fillId="0" borderId="1" xfId="0" applyNumberFormat="1" applyFont="1" applyBorder="1" applyAlignment="1">
      <alignment horizontal="center" vertical="center"/>
    </xf>
    <xf numFmtId="0" fontId="6" fillId="2" borderId="1" xfId="1" applyNumberFormat="1" applyFont="1" applyFill="1" applyBorder="1" applyAlignment="1">
      <alignment horizontal="center" vertical="center"/>
    </xf>
    <xf numFmtId="10" fontId="0" fillId="0" borderId="0" xfId="1" applyNumberFormat="1" applyFont="1" applyFill="1"/>
    <xf numFmtId="184" fontId="6" fillId="0" borderId="1" xfId="0" applyNumberFormat="1" applyFont="1" applyFill="1" applyBorder="1" applyAlignment="1">
      <alignment horizontal="center"/>
    </xf>
    <xf numFmtId="0" fontId="6" fillId="0" borderId="1" xfId="0" applyFont="1" applyFill="1" applyBorder="1" applyAlignment="1">
      <alignment vertical="center"/>
    </xf>
    <xf numFmtId="166" fontId="6" fillId="0" borderId="2" xfId="1" applyNumberFormat="1" applyFont="1" applyFill="1" applyBorder="1" applyAlignment="1">
      <alignment horizontal="center" vertical="center"/>
    </xf>
    <xf numFmtId="178" fontId="0" fillId="0" borderId="0" xfId="0" applyNumberFormat="1" applyFill="1" applyBorder="1"/>
    <xf numFmtId="1" fontId="0" fillId="0" borderId="0" xfId="1" applyNumberFormat="1" applyFont="1" applyFill="1" applyBorder="1"/>
    <xf numFmtId="0" fontId="6" fillId="5" borderId="1" xfId="0" applyFont="1" applyFill="1" applyBorder="1" applyAlignment="1">
      <alignment horizontal="center" vertical="center"/>
    </xf>
    <xf numFmtId="2" fontId="6" fillId="7" borderId="0" xfId="1" applyNumberFormat="1" applyFont="1" applyFill="1"/>
    <xf numFmtId="43" fontId="6" fillId="0" borderId="0" xfId="0" applyNumberFormat="1" applyFont="1"/>
    <xf numFmtId="43" fontId="0" fillId="0" borderId="0" xfId="0" applyNumberFormat="1" applyFill="1"/>
    <xf numFmtId="0" fontId="0" fillId="17" borderId="0" xfId="0" applyFill="1"/>
    <xf numFmtId="9" fontId="0" fillId="0" borderId="0" xfId="0" applyNumberFormat="1" applyFill="1"/>
    <xf numFmtId="43" fontId="0" fillId="5" borderId="0" xfId="3" applyFont="1" applyFill="1" applyBorder="1"/>
    <xf numFmtId="43" fontId="6" fillId="5" borderId="7" xfId="3" applyFont="1" applyFill="1" applyBorder="1"/>
    <xf numFmtId="0" fontId="6" fillId="6" borderId="0" xfId="0" applyFont="1" applyFill="1" applyBorder="1" applyAlignment="1"/>
    <xf numFmtId="0" fontId="6" fillId="6" borderId="4" xfId="0" applyFont="1" applyFill="1" applyBorder="1" applyAlignment="1"/>
    <xf numFmtId="0" fontId="6" fillId="0" borderId="0" xfId="0" applyFont="1" applyFill="1" applyBorder="1" applyAlignment="1"/>
    <xf numFmtId="0" fontId="6" fillId="7" borderId="42" xfId="0" applyFont="1" applyFill="1" applyBorder="1" applyAlignment="1"/>
    <xf numFmtId="0" fontId="6" fillId="6" borderId="0" xfId="0" applyFont="1" applyFill="1" applyAlignment="1">
      <alignment horizontal="center"/>
    </xf>
    <xf numFmtId="0" fontId="6" fillId="0" borderId="0" xfId="0" applyFont="1" applyAlignment="1">
      <alignment horizontal="center" wrapText="1"/>
    </xf>
    <xf numFmtId="43" fontId="6" fillId="0" borderId="0" xfId="3" applyFont="1" applyAlignment="1">
      <alignment horizontal="center"/>
    </xf>
    <xf numFmtId="0" fontId="6" fillId="0" borderId="0" xfId="0" applyFont="1" applyAlignment="1">
      <alignment horizontal="center"/>
    </xf>
    <xf numFmtId="0" fontId="6" fillId="2" borderId="0" xfId="0" applyFont="1" applyFill="1" applyAlignment="1">
      <alignment horizontal="center"/>
    </xf>
    <xf numFmtId="0" fontId="6" fillId="16" borderId="1" xfId="0" applyFont="1" applyFill="1" applyBorder="1" applyAlignment="1">
      <alignment horizontal="center"/>
    </xf>
    <xf numFmtId="0" fontId="6" fillId="0" borderId="8" xfId="0" applyFont="1" applyBorder="1" applyAlignment="1">
      <alignment horizontal="center"/>
    </xf>
    <xf numFmtId="0" fontId="6" fillId="0" borderId="12" xfId="0" applyFont="1" applyFill="1" applyBorder="1" applyAlignment="1" applyProtection="1">
      <alignment horizontal="right"/>
    </xf>
    <xf numFmtId="0" fontId="6" fillId="0" borderId="0" xfId="0" applyFont="1" applyFill="1" applyBorder="1" applyAlignment="1" applyProtection="1">
      <alignment horizontal="right"/>
    </xf>
    <xf numFmtId="0" fontId="10" fillId="0" borderId="0" xfId="2" applyAlignment="1" applyProtection="1"/>
    <xf numFmtId="0" fontId="12" fillId="9" borderId="9" xfId="0" applyFont="1" applyFill="1" applyBorder="1" applyAlignment="1" applyProtection="1">
      <alignment horizontal="left"/>
    </xf>
    <xf numFmtId="0" fontId="12" fillId="9" borderId="10" xfId="0" applyFont="1" applyFill="1" applyBorder="1" applyAlignment="1" applyProtection="1">
      <alignment horizontal="left"/>
    </xf>
    <xf numFmtId="0" fontId="12" fillId="9" borderId="11" xfId="0" applyFont="1" applyFill="1" applyBorder="1" applyAlignment="1" applyProtection="1">
      <alignment horizontal="left"/>
    </xf>
    <xf numFmtId="0" fontId="15" fillId="0" borderId="12" xfId="0" applyFont="1" applyFill="1" applyBorder="1" applyAlignment="1" applyProtection="1">
      <alignment horizontal="right"/>
    </xf>
    <xf numFmtId="0" fontId="15" fillId="0" borderId="0" xfId="0" applyFont="1" applyFill="1" applyBorder="1" applyAlignment="1" applyProtection="1">
      <alignment horizontal="right"/>
    </xf>
    <xf numFmtId="0" fontId="14" fillId="11" borderId="12" xfId="0" applyFont="1" applyFill="1" applyBorder="1" applyAlignment="1" applyProtection="1">
      <alignment horizontal="right"/>
    </xf>
    <xf numFmtId="0" fontId="14" fillId="11" borderId="0" xfId="0" applyFont="1" applyFill="1" applyBorder="1" applyAlignment="1" applyProtection="1">
      <alignment horizontal="right"/>
    </xf>
    <xf numFmtId="0" fontId="0" fillId="11" borderId="12" xfId="0" applyFill="1" applyBorder="1" applyAlignment="1" applyProtection="1">
      <alignment horizontal="right"/>
    </xf>
    <xf numFmtId="0" fontId="0" fillId="11" borderId="0" xfId="0" applyFill="1" applyBorder="1" applyAlignment="1" applyProtection="1">
      <alignment horizontal="right"/>
    </xf>
    <xf numFmtId="0" fontId="6" fillId="0" borderId="19" xfId="0" applyFont="1" applyFill="1" applyBorder="1" applyAlignment="1" applyProtection="1">
      <alignment horizontal="right"/>
    </xf>
    <xf numFmtId="0" fontId="12" fillId="9" borderId="20" xfId="0" applyFont="1" applyFill="1" applyBorder="1" applyAlignment="1" applyProtection="1">
      <alignment horizontal="left"/>
    </xf>
    <xf numFmtId="0" fontId="12" fillId="9" borderId="21" xfId="0" applyFont="1" applyFill="1" applyBorder="1" applyAlignment="1" applyProtection="1">
      <alignment horizontal="left"/>
    </xf>
    <xf numFmtId="0" fontId="15" fillId="11" borderId="23" xfId="0" applyFont="1" applyFill="1" applyBorder="1" applyAlignment="1" applyProtection="1">
      <alignment horizontal="right" wrapText="1"/>
    </xf>
    <xf numFmtId="0" fontId="15" fillId="11" borderId="28" xfId="0" applyFont="1" applyFill="1" applyBorder="1" applyAlignment="1" applyProtection="1">
      <alignment horizontal="right"/>
    </xf>
    <xf numFmtId="0" fontId="15" fillId="11" borderId="24" xfId="0" applyFont="1" applyFill="1" applyBorder="1" applyAlignment="1" applyProtection="1">
      <alignment horizontal="right" wrapText="1"/>
    </xf>
    <xf numFmtId="0" fontId="15" fillId="11" borderId="29" xfId="0" applyFont="1" applyFill="1" applyBorder="1" applyAlignment="1" applyProtection="1">
      <alignment horizontal="right"/>
    </xf>
    <xf numFmtId="0" fontId="15" fillId="11" borderId="29" xfId="0" applyFont="1" applyFill="1" applyBorder="1" applyAlignment="1" applyProtection="1">
      <alignment horizontal="right" wrapText="1"/>
    </xf>
    <xf numFmtId="0" fontId="15" fillId="11" borderId="25" xfId="0" applyFont="1" applyFill="1" applyBorder="1" applyAlignment="1" applyProtection="1">
      <alignment horizontal="right" wrapText="1"/>
    </xf>
    <xf numFmtId="0" fontId="15" fillId="11" borderId="30" xfId="0" applyFont="1" applyFill="1" applyBorder="1" applyAlignment="1" applyProtection="1">
      <alignment horizontal="right" wrapText="1"/>
    </xf>
    <xf numFmtId="0" fontId="15" fillId="11" borderId="26" xfId="0" applyFont="1" applyFill="1" applyBorder="1" applyAlignment="1" applyProtection="1">
      <alignment horizontal="right" wrapText="1"/>
    </xf>
    <xf numFmtId="0" fontId="15" fillId="11" borderId="31" xfId="0" applyFont="1" applyFill="1" applyBorder="1" applyAlignment="1" applyProtection="1">
      <alignment horizontal="right" wrapText="1"/>
    </xf>
    <xf numFmtId="0" fontId="15" fillId="11" borderId="27" xfId="0" applyFont="1" applyFill="1" applyBorder="1" applyAlignment="1" applyProtection="1">
      <alignment horizontal="right" wrapText="1"/>
    </xf>
    <xf numFmtId="0" fontId="15" fillId="11" borderId="32" xfId="0" applyFont="1" applyFill="1" applyBorder="1" applyAlignment="1" applyProtection="1">
      <alignment horizontal="right" wrapText="1"/>
    </xf>
    <xf numFmtId="0" fontId="0" fillId="11" borderId="0" xfId="0" applyFill="1" applyAlignment="1" applyProtection="1">
      <alignment horizontal="center" vertical="center"/>
    </xf>
    <xf numFmtId="0" fontId="0" fillId="11" borderId="0" xfId="0" applyFill="1" applyAlignment="1" applyProtection="1">
      <alignment horizontal="center"/>
    </xf>
    <xf numFmtId="0" fontId="12" fillId="9" borderId="12" xfId="0" applyFont="1" applyFill="1" applyBorder="1" applyAlignment="1" applyProtection="1">
      <alignment horizontal="center"/>
    </xf>
    <xf numFmtId="0" fontId="12" fillId="9" borderId="0" xfId="0" applyFont="1" applyFill="1" applyBorder="1" applyAlignment="1" applyProtection="1">
      <alignment horizontal="center"/>
    </xf>
    <xf numFmtId="0" fontId="6" fillId="11" borderId="12" xfId="0" applyFont="1" applyFill="1" applyBorder="1" applyAlignment="1" applyProtection="1">
      <alignment horizontal="center" vertical="center"/>
    </xf>
    <xf numFmtId="0" fontId="0" fillId="0" borderId="39" xfId="0" applyFill="1" applyBorder="1" applyAlignment="1" applyProtection="1">
      <alignment horizontal="center"/>
    </xf>
    <xf numFmtId="0" fontId="0" fillId="0" borderId="40" xfId="0" applyFill="1" applyBorder="1" applyAlignment="1" applyProtection="1">
      <alignment horizontal="center"/>
    </xf>
    <xf numFmtId="0" fontId="6" fillId="11" borderId="0" xfId="0" applyFont="1" applyFill="1" applyAlignment="1" applyProtection="1">
      <alignment horizontal="center" vertical="center"/>
    </xf>
    <xf numFmtId="0" fontId="15" fillId="11" borderId="23" xfId="0" applyFont="1" applyFill="1" applyBorder="1" applyAlignment="1" applyProtection="1">
      <alignment horizontal="right"/>
    </xf>
    <xf numFmtId="0" fontId="15" fillId="11" borderId="24" xfId="0" applyFont="1" applyFill="1" applyBorder="1" applyAlignment="1" applyProtection="1">
      <alignment horizontal="right"/>
    </xf>
    <xf numFmtId="0" fontId="0" fillId="0" borderId="38" xfId="0" applyFill="1" applyBorder="1" applyAlignment="1" applyProtection="1">
      <alignment horizontal="center"/>
    </xf>
    <xf numFmtId="0" fontId="0" fillId="2" borderId="0" xfId="0" applyFill="1"/>
    <xf numFmtId="0" fontId="0" fillId="2" borderId="0" xfId="0" applyNumberFormat="1" applyFill="1" applyBorder="1"/>
    <xf numFmtId="0" fontId="0" fillId="2" borderId="0" xfId="0" applyFill="1" applyBorder="1"/>
  </cellXfs>
  <cellStyles count="4">
    <cellStyle name="Lien hypertexte" xfId="2" builtinId="8"/>
    <cellStyle name="Milliers" xfId="3" builtinId="3"/>
    <cellStyle name="Normal" xfId="0" builtinId="0"/>
    <cellStyle name="Pourcentage" xfId="1" builtinId="5"/>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KG170"/>
  <sheetViews>
    <sheetView tabSelected="1" workbookViewId="0">
      <selection activeCell="F20" sqref="F20"/>
    </sheetView>
  </sheetViews>
  <sheetFormatPr baseColWidth="10" defaultRowHeight="15" x14ac:dyDescent="0.25"/>
  <cols>
    <col min="1" max="1" width="15.28515625" style="4" customWidth="1"/>
    <col min="2" max="2" width="14.140625" style="4" bestFit="1" customWidth="1"/>
    <col min="3" max="3" width="30.5703125" style="4" bestFit="1" customWidth="1"/>
    <col min="4" max="4" width="18.28515625" style="4" customWidth="1"/>
    <col min="5" max="5" width="21.28515625" style="4" customWidth="1"/>
    <col min="6" max="6" width="15.5703125" style="4" customWidth="1"/>
    <col min="7" max="7" width="17.85546875" style="4" customWidth="1"/>
    <col min="8" max="8" width="15.5703125" style="4" customWidth="1"/>
    <col min="9" max="9" width="21.85546875" style="4" customWidth="1"/>
    <col min="10" max="10" width="16.7109375" style="4" bestFit="1" customWidth="1"/>
    <col min="11" max="11" width="18.28515625" style="4" customWidth="1"/>
    <col min="12" max="12" width="11.42578125" style="4"/>
    <col min="13" max="13" width="15.140625" style="4" customWidth="1"/>
    <col min="14" max="17" width="16.140625" style="4" customWidth="1"/>
    <col min="18" max="18" width="18.7109375" style="4" customWidth="1"/>
    <col min="19" max="19" width="16.140625" style="4" customWidth="1"/>
    <col min="20" max="20" width="11.42578125" style="4"/>
    <col min="21" max="22" width="15.42578125" style="4" customWidth="1"/>
    <col min="23" max="23" width="11.42578125" style="4"/>
    <col min="24" max="24" width="11.7109375" style="4" bestFit="1" customWidth="1"/>
    <col min="25" max="27" width="11.42578125" style="4"/>
    <col min="28" max="29" width="15.28515625" style="4" bestFit="1" customWidth="1"/>
    <col min="30" max="31" width="11.42578125" style="4"/>
    <col min="32" max="32" width="22.42578125" style="4" customWidth="1"/>
    <col min="33" max="33" width="20.42578125" style="4" customWidth="1"/>
    <col min="34" max="34" width="15.28515625" style="4" customWidth="1"/>
    <col min="35" max="35" width="20.7109375" style="4" customWidth="1"/>
    <col min="36" max="36" width="14.5703125" style="4" bestFit="1" customWidth="1"/>
    <col min="37" max="37" width="10.5703125" style="4" customWidth="1"/>
    <col min="38" max="38" width="15.42578125" style="4" customWidth="1"/>
    <col min="39" max="41" width="11.42578125" style="4"/>
    <col min="42" max="42" width="13.42578125" style="4" customWidth="1"/>
    <col min="43" max="82" width="11.42578125" style="4"/>
    <col min="83" max="83" width="15.42578125" style="4" customWidth="1"/>
    <col min="84" max="95" width="11.42578125" style="4"/>
    <col min="96" max="96" width="13" style="4" customWidth="1"/>
    <col min="97" max="97" width="13.85546875" style="4" customWidth="1"/>
    <col min="98" max="98" width="13.5703125" style="4" customWidth="1"/>
    <col min="99" max="99" width="15.42578125" style="4" customWidth="1"/>
    <col min="100" max="100" width="13.140625" style="4" customWidth="1"/>
    <col min="101" max="101" width="13.85546875" style="4" customWidth="1"/>
    <col min="102" max="109" width="14.5703125" style="4" bestFit="1" customWidth="1"/>
    <col min="110" max="110" width="26.7109375" style="4" customWidth="1"/>
    <col min="111" max="111" width="28.42578125" style="4" customWidth="1"/>
    <col min="112" max="112" width="21.7109375" style="4" customWidth="1"/>
    <col min="113" max="113" width="25.85546875" style="4" customWidth="1"/>
    <col min="114" max="114" width="29.28515625" style="4" customWidth="1"/>
    <col min="115" max="115" width="31" style="4" customWidth="1"/>
    <col min="116" max="116" width="28.7109375" style="4" customWidth="1"/>
    <col min="117" max="117" width="25.5703125" style="4" customWidth="1"/>
    <col min="118" max="118" width="30.5703125" style="4" customWidth="1"/>
    <col min="119" max="231" width="11.42578125" style="4"/>
    <col min="232" max="232" width="12.7109375" style="4" bestFit="1" customWidth="1"/>
    <col min="233" max="242" width="11.42578125" style="4"/>
    <col min="243" max="243" width="12.7109375" style="4" bestFit="1" customWidth="1"/>
    <col min="244" max="262" width="11.42578125" style="4"/>
    <col min="263" max="263" width="12.7109375" style="4" bestFit="1" customWidth="1"/>
    <col min="264" max="281" width="11.42578125" style="4"/>
    <col min="282" max="282" width="12.7109375" style="4" bestFit="1" customWidth="1"/>
    <col min="283" max="288" width="11.42578125" style="4"/>
    <col min="289" max="289" width="15" style="4" customWidth="1"/>
    <col min="290" max="16384" width="11.42578125" style="4"/>
  </cols>
  <sheetData>
    <row r="1" spans="1:21" x14ac:dyDescent="0.25">
      <c r="E1" s="36" t="s">
        <v>37</v>
      </c>
      <c r="F1" s="4">
        <f>VLOOKUP(A28+x,A28:AF138,22)</f>
        <v>3101021.3547806852</v>
      </c>
      <c r="G1" s="36" t="s">
        <v>134</v>
      </c>
      <c r="H1" s="4">
        <v>6.0000000000000001E-3</v>
      </c>
      <c r="I1" s="36" t="s">
        <v>28</v>
      </c>
      <c r="J1" s="64">
        <v>3.5000000000000003E-2</v>
      </c>
      <c r="K1" s="67" t="s">
        <v>64</v>
      </c>
      <c r="L1" s="137">
        <v>7.0000000000000007E-2</v>
      </c>
      <c r="M1" s="162"/>
      <c r="N1" s="163" t="s">
        <v>24</v>
      </c>
      <c r="O1" s="163" t="s">
        <v>47</v>
      </c>
      <c r="P1" s="164" t="s">
        <v>363</v>
      </c>
      <c r="Q1" s="164" t="s">
        <v>364</v>
      </c>
      <c r="S1" s="4" t="s">
        <v>62</v>
      </c>
      <c r="T1" s="4" t="s">
        <v>370</v>
      </c>
      <c r="U1" s="16" t="s">
        <v>371</v>
      </c>
    </row>
    <row r="2" spans="1:21" ht="33" customHeight="1" x14ac:dyDescent="0.25">
      <c r="A2" s="126" t="s">
        <v>109</v>
      </c>
      <c r="B2" s="52">
        <v>45870</v>
      </c>
      <c r="E2" s="36" t="s">
        <v>35</v>
      </c>
      <c r="F2" s="4">
        <f>VLOOKUP(A28+x,A28:AF138,30)</f>
        <v>5.9931219341788662</v>
      </c>
      <c r="G2" s="36" t="s">
        <v>133</v>
      </c>
      <c r="H2" s="4">
        <v>0</v>
      </c>
      <c r="I2" s="36" t="s">
        <v>29</v>
      </c>
      <c r="J2" s="66">
        <f>(1/(1+i))</f>
        <v>0.96618357487922713</v>
      </c>
      <c r="L2" s="127"/>
      <c r="M2" s="163">
        <v>1</v>
      </c>
      <c r="N2" s="163">
        <f>((1+0.035)^(-1))*(1-((1+0.035)^(-m-n+1)))/(1-((1+0.035)^(-1)))</f>
        <v>9.0015510363072053</v>
      </c>
      <c r="O2" s="163">
        <f>((1+0.035)^(-1))*(1-((1+0.035)^(-m-(n/2)+(1/2))))/(1-((1+0.035)^(-1)))</f>
        <v>6.8739555366785705</v>
      </c>
      <c r="P2" s="164">
        <f>IF(H14&gt;=B7*12*n*0.15,KE28,0)</f>
        <v>0</v>
      </c>
      <c r="Q2" s="164">
        <f t="shared" ref="Q2:Q21" si="0">KF28</f>
        <v>46680.171897070948</v>
      </c>
      <c r="S2" s="4" t="s">
        <v>372</v>
      </c>
      <c r="T2" s="4">
        <v>12</v>
      </c>
      <c r="U2" s="179">
        <v>0.04</v>
      </c>
    </row>
    <row r="3" spans="1:21" x14ac:dyDescent="0.25">
      <c r="A3" s="37" t="s">
        <v>23</v>
      </c>
      <c r="B3" s="24">
        <v>28647</v>
      </c>
      <c r="C3" s="53">
        <f>DATEDIF(B3,dateeffet,"y")</f>
        <v>40</v>
      </c>
      <c r="D3" s="2">
        <f>((DATEDIF(B3,dateeffet,"d")-1)/365)</f>
        <v>40.263013698630139</v>
      </c>
      <c r="E3" s="36" t="s">
        <v>7</v>
      </c>
      <c r="F3" s="26">
        <f>VLOOKUP(A28+x,A28:AF138,25)</f>
        <v>0.75530291645053715</v>
      </c>
      <c r="G3" s="36" t="s">
        <v>25</v>
      </c>
      <c r="H3" s="26">
        <f>E23</f>
        <v>4.5870314665872751</v>
      </c>
      <c r="I3" s="36" t="s">
        <v>30</v>
      </c>
      <c r="J3" s="26">
        <f>(1+i)^(1/12)-1</f>
        <v>2.8708987190766422E-3</v>
      </c>
      <c r="K3" s="178" t="s">
        <v>369</v>
      </c>
      <c r="L3" s="26">
        <v>0</v>
      </c>
      <c r="M3" s="163">
        <v>2</v>
      </c>
      <c r="N3" s="163">
        <f>((1+0.035)^(-1))*(1-((1+0.035)^(-m-n+2)))/(1-((1+0.035)^(-1)))</f>
        <v>8.3166053225779564</v>
      </c>
      <c r="O3" s="163">
        <f>((1+0.035)^(-1))*(1-((1+0.035)^(-m-(n/2)+2/2)))/(1-((1+0.035)^(-1)))</f>
        <v>6.4975152831830325</v>
      </c>
      <c r="P3" s="164">
        <f t="shared" ref="P3:P21" si="1">KE29</f>
        <v>145544.93718011864</v>
      </c>
      <c r="Q3" s="164">
        <f t="shared" si="0"/>
        <v>153205.19703170384</v>
      </c>
      <c r="S3" s="4" t="s">
        <v>373</v>
      </c>
      <c r="T3" s="4">
        <v>4</v>
      </c>
      <c r="U3" s="179">
        <v>0.03</v>
      </c>
    </row>
    <row r="4" spans="1:21" x14ac:dyDescent="0.25">
      <c r="A4" s="37" t="s">
        <v>48</v>
      </c>
      <c r="B4" s="24">
        <v>43344</v>
      </c>
      <c r="C4" s="26"/>
      <c r="D4" s="26">
        <f>+DATEDIF(B3,dateeffet,"d")</f>
        <v>14697</v>
      </c>
      <c r="E4" s="36" t="s">
        <v>10</v>
      </c>
      <c r="F4" s="26">
        <f>VLOOKUP(A28+x,A28:AF138,27)</f>
        <v>3.4341999421172345E-2</v>
      </c>
      <c r="G4" s="36" t="s">
        <v>26</v>
      </c>
      <c r="H4" s="26">
        <f>F23</f>
        <v>9.8173874805439123</v>
      </c>
      <c r="I4" s="38" t="s">
        <v>31</v>
      </c>
      <c r="J4" s="65">
        <f>VLOOKUP(D7,S2:U5,3,0)</f>
        <v>0.04</v>
      </c>
      <c r="K4" s="3"/>
      <c r="L4" s="3"/>
      <c r="M4" s="163">
        <v>3</v>
      </c>
      <c r="N4" s="163">
        <f>((1+0.035)^(-1))*(1-((1+0.035)^(-m-n+3)))/(1-((1+0.035)^(-1)))</f>
        <v>7.6076865088681842</v>
      </c>
      <c r="O4" s="163">
        <f>((1+0.035)^(-1))*(1-((1+0.035)^(-m-(n/2)+3/2)))/(1-((1+0.035)^(-1)))</f>
        <v>6.1145439804623241</v>
      </c>
      <c r="P4" s="164">
        <f t="shared" si="1"/>
        <v>232037.93432372529</v>
      </c>
      <c r="Q4" s="164">
        <f t="shared" si="0"/>
        <v>244250.45718286873</v>
      </c>
      <c r="S4" s="4" t="s">
        <v>374</v>
      </c>
      <c r="T4" s="4">
        <v>2</v>
      </c>
      <c r="U4" s="179">
        <v>0.02</v>
      </c>
    </row>
    <row r="5" spans="1:21" x14ac:dyDescent="0.25">
      <c r="A5" s="22" t="s">
        <v>13</v>
      </c>
      <c r="B5" s="37">
        <f>DATEDIF(dateeffet,B2,"y")+1</f>
        <v>7</v>
      </c>
      <c r="C5" s="26"/>
      <c r="D5" s="26"/>
      <c r="E5" s="36" t="s">
        <v>8</v>
      </c>
      <c r="F5" s="129">
        <f>VLOOKUP(A28+x,A28:AF138,19)</f>
        <v>81606.783444357046</v>
      </c>
      <c r="G5" s="36" t="s">
        <v>27</v>
      </c>
      <c r="H5" s="26">
        <f>G23</f>
        <v>7.3594597886974054</v>
      </c>
      <c r="I5" s="38" t="s">
        <v>32</v>
      </c>
      <c r="J5" s="16">
        <v>3</v>
      </c>
      <c r="K5" s="3"/>
      <c r="L5" s="3"/>
      <c r="M5" s="163">
        <v>4</v>
      </c>
      <c r="N5" s="163">
        <f>((1+0.035)^(-1))*(1-((1+0.035)^(-m-n+4)))/(1-((1+0.035)^(-1)))</f>
        <v>6.8739555366785705</v>
      </c>
      <c r="O5" s="163">
        <f>((1+0.035)^(-1))*(1-((1+0.035)^(-m-(n/2)+4/2)))/(1-((1+0.035)^(-1)))</f>
        <v>5.7249283180944355</v>
      </c>
      <c r="P5" s="164">
        <f t="shared" si="1"/>
        <v>322253.54752604023</v>
      </c>
      <c r="Q5" s="164">
        <f t="shared" si="0"/>
        <v>339214.26055372658</v>
      </c>
      <c r="S5" s="4" t="s">
        <v>375</v>
      </c>
      <c r="T5" s="4">
        <v>1</v>
      </c>
      <c r="U5" s="179">
        <v>0</v>
      </c>
    </row>
    <row r="6" spans="1:21" ht="15.75" thickBot="1" x14ac:dyDescent="0.3">
      <c r="A6" s="22" t="s">
        <v>14</v>
      </c>
      <c r="B6" s="37">
        <v>5</v>
      </c>
      <c r="C6" s="26"/>
      <c r="D6" s="26"/>
      <c r="E6" s="36" t="s">
        <v>36</v>
      </c>
      <c r="F6" s="129">
        <f>VLOOKUP(A28+x,A28:AF138,26)</f>
        <v>73551.575928090766</v>
      </c>
      <c r="G6" s="36" t="s">
        <v>132</v>
      </c>
      <c r="H6" s="26">
        <v>1E-3</v>
      </c>
      <c r="I6" s="38" t="s">
        <v>33</v>
      </c>
      <c r="J6" s="16">
        <v>0</v>
      </c>
      <c r="K6" s="3" t="s">
        <v>110</v>
      </c>
      <c r="L6" s="3">
        <f>IF(rv&lt;=200000,1500,IF(AND(rv&gt;200000,rv&lt;300000),1000,0))</f>
        <v>1500</v>
      </c>
      <c r="M6" s="163">
        <v>5</v>
      </c>
      <c r="N6" s="163">
        <f>((1+0.035)^(-1))*(1-((1+0.035)^(-m-n+5)))/(1-((1+0.035)^(-1)))</f>
        <v>6.1145439804623241</v>
      </c>
      <c r="O6" s="163">
        <f>((1+0.035)^(-1))*(1-((1+0.035)^(-m-(n/2)+5/2)))/(1-((1+0.035)^(-1)))</f>
        <v>5.3285530197785027</v>
      </c>
      <c r="P6" s="164">
        <f t="shared" si="1"/>
        <v>416512.12682617671</v>
      </c>
      <c r="Q6" s="164">
        <f t="shared" si="0"/>
        <v>438433.817711765</v>
      </c>
    </row>
    <row r="7" spans="1:21" x14ac:dyDescent="0.25">
      <c r="A7" s="30" t="s">
        <v>366</v>
      </c>
      <c r="B7" s="143">
        <f>VLOOKUP(A28+x+Veillissement,A28:AK138,37)</f>
        <v>8545.2068798000219</v>
      </c>
      <c r="C7" s="141" t="s">
        <v>112</v>
      </c>
      <c r="D7" s="142" t="s">
        <v>372</v>
      </c>
      <c r="E7" s="40" t="s">
        <v>3</v>
      </c>
      <c r="F7" s="130">
        <f>VLOOKUP(A28+x,A28:AF138,21)</f>
        <v>4564154.762375352</v>
      </c>
      <c r="G7" s="36" t="s">
        <v>4</v>
      </c>
      <c r="H7" s="26">
        <v>0.03</v>
      </c>
      <c r="I7" s="38" t="s">
        <v>34</v>
      </c>
      <c r="J7" s="45">
        <f>IF(LEFT(D7,1)="M",((1+0.035)^(1/12)-1))+IF(LEFT(D7,1)="T",((1+0.035)^(1/4)-1))+IF(LEFT(D7,1)="S",((1+0.035)^(1/2)-1))+IF(LEFT(D7,1)="A",((1+0.035)^(1)-1))</f>
        <v>2.8708987190766422E-3</v>
      </c>
      <c r="K7" s="51"/>
      <c r="L7" s="3"/>
      <c r="M7" s="163">
        <v>6</v>
      </c>
      <c r="N7" s="163">
        <f>((1+0.035)^(-1))*(1-((1+0.035)^(-m-n+6)))/(1-((1+0.035)^(-1)))</f>
        <v>5.3285530197785027</v>
      </c>
      <c r="O7" s="163">
        <f>((1+0.035)^(-1))*(1-((1+0.035)^(-m-(n/2)+6/2)))/(1-((1+0.035)^(-1)))</f>
        <v>4.9253008092277426</v>
      </c>
      <c r="P7" s="164">
        <f t="shared" si="1"/>
        <v>515169.12918763777</v>
      </c>
      <c r="Q7" s="164">
        <f t="shared" si="0"/>
        <v>542283.29388172401</v>
      </c>
    </row>
    <row r="8" spans="1:21" x14ac:dyDescent="0.25">
      <c r="B8" s="144"/>
      <c r="C8" s="26"/>
      <c r="D8" s="26"/>
      <c r="E8" s="36" t="s">
        <v>5</v>
      </c>
      <c r="F8" s="129">
        <f>VLOOKUP(A28+x,A28:AF138,28)</f>
        <v>4329596.2727115229</v>
      </c>
      <c r="G8" s="36" t="s">
        <v>111</v>
      </c>
      <c r="H8" s="26">
        <v>0</v>
      </c>
      <c r="I8" s="38" t="s">
        <v>365</v>
      </c>
      <c r="J8" s="65">
        <v>0.05</v>
      </c>
      <c r="K8" s="3"/>
      <c r="L8" s="3"/>
      <c r="M8" s="163">
        <v>7</v>
      </c>
      <c r="N8" s="163">
        <f>((1+0.035)^(-1))*(1-((1+0.035)^(-m-n+7)))/(1-((1+0.035)^(-1)))</f>
        <v>4.5150523754707477</v>
      </c>
      <c r="O8" s="163">
        <f>((1+0.035)^(-1))*(1-((1+0.035)^(-m-(n/2)+7/2)))/(1-((1+0.035)^(-1)))</f>
        <v>4.5150523754707477</v>
      </c>
      <c r="P8" s="164">
        <f t="shared" si="1"/>
        <v>618623.26586850442</v>
      </c>
      <c r="Q8" s="164">
        <f t="shared" si="0"/>
        <v>651182.38512474147</v>
      </c>
    </row>
    <row r="9" spans="1:21" ht="15.75" thickBot="1" x14ac:dyDescent="0.3">
      <c r="B9" s="144"/>
      <c r="C9" s="26"/>
      <c r="D9" s="26"/>
      <c r="E9" s="36" t="s">
        <v>368</v>
      </c>
      <c r="F9" s="129">
        <f>VLOOKUP(D7,S2:U5,2,0)</f>
        <v>12</v>
      </c>
      <c r="G9" s="175" t="s">
        <v>116</v>
      </c>
      <c r="H9" s="156">
        <v>0.25</v>
      </c>
      <c r="I9" s="38" t="s">
        <v>367</v>
      </c>
      <c r="J9" s="65">
        <v>1</v>
      </c>
      <c r="K9" s="3"/>
      <c r="L9" s="3"/>
      <c r="M9" s="163">
        <v>8</v>
      </c>
      <c r="N9" s="163">
        <f>((1+0.035)^(-1))*(1-((1+0.035)^(-m-n+8)))/(1-((1+0.035)^(-1)))</f>
        <v>3.6730792086122257</v>
      </c>
      <c r="O9" s="163">
        <f>((1+0.035)^(-1))*(1-((1+0.035)^(-m-(n/2)+8/2)))/(1-((1+0.035)^(-1)))</f>
        <v>4.0976863375507113</v>
      </c>
      <c r="P9" s="164">
        <f t="shared" si="1"/>
        <v>0</v>
      </c>
      <c r="Q9" s="164">
        <f t="shared" si="0"/>
        <v>0</v>
      </c>
    </row>
    <row r="10" spans="1:21" ht="15.75" thickBot="1" x14ac:dyDescent="0.3">
      <c r="A10" s="186" t="s">
        <v>15</v>
      </c>
      <c r="B10" s="186"/>
      <c r="C10" s="186"/>
      <c r="D10" s="186"/>
      <c r="E10" s="49" t="s">
        <v>45</v>
      </c>
      <c r="F10" s="181">
        <f>VLOOKUP(A28+x,A28:AK138,36)</f>
        <v>98598.54092076949</v>
      </c>
      <c r="G10" s="185" t="s">
        <v>377</v>
      </c>
      <c r="H10" s="184">
        <v>12</v>
      </c>
      <c r="I10" s="182"/>
      <c r="J10" s="182"/>
      <c r="K10" s="182"/>
      <c r="L10" s="183"/>
      <c r="M10" s="163">
        <v>9</v>
      </c>
      <c r="N10" s="163">
        <f>((1+0.035)^(-1))*(1-((1+0.035)^(-m-n+9)))/(1-((1+0.035)^(-1)))</f>
        <v>2.8016369809136528</v>
      </c>
      <c r="O10" s="163">
        <f>((1+0.035)^(-1))*(1-((1+0.035)^(-m-(n/2)+9/2)))/(1-((1+0.035)^(-1)))</f>
        <v>3.6730792086122257</v>
      </c>
      <c r="P10" s="164">
        <f t="shared" si="1"/>
        <v>0</v>
      </c>
      <c r="Q10" s="164">
        <f t="shared" si="0"/>
        <v>0</v>
      </c>
    </row>
    <row r="11" spans="1:21" x14ac:dyDescent="0.25">
      <c r="A11" s="26"/>
      <c r="B11" s="26"/>
      <c r="C11" s="26"/>
      <c r="D11" s="26"/>
      <c r="E11" s="36" t="s">
        <v>38</v>
      </c>
      <c r="F11" s="129">
        <f>VLOOKUP(A28+x,A28:AF138,29)</f>
        <v>2923858.6434593615</v>
      </c>
      <c r="G11" s="38" t="s">
        <v>376</v>
      </c>
      <c r="H11" s="65">
        <v>0.04</v>
      </c>
      <c r="I11" s="3"/>
      <c r="J11" s="3"/>
      <c r="K11" s="3"/>
      <c r="L11" s="3"/>
      <c r="M11" s="163">
        <v>10</v>
      </c>
      <c r="N11" s="163">
        <f>((1+0.035)^(-1))*(1-((1+0.035)^(-m-n+10)))/(1-((1+0.035)^(-1)))</f>
        <v>1.8996942752456316</v>
      </c>
      <c r="O11" s="163">
        <f>((1+0.035)^(-1))*(1-((1+0.035)^(-m-(n/2)+10/2)))/(1-((1+0.035)^(-1)))</f>
        <v>3.2411053593649872</v>
      </c>
      <c r="P11" s="164">
        <f t="shared" si="1"/>
        <v>0</v>
      </c>
      <c r="Q11" s="164">
        <f t="shared" si="0"/>
        <v>0</v>
      </c>
    </row>
    <row r="12" spans="1:21" x14ac:dyDescent="0.25">
      <c r="A12" s="187" t="s">
        <v>17</v>
      </c>
      <c r="B12" s="188">
        <v>9935</v>
      </c>
      <c r="C12" s="189" t="s">
        <v>16</v>
      </c>
      <c r="D12" s="41"/>
      <c r="E12" s="40" t="s">
        <v>1</v>
      </c>
      <c r="F12" s="129">
        <f>VLOOKUP(A28+x,A28:AF138,16)</f>
        <v>234558.48966382915</v>
      </c>
      <c r="G12" s="26"/>
      <c r="H12" s="3"/>
      <c r="I12" s="3"/>
      <c r="J12" s="3"/>
      <c r="K12" s="3"/>
      <c r="L12" s="3"/>
      <c r="M12" s="163">
        <v>11</v>
      </c>
      <c r="N12" s="163">
        <f>((1+0.035)^(-1))*(1-((1+0.035)^(-m-n+11)))/(1-((1+0.035)^(-1)))</f>
        <v>0.96618357487922713</v>
      </c>
      <c r="O12" s="163">
        <f>((1+0.035)^(-1))*(1-((1+0.035)^(-m-(n/2)+11/2)))/(1-((1+0.035)^(-1)))</f>
        <v>2.8016369809136528</v>
      </c>
      <c r="P12" s="164">
        <f t="shared" si="1"/>
        <v>0</v>
      </c>
      <c r="Q12" s="164">
        <f t="shared" si="0"/>
        <v>0</v>
      </c>
    </row>
    <row r="13" spans="1:21" x14ac:dyDescent="0.25">
      <c r="A13" s="187"/>
      <c r="B13" s="188"/>
      <c r="C13" s="189"/>
      <c r="D13" s="26"/>
      <c r="E13" s="42" t="s">
        <v>39</v>
      </c>
      <c r="F13" s="132">
        <f>VLOOKUP(A28+x,A28:AF138,23)</f>
        <v>177162.71132132332</v>
      </c>
      <c r="G13" s="23" t="s">
        <v>22</v>
      </c>
      <c r="H13" s="31" t="s">
        <v>12</v>
      </c>
      <c r="I13" s="31"/>
      <c r="J13" s="190" t="s">
        <v>11</v>
      </c>
      <c r="K13" s="190"/>
      <c r="L13" s="31"/>
      <c r="M13" s="163">
        <v>12</v>
      </c>
      <c r="N13" s="169">
        <f>((1+0.035)^(-1))*(1-((1+0.035)^(-m-n+12)))/(1-((1+0.035)^(-1)))</f>
        <v>0</v>
      </c>
      <c r="O13" s="163">
        <f>((1+0.035)^(-1))*(1-((1+0.035)^(-m-(n/2)+12/2)))/(1-((1+0.035)^(-1)))</f>
        <v>2.354544046942761</v>
      </c>
      <c r="P13" s="164">
        <f t="shared" si="1"/>
        <v>0</v>
      </c>
      <c r="Q13" s="164">
        <f t="shared" si="0"/>
        <v>0</v>
      </c>
    </row>
    <row r="14" spans="1:21" x14ac:dyDescent="0.25">
      <c r="A14" s="26"/>
      <c r="B14" s="26"/>
      <c r="C14" s="26"/>
      <c r="D14" s="26"/>
      <c r="E14" s="42" t="s">
        <v>6</v>
      </c>
      <c r="F14" s="154">
        <f>VLOOKUP(A28+x,A28:AF138,24)</f>
        <v>6.2378190177283273</v>
      </c>
      <c r="G14" s="26">
        <v>1</v>
      </c>
      <c r="H14" s="176">
        <f>B7*12</f>
        <v>102542.48255760026</v>
      </c>
      <c r="I14" s="3"/>
      <c r="J14" s="191">
        <f>P2</f>
        <v>0</v>
      </c>
      <c r="K14" s="191"/>
      <c r="L14" s="3"/>
      <c r="M14" s="163">
        <v>13</v>
      </c>
      <c r="N14" s="163">
        <f>((1+0.035)^(-1))*(1-((1+0.035)^(-m-n+13)))/(1-((1+0.035)^(-1)))</f>
        <v>-1</v>
      </c>
      <c r="O14" s="163">
        <f>((1+0.035)^(-1))*(1-((1+0.035)^(-m-(n/2)+13/2)))/(1-((1+0.035)^(-1)))</f>
        <v>1.8996942752456316</v>
      </c>
      <c r="P14" s="164">
        <f t="shared" si="1"/>
        <v>0</v>
      </c>
      <c r="Q14" s="164">
        <f t="shared" si="0"/>
        <v>0</v>
      </c>
    </row>
    <row r="15" spans="1:21" x14ac:dyDescent="0.25">
      <c r="A15" s="187" t="s">
        <v>18</v>
      </c>
      <c r="B15" s="188">
        <f>rv*prcred</f>
        <v>9935</v>
      </c>
      <c r="C15" s="187" t="s">
        <v>19</v>
      </c>
      <c r="D15" s="26"/>
      <c r="E15" s="38" t="s">
        <v>40</v>
      </c>
      <c r="F15" s="132">
        <f>VLOOKUP(A28+x,A28:AF138,31)</f>
        <v>526945.46030997101</v>
      </c>
      <c r="G15" s="26">
        <v>2</v>
      </c>
      <c r="H15" s="37">
        <f>H14+H14</f>
        <v>205084.96511520052</v>
      </c>
      <c r="I15" s="3"/>
      <c r="J15" s="191">
        <f t="shared" ref="J15:J21" si="2">P3</f>
        <v>145544.93718011864</v>
      </c>
      <c r="K15" s="191"/>
      <c r="L15" s="10"/>
      <c r="M15" s="163">
        <v>14</v>
      </c>
      <c r="N15" s="163">
        <f>((1+0.035)^(-1))*(1-((1+0.035)^(-m-n+14)))/(1-((1+0.035)^(-1)))</f>
        <v>-2.0350000000000006</v>
      </c>
      <c r="O15" s="163">
        <f>((1+0.035)^(-1))*(1-((1+0.035)^(-m-(n/2)+14/2)))/(1-((1+0.035)^(-1)))</f>
        <v>1.4369530885857604</v>
      </c>
      <c r="P15" s="164">
        <f t="shared" si="1"/>
        <v>0</v>
      </c>
      <c r="Q15" s="164">
        <f t="shared" si="0"/>
        <v>0</v>
      </c>
    </row>
    <row r="16" spans="1:21" ht="15.75" thickBot="1" x14ac:dyDescent="0.3">
      <c r="A16" s="187"/>
      <c r="B16" s="188"/>
      <c r="C16" s="187"/>
      <c r="D16" s="26"/>
      <c r="E16" s="48" t="s">
        <v>41</v>
      </c>
      <c r="F16" s="132">
        <f>VLOOKUP(A28+x,A28:AJ138,33)</f>
        <v>548016.35291215265</v>
      </c>
      <c r="G16" s="26">
        <v>3</v>
      </c>
      <c r="H16" s="37">
        <f>H15+H14</f>
        <v>307627.4476728008</v>
      </c>
      <c r="I16" s="3"/>
      <c r="J16" s="191">
        <f t="shared" si="2"/>
        <v>232037.93432372529</v>
      </c>
      <c r="K16" s="191"/>
      <c r="L16" s="10"/>
      <c r="M16" s="163">
        <v>15</v>
      </c>
      <c r="N16" s="163">
        <f>((1+0.035)^(-1))*(1-((1+0.035)^(-m-n+15)))/(1-((1+0.035)^(-1)))</f>
        <v>-3.1062249999999993</v>
      </c>
      <c r="O16" s="163">
        <f>((1+0.035)^(-1))*(1-((1+0.035)^(-m-(n/2)+15/2)))/(1-((1+0.035)^(-1)))</f>
        <v>0.96618357487922713</v>
      </c>
      <c r="P16" s="164">
        <f t="shared" si="1"/>
        <v>0</v>
      </c>
      <c r="Q16" s="164">
        <f t="shared" si="0"/>
        <v>0</v>
      </c>
    </row>
    <row r="17" spans="1:292" ht="15.75" thickBot="1" x14ac:dyDescent="0.3">
      <c r="A17" s="26"/>
      <c r="B17" s="26"/>
      <c r="C17" s="26"/>
      <c r="D17" s="26"/>
      <c r="E17" s="50" t="s">
        <v>42</v>
      </c>
      <c r="F17" s="131">
        <f>VLOOKUP(A28+x,A28:AK138,35)</f>
        <v>589264.89560446527</v>
      </c>
      <c r="G17" s="26">
        <v>4</v>
      </c>
      <c r="H17" s="37">
        <f>H16+H14</f>
        <v>410169.93023040105</v>
      </c>
      <c r="I17" s="3"/>
      <c r="J17" s="191">
        <f t="shared" si="2"/>
        <v>322253.54752604023</v>
      </c>
      <c r="K17" s="191"/>
      <c r="L17" s="29"/>
      <c r="M17" s="163">
        <v>16</v>
      </c>
      <c r="N17" s="163">
        <f>((1+0.035)^(-1))*(1-((1+0.035)^(-m-n+16)))/(1-((1+0.035)^(-1)))</f>
        <v>-4.2149428750000002</v>
      </c>
      <c r="O17" s="163">
        <f>((1+0.035)^(-1))*(1-((1+0.035)^(-m-(n/2)+16/2)))/(1-((1+0.035)^(-1)))</f>
        <v>0.48724644668626199</v>
      </c>
      <c r="P17" s="164">
        <f t="shared" si="1"/>
        <v>0</v>
      </c>
      <c r="Q17" s="164">
        <f t="shared" si="0"/>
        <v>0</v>
      </c>
    </row>
    <row r="18" spans="1:292" x14ac:dyDescent="0.25">
      <c r="A18" s="186" t="s">
        <v>20</v>
      </c>
      <c r="B18" s="186"/>
      <c r="C18" s="186"/>
      <c r="D18" s="186"/>
      <c r="E18" s="38" t="s">
        <v>43</v>
      </c>
      <c r="F18" s="180">
        <f>VLOOKUP(A28+x,A28:AK138,32)</f>
        <v>84475.913586520284</v>
      </c>
      <c r="G18" s="26">
        <v>5</v>
      </c>
      <c r="H18" s="37">
        <f>H17+H14</f>
        <v>512712.4127880013</v>
      </c>
      <c r="I18" s="3"/>
      <c r="J18" s="191">
        <f t="shared" si="2"/>
        <v>416512.12682617671</v>
      </c>
      <c r="K18" s="191"/>
      <c r="L18" s="10"/>
      <c r="M18" s="163">
        <v>17</v>
      </c>
      <c r="N18" s="163">
        <f>((1+0.035)^(-1))*(1-((1+0.035)^(-m-n+17)))/(1-((1+0.035)^(-1)))</f>
        <v>-5.3624658756249977</v>
      </c>
      <c r="O18" s="163">
        <f>((1+0.035)^(-1))*(1-((1+0.035)^(-m-(n/2)+17/2)))/(1-((1+0.035)^(-1)))</f>
        <v>0</v>
      </c>
      <c r="P18" s="164">
        <f t="shared" si="1"/>
        <v>0</v>
      </c>
      <c r="Q18" s="164">
        <f t="shared" si="0"/>
        <v>0</v>
      </c>
    </row>
    <row r="19" spans="1:292" x14ac:dyDescent="0.25">
      <c r="A19" s="26"/>
      <c r="B19" s="26"/>
      <c r="C19" s="26"/>
      <c r="D19" s="26"/>
      <c r="E19" s="38" t="s">
        <v>44</v>
      </c>
      <c r="F19" s="132">
        <f>VLOOKUP(A28+x,A28:AJ138,34)</f>
        <v>91696.643056315617</v>
      </c>
      <c r="G19" s="26">
        <v>6</v>
      </c>
      <c r="H19" s="37">
        <f>H18+H14</f>
        <v>615254.8953456016</v>
      </c>
      <c r="I19" s="3"/>
      <c r="J19" s="191">
        <f t="shared" si="2"/>
        <v>515169.12918763777</v>
      </c>
      <c r="K19" s="191"/>
      <c r="L19" s="29"/>
      <c r="M19" s="163">
        <v>18</v>
      </c>
      <c r="N19" s="163">
        <f>((1+0.035)^(-1))*(1-((1+0.035)^(-m-n+18)))/(1-((1+0.035)^(-1)))</f>
        <v>-6.5501521812718773</v>
      </c>
      <c r="O19" s="163">
        <f>((1+0.035)^(-1))*(1-((1+0.035)^(-m-(n/2)+18/2)))/(1-((1+0.035)^(-1)))</f>
        <v>-0.49569992767972165</v>
      </c>
      <c r="P19" s="164">
        <f t="shared" si="1"/>
        <v>0</v>
      </c>
      <c r="Q19" s="164">
        <f t="shared" si="0"/>
        <v>0</v>
      </c>
    </row>
    <row r="20" spans="1:292" x14ac:dyDescent="0.25">
      <c r="A20" s="26"/>
      <c r="B20" s="26"/>
      <c r="C20" s="43"/>
      <c r="D20" s="26"/>
      <c r="F20" s="3"/>
      <c r="G20" s="26">
        <v>7</v>
      </c>
      <c r="H20" s="37">
        <f>H19+H14</f>
        <v>717797.37790320185</v>
      </c>
      <c r="I20" s="3"/>
      <c r="J20" s="191">
        <f t="shared" si="2"/>
        <v>618623.26586850442</v>
      </c>
      <c r="K20" s="191"/>
      <c r="L20" s="11"/>
      <c r="M20" s="163">
        <v>19</v>
      </c>
      <c r="N20" s="163">
        <f>((1+0.035)^(-1))*(1-((1+0.035)^(-m-n+19)))/(1-((1+0.035)^(-1)))</f>
        <v>-7.7794075076163915</v>
      </c>
      <c r="O20" s="163">
        <f>((1+0.035)^(-1))*(1-((1+0.035)^(-m-(n/2)+19/2)))/(1-((1+0.035)^(-1)))</f>
        <v>-1</v>
      </c>
      <c r="P20" s="164">
        <f t="shared" si="1"/>
        <v>0</v>
      </c>
      <c r="Q20" s="164">
        <f t="shared" si="0"/>
        <v>0</v>
      </c>
    </row>
    <row r="21" spans="1:292" x14ac:dyDescent="0.25">
      <c r="A21" s="47" t="s">
        <v>21</v>
      </c>
      <c r="B21" s="47"/>
      <c r="C21" s="47"/>
      <c r="D21" s="47"/>
      <c r="E21" s="21"/>
      <c r="F21" s="135"/>
      <c r="G21" s="26">
        <v>8</v>
      </c>
      <c r="H21" s="37">
        <f>H20+H14</f>
        <v>820339.8604608021</v>
      </c>
      <c r="I21" s="3"/>
      <c r="J21" s="191">
        <f t="shared" si="2"/>
        <v>0</v>
      </c>
      <c r="K21" s="191"/>
      <c r="L21" s="29"/>
      <c r="M21" s="163">
        <v>20</v>
      </c>
      <c r="N21" s="163">
        <f>((1+0.035)^(-1))*(1-((1+0.035)^(-m-n+20)))/(1-((1+0.035)^(-1)))</f>
        <v>-9.0516867703829593</v>
      </c>
      <c r="O21" s="163">
        <f>((1+0.035)^(-1))*(1-((1+0.035)^(-m-(n/2)+20/2)))/(1-((1+0.035)^(-1)))</f>
        <v>-1.5130494251485129</v>
      </c>
      <c r="P21" s="164">
        <f t="shared" si="1"/>
        <v>0</v>
      </c>
      <c r="Q21" s="164">
        <f t="shared" si="0"/>
        <v>0</v>
      </c>
    </row>
    <row r="22" spans="1:292" x14ac:dyDescent="0.25">
      <c r="A22" s="10"/>
      <c r="B22" s="26"/>
      <c r="C22" s="26"/>
      <c r="D22" s="26"/>
      <c r="F22" s="136"/>
      <c r="G22" s="3"/>
      <c r="H22" s="3"/>
      <c r="I22" s="3"/>
      <c r="J22" s="3"/>
      <c r="K22" s="3"/>
      <c r="L22" s="3"/>
    </row>
    <row r="23" spans="1:292" x14ac:dyDescent="0.25">
      <c r="A23" s="26"/>
      <c r="B23" s="128"/>
      <c r="D23" s="51"/>
      <c r="E23" s="230">
        <f>(1/P)*(i/J7)*((1-v^(m))/i)</f>
        <v>4.5870314665872751</v>
      </c>
      <c r="F23" s="231">
        <f>(1/P)*(i/J7)*((1-v^(m+n))/i)</f>
        <v>9.8173874805439123</v>
      </c>
      <c r="G23" s="232">
        <f>(1/P)*(i/J7)*((1-v^(m+n/2))/i)</f>
        <v>7.3594597886974054</v>
      </c>
      <c r="H23" s="128"/>
      <c r="I23" s="139"/>
      <c r="J23" s="3"/>
      <c r="K23" s="3"/>
      <c r="L23" s="3"/>
    </row>
    <row r="24" spans="1:292" x14ac:dyDescent="0.25">
      <c r="A24" s="52"/>
      <c r="B24" s="11"/>
      <c r="C24" s="138"/>
      <c r="D24" s="138"/>
      <c r="E24" s="128"/>
      <c r="F24" s="159"/>
      <c r="G24" s="160"/>
      <c r="H24" s="128"/>
      <c r="I24" s="140"/>
    </row>
    <row r="25" spans="1:292" x14ac:dyDescent="0.25">
      <c r="B25" s="128"/>
      <c r="C25" s="138"/>
      <c r="D25" s="134"/>
      <c r="AI25" s="39"/>
      <c r="JD25" s="4">
        <f>JD28*0.95</f>
        <v>143031.72785573159</v>
      </c>
    </row>
    <row r="26" spans="1:292" x14ac:dyDescent="0.25">
      <c r="J26" s="44"/>
      <c r="P26" s="155"/>
      <c r="AL26" s="177">
        <f>B9</f>
        <v>0</v>
      </c>
      <c r="JJ26" s="4">
        <f>JJ28*0.95</f>
        <v>724550.38534734969</v>
      </c>
    </row>
    <row r="27" spans="1:292" x14ac:dyDescent="0.25">
      <c r="A27" s="5" t="s">
        <v>108</v>
      </c>
      <c r="B27" s="5" t="s">
        <v>2</v>
      </c>
      <c r="C27" s="6" t="s">
        <v>138</v>
      </c>
      <c r="D27" s="6" t="s">
        <v>113</v>
      </c>
      <c r="E27" s="6" t="s">
        <v>114</v>
      </c>
      <c r="F27" s="6" t="s">
        <v>97</v>
      </c>
      <c r="G27" s="6" t="s">
        <v>115</v>
      </c>
      <c r="H27" s="6" t="s">
        <v>117</v>
      </c>
      <c r="I27" s="6" t="s">
        <v>118</v>
      </c>
      <c r="J27" s="6" t="s">
        <v>119</v>
      </c>
      <c r="K27" s="6" t="s">
        <v>120</v>
      </c>
      <c r="L27" s="6" t="s">
        <v>123</v>
      </c>
      <c r="M27" s="6" t="s">
        <v>121</v>
      </c>
      <c r="N27" s="6" t="s">
        <v>122</v>
      </c>
      <c r="O27" s="6" t="s">
        <v>123</v>
      </c>
      <c r="P27" s="6" t="s">
        <v>125</v>
      </c>
      <c r="Q27" s="6" t="s">
        <v>137</v>
      </c>
      <c r="R27" s="6" t="s">
        <v>126</v>
      </c>
      <c r="S27" s="8" t="s">
        <v>8</v>
      </c>
      <c r="T27" s="7" t="s">
        <v>124</v>
      </c>
      <c r="U27" s="7" t="s">
        <v>129</v>
      </c>
      <c r="V27" s="7" t="s">
        <v>127</v>
      </c>
      <c r="W27" s="6" t="s">
        <v>128</v>
      </c>
      <c r="X27" s="9" t="s">
        <v>135</v>
      </c>
      <c r="Y27" s="9" t="s">
        <v>136</v>
      </c>
      <c r="Z27" s="9" t="s">
        <v>9</v>
      </c>
      <c r="AA27" s="9" t="s">
        <v>10</v>
      </c>
      <c r="AB27" s="9" t="s">
        <v>130</v>
      </c>
      <c r="AC27" s="15" t="s">
        <v>38</v>
      </c>
      <c r="AD27" s="9" t="s">
        <v>131</v>
      </c>
      <c r="AE27" s="9" t="s">
        <v>40</v>
      </c>
      <c r="AF27" s="12" t="s">
        <v>43</v>
      </c>
      <c r="AG27" s="133" t="s">
        <v>41</v>
      </c>
      <c r="AH27" s="151" t="s">
        <v>44</v>
      </c>
      <c r="AI27" s="151" t="s">
        <v>42</v>
      </c>
      <c r="AJ27" s="151" t="s">
        <v>45</v>
      </c>
      <c r="AK27" s="13" t="s">
        <v>139</v>
      </c>
      <c r="AL27" s="13"/>
      <c r="AM27" s="14" t="s">
        <v>140</v>
      </c>
      <c r="AN27" s="14" t="s">
        <v>141</v>
      </c>
      <c r="AO27" s="14" t="s">
        <v>142</v>
      </c>
      <c r="AP27" s="14" t="s">
        <v>143</v>
      </c>
      <c r="AQ27" s="14" t="s">
        <v>144</v>
      </c>
      <c r="AR27" s="14" t="s">
        <v>145</v>
      </c>
      <c r="AS27" s="14" t="s">
        <v>146</v>
      </c>
      <c r="AT27" s="14" t="s">
        <v>147</v>
      </c>
      <c r="AU27" s="14" t="s">
        <v>148</v>
      </c>
      <c r="AV27" s="14" t="s">
        <v>149</v>
      </c>
      <c r="AW27" s="14" t="s">
        <v>150</v>
      </c>
      <c r="AX27" s="14" t="s">
        <v>151</v>
      </c>
      <c r="AY27" s="14" t="s">
        <v>152</v>
      </c>
      <c r="AZ27" s="14" t="s">
        <v>153</v>
      </c>
      <c r="BA27" s="14" t="s">
        <v>154</v>
      </c>
      <c r="BB27" s="14" t="s">
        <v>155</v>
      </c>
      <c r="BC27" s="14" t="s">
        <v>156</v>
      </c>
      <c r="BD27" s="14" t="s">
        <v>157</v>
      </c>
      <c r="BE27" s="14" t="s">
        <v>158</v>
      </c>
      <c r="BF27" s="14" t="s">
        <v>159</v>
      </c>
      <c r="BG27" s="14" t="s">
        <v>160</v>
      </c>
      <c r="BH27" s="14" t="s">
        <v>161</v>
      </c>
      <c r="BI27" s="14" t="s">
        <v>162</v>
      </c>
      <c r="BJ27" s="14" t="s">
        <v>163</v>
      </c>
      <c r="BK27" s="14" t="s">
        <v>164</v>
      </c>
      <c r="BL27" s="14" t="s">
        <v>165</v>
      </c>
      <c r="BM27" s="14" t="s">
        <v>166</v>
      </c>
      <c r="BN27" s="14" t="s">
        <v>167</v>
      </c>
      <c r="BO27" s="14" t="s">
        <v>168</v>
      </c>
      <c r="BP27" s="14" t="s">
        <v>169</v>
      </c>
      <c r="BQ27" s="14" t="s">
        <v>170</v>
      </c>
      <c r="BR27" s="14" t="s">
        <v>171</v>
      </c>
      <c r="BS27" s="14" t="s">
        <v>172</v>
      </c>
      <c r="BT27" s="14" t="s">
        <v>173</v>
      </c>
      <c r="BU27" s="14" t="s">
        <v>174</v>
      </c>
      <c r="BV27" s="14" t="s">
        <v>175</v>
      </c>
      <c r="BW27" s="14" t="s">
        <v>176</v>
      </c>
      <c r="BX27" s="14" t="s">
        <v>177</v>
      </c>
      <c r="BY27" s="14" t="s">
        <v>178</v>
      </c>
      <c r="BZ27" s="14" t="s">
        <v>179</v>
      </c>
      <c r="CA27" s="14" t="s">
        <v>180</v>
      </c>
      <c r="CB27" s="14" t="s">
        <v>181</v>
      </c>
      <c r="CC27" s="14" t="s">
        <v>182</v>
      </c>
      <c r="CD27" s="14" t="s">
        <v>183</v>
      </c>
      <c r="CE27" s="14" t="s">
        <v>184</v>
      </c>
      <c r="CF27" s="14" t="s">
        <v>185</v>
      </c>
      <c r="CG27" s="14" t="s">
        <v>186</v>
      </c>
      <c r="CH27" s="14" t="s">
        <v>187</v>
      </c>
      <c r="CI27" s="14" t="s">
        <v>188</v>
      </c>
      <c r="CJ27" s="14" t="s">
        <v>189</v>
      </c>
      <c r="CK27" s="14" t="s">
        <v>190</v>
      </c>
      <c r="CL27" s="14" t="s">
        <v>191</v>
      </c>
      <c r="CM27" s="14" t="s">
        <v>192</v>
      </c>
      <c r="CN27" s="14" t="s">
        <v>193</v>
      </c>
      <c r="CO27" s="14" t="s">
        <v>194</v>
      </c>
      <c r="CP27" s="14" t="s">
        <v>195</v>
      </c>
      <c r="CQ27" s="14" t="s">
        <v>196</v>
      </c>
      <c r="CR27" s="14" t="s">
        <v>197</v>
      </c>
      <c r="CS27" s="14" t="s">
        <v>198</v>
      </c>
      <c r="CT27" s="14" t="s">
        <v>199</v>
      </c>
      <c r="CU27" s="14" t="s">
        <v>200</v>
      </c>
      <c r="CV27" s="14" t="s">
        <v>201</v>
      </c>
      <c r="CW27" s="14" t="s">
        <v>202</v>
      </c>
      <c r="CX27" s="14" t="s">
        <v>203</v>
      </c>
      <c r="CY27" s="14" t="s">
        <v>204</v>
      </c>
      <c r="CZ27" s="14" t="s">
        <v>205</v>
      </c>
      <c r="DA27" s="14" t="s">
        <v>206</v>
      </c>
      <c r="DB27" s="14" t="s">
        <v>207</v>
      </c>
      <c r="DC27" s="14" t="s">
        <v>208</v>
      </c>
      <c r="DD27" s="14" t="s">
        <v>209</v>
      </c>
      <c r="DE27" s="14" t="s">
        <v>210</v>
      </c>
      <c r="DF27" s="14" t="s">
        <v>211</v>
      </c>
      <c r="DG27" s="14" t="s">
        <v>212</v>
      </c>
      <c r="DH27" s="14" t="s">
        <v>213</v>
      </c>
      <c r="DI27" s="14" t="s">
        <v>214</v>
      </c>
      <c r="DJ27" s="14" t="s">
        <v>215</v>
      </c>
      <c r="DK27" s="14" t="s">
        <v>216</v>
      </c>
      <c r="DL27" s="14" t="s">
        <v>217</v>
      </c>
      <c r="DM27" s="14" t="s">
        <v>218</v>
      </c>
      <c r="DN27" s="14" t="s">
        <v>219</v>
      </c>
      <c r="DO27" s="14" t="s">
        <v>220</v>
      </c>
      <c r="DP27" s="14" t="s">
        <v>221</v>
      </c>
      <c r="DQ27" s="14" t="s">
        <v>222</v>
      </c>
      <c r="DR27" s="14" t="s">
        <v>223</v>
      </c>
      <c r="DS27" s="14" t="s">
        <v>224</v>
      </c>
      <c r="DT27" s="14" t="s">
        <v>225</v>
      </c>
      <c r="DU27" s="14" t="s">
        <v>226</v>
      </c>
      <c r="DV27" s="14" t="s">
        <v>227</v>
      </c>
      <c r="DW27" s="14" t="s">
        <v>228</v>
      </c>
      <c r="DX27" s="14" t="s">
        <v>229</v>
      </c>
      <c r="DY27" s="14" t="s">
        <v>230</v>
      </c>
      <c r="DZ27" s="14" t="s">
        <v>231</v>
      </c>
      <c r="EA27" s="14" t="s">
        <v>232</v>
      </c>
      <c r="EB27" s="14" t="s">
        <v>233</v>
      </c>
      <c r="EC27" s="14" t="s">
        <v>234</v>
      </c>
      <c r="ED27" s="14" t="s">
        <v>235</v>
      </c>
      <c r="EE27" s="14" t="s">
        <v>236</v>
      </c>
      <c r="EF27" s="14" t="s">
        <v>237</v>
      </c>
      <c r="EG27" s="14" t="s">
        <v>238</v>
      </c>
      <c r="EH27" s="14" t="s">
        <v>239</v>
      </c>
      <c r="EI27" s="14" t="s">
        <v>240</v>
      </c>
      <c r="EJ27" s="14" t="s">
        <v>241</v>
      </c>
      <c r="EK27" s="14" t="s">
        <v>242</v>
      </c>
      <c r="EL27" s="14" t="s">
        <v>243</v>
      </c>
      <c r="EM27" s="14" t="s">
        <v>244</v>
      </c>
      <c r="EN27" s="14" t="s">
        <v>245</v>
      </c>
      <c r="EO27" s="14" t="s">
        <v>246</v>
      </c>
      <c r="EP27" s="14" t="s">
        <v>247</v>
      </c>
      <c r="EQ27" s="14" t="s">
        <v>248</v>
      </c>
      <c r="ER27" s="14" t="s">
        <v>249</v>
      </c>
      <c r="ES27" s="14" t="s">
        <v>250</v>
      </c>
      <c r="ET27" s="14" t="s">
        <v>251</v>
      </c>
      <c r="EU27" s="14" t="s">
        <v>252</v>
      </c>
      <c r="EV27" s="14" t="s">
        <v>253</v>
      </c>
      <c r="EW27" s="14" t="s">
        <v>254</v>
      </c>
      <c r="EX27" s="14" t="s">
        <v>255</v>
      </c>
      <c r="EY27" s="14" t="s">
        <v>256</v>
      </c>
      <c r="EZ27" s="14" t="s">
        <v>257</v>
      </c>
      <c r="FA27" s="14" t="s">
        <v>258</v>
      </c>
      <c r="FB27" s="14" t="s">
        <v>259</v>
      </c>
      <c r="FC27" s="14" t="s">
        <v>260</v>
      </c>
      <c r="FD27" s="14" t="s">
        <v>261</v>
      </c>
      <c r="FE27" s="14" t="s">
        <v>262</v>
      </c>
      <c r="FF27" s="14" t="s">
        <v>263</v>
      </c>
      <c r="FG27" s="14" t="s">
        <v>264</v>
      </c>
      <c r="FH27" s="14" t="s">
        <v>265</v>
      </c>
      <c r="FI27" s="14" t="s">
        <v>266</v>
      </c>
      <c r="FJ27" s="14" t="s">
        <v>267</v>
      </c>
      <c r="FK27" s="14" t="s">
        <v>268</v>
      </c>
      <c r="FL27" s="14" t="s">
        <v>269</v>
      </c>
      <c r="FM27" s="14" t="s">
        <v>270</v>
      </c>
      <c r="FN27" s="14" t="s">
        <v>271</v>
      </c>
      <c r="FO27" s="14" t="s">
        <v>272</v>
      </c>
      <c r="FP27" s="14" t="s">
        <v>273</v>
      </c>
      <c r="FQ27" s="14" t="s">
        <v>274</v>
      </c>
      <c r="FR27" s="14" t="s">
        <v>275</v>
      </c>
      <c r="FS27" s="14" t="s">
        <v>276</v>
      </c>
      <c r="FT27" s="14" t="s">
        <v>277</v>
      </c>
      <c r="FU27" s="14" t="s">
        <v>278</v>
      </c>
      <c r="FV27" s="14" t="s">
        <v>279</v>
      </c>
      <c r="FW27" s="14" t="s">
        <v>280</v>
      </c>
      <c r="FX27" s="14" t="s">
        <v>148</v>
      </c>
      <c r="FY27" s="14" t="s">
        <v>169</v>
      </c>
      <c r="FZ27" s="14" t="s">
        <v>281</v>
      </c>
      <c r="GA27" s="14" t="s">
        <v>282</v>
      </c>
      <c r="GB27" s="14" t="s">
        <v>283</v>
      </c>
      <c r="GC27" s="14" t="s">
        <v>284</v>
      </c>
      <c r="GD27" s="14" t="s">
        <v>285</v>
      </c>
      <c r="GE27" s="14" t="s">
        <v>286</v>
      </c>
      <c r="GF27" s="14" t="s">
        <v>287</v>
      </c>
      <c r="GG27" s="14" t="s">
        <v>288</v>
      </c>
      <c r="GH27" s="14" t="s">
        <v>289</v>
      </c>
      <c r="GI27" s="14" t="s">
        <v>290</v>
      </c>
      <c r="GJ27" s="14" t="s">
        <v>291</v>
      </c>
      <c r="GK27" s="14" t="s">
        <v>292</v>
      </c>
      <c r="GL27" s="14" t="s">
        <v>293</v>
      </c>
      <c r="GM27" s="14" t="s">
        <v>294</v>
      </c>
      <c r="GN27" s="14" t="s">
        <v>295</v>
      </c>
      <c r="GO27" s="14" t="s">
        <v>296</v>
      </c>
      <c r="GP27" s="14" t="s">
        <v>297</v>
      </c>
      <c r="GQ27" s="14" t="s">
        <v>298</v>
      </c>
      <c r="GR27" s="14" t="s">
        <v>299</v>
      </c>
      <c r="GS27" s="14" t="s">
        <v>300</v>
      </c>
      <c r="GT27" s="14" t="s">
        <v>301</v>
      </c>
      <c r="GU27" s="14" t="s">
        <v>182</v>
      </c>
      <c r="GV27" s="14" t="s">
        <v>183</v>
      </c>
      <c r="GW27" s="14" t="s">
        <v>184</v>
      </c>
      <c r="GX27" s="14" t="s">
        <v>185</v>
      </c>
      <c r="GY27" s="14" t="s">
        <v>186</v>
      </c>
      <c r="GZ27" s="14" t="s">
        <v>187</v>
      </c>
      <c r="HA27" s="14" t="s">
        <v>188</v>
      </c>
      <c r="HB27" s="14" t="s">
        <v>189</v>
      </c>
      <c r="HC27" s="14" t="s">
        <v>190</v>
      </c>
      <c r="HD27" s="14" t="s">
        <v>191</v>
      </c>
      <c r="HE27" s="14" t="s">
        <v>192</v>
      </c>
      <c r="HF27" s="14" t="s">
        <v>193</v>
      </c>
      <c r="HG27" s="14" t="s">
        <v>194</v>
      </c>
      <c r="HH27" s="14" t="s">
        <v>195</v>
      </c>
      <c r="HI27" s="14" t="s">
        <v>196</v>
      </c>
      <c r="HJ27" s="14" t="s">
        <v>197</v>
      </c>
      <c r="HK27" s="14" t="s">
        <v>198</v>
      </c>
      <c r="HL27" s="14" t="s">
        <v>199</v>
      </c>
      <c r="HM27" s="14" t="s">
        <v>200</v>
      </c>
      <c r="HN27" s="14" t="s">
        <v>201</v>
      </c>
      <c r="HO27" s="14" t="s">
        <v>202</v>
      </c>
      <c r="HP27" s="14" t="s">
        <v>302</v>
      </c>
      <c r="HQ27" s="14" t="s">
        <v>303</v>
      </c>
      <c r="HR27" s="14" t="s">
        <v>304</v>
      </c>
      <c r="HS27" s="14" t="s">
        <v>305</v>
      </c>
      <c r="HT27" s="14" t="s">
        <v>306</v>
      </c>
      <c r="HU27" s="14" t="s">
        <v>307</v>
      </c>
      <c r="HV27" s="14" t="s">
        <v>308</v>
      </c>
      <c r="HW27" s="14" t="s">
        <v>309</v>
      </c>
      <c r="HX27" s="14" t="s">
        <v>310</v>
      </c>
      <c r="HY27" s="14" t="s">
        <v>311</v>
      </c>
      <c r="HZ27" s="14" t="s">
        <v>312</v>
      </c>
      <c r="IA27" s="14" t="s">
        <v>313</v>
      </c>
      <c r="IB27" s="14" t="s">
        <v>314</v>
      </c>
      <c r="IC27" s="14" t="s">
        <v>315</v>
      </c>
      <c r="ID27" s="14" t="s">
        <v>316</v>
      </c>
      <c r="IE27" s="14" t="s">
        <v>317</v>
      </c>
      <c r="IF27" s="14" t="s">
        <v>318</v>
      </c>
      <c r="IG27" s="14" t="s">
        <v>319</v>
      </c>
      <c r="IH27" s="14" t="s">
        <v>320</v>
      </c>
      <c r="II27" s="14" t="s">
        <v>321</v>
      </c>
      <c r="IJ27" s="14" t="s">
        <v>322</v>
      </c>
      <c r="IK27" s="14" t="s">
        <v>323</v>
      </c>
      <c r="IL27" s="14" t="s">
        <v>324</v>
      </c>
      <c r="IM27" s="14" t="s">
        <v>325</v>
      </c>
      <c r="IN27" s="14" t="s">
        <v>326</v>
      </c>
      <c r="IO27" s="14" t="s">
        <v>327</v>
      </c>
      <c r="IP27" s="14" t="s">
        <v>328</v>
      </c>
      <c r="IQ27" s="14" t="s">
        <v>329</v>
      </c>
      <c r="IR27" s="14" t="s">
        <v>330</v>
      </c>
      <c r="IS27" s="14" t="s">
        <v>331</v>
      </c>
      <c r="IT27" s="14" t="s">
        <v>332</v>
      </c>
      <c r="IU27" s="14" t="s">
        <v>333</v>
      </c>
      <c r="IV27" s="14" t="s">
        <v>334</v>
      </c>
      <c r="IW27" s="14" t="s">
        <v>335</v>
      </c>
      <c r="IX27" s="14" t="s">
        <v>336</v>
      </c>
      <c r="IY27" s="14" t="s">
        <v>337</v>
      </c>
      <c r="IZ27" s="14" t="s">
        <v>338</v>
      </c>
      <c r="JA27" s="14" t="s">
        <v>339</v>
      </c>
      <c r="JB27" s="14" t="s">
        <v>340</v>
      </c>
      <c r="JC27" s="14" t="s">
        <v>341</v>
      </c>
      <c r="JD27" s="14" t="s">
        <v>342</v>
      </c>
      <c r="JE27" s="14" t="s">
        <v>343</v>
      </c>
      <c r="JF27" s="14" t="s">
        <v>344</v>
      </c>
      <c r="JG27" s="14" t="s">
        <v>345</v>
      </c>
      <c r="JH27" s="14" t="s">
        <v>346</v>
      </c>
      <c r="JI27" s="14" t="s">
        <v>347</v>
      </c>
      <c r="JJ27" s="14" t="s">
        <v>348</v>
      </c>
      <c r="JK27" s="14" t="s">
        <v>349</v>
      </c>
      <c r="JL27" s="14" t="s">
        <v>350</v>
      </c>
      <c r="JM27" s="14" t="s">
        <v>351</v>
      </c>
      <c r="JN27" s="14" t="s">
        <v>352</v>
      </c>
      <c r="JO27" s="14" t="s">
        <v>353</v>
      </c>
      <c r="JP27" s="14" t="s">
        <v>354</v>
      </c>
      <c r="JQ27" s="14" t="s">
        <v>355</v>
      </c>
      <c r="JR27" s="14" t="s">
        <v>356</v>
      </c>
      <c r="JS27" s="14" t="s">
        <v>357</v>
      </c>
      <c r="JT27" s="14" t="s">
        <v>358</v>
      </c>
      <c r="JU27" s="14" t="s">
        <v>359</v>
      </c>
      <c r="JV27" s="14" t="s">
        <v>360</v>
      </c>
      <c r="JW27" s="14" t="s">
        <v>361</v>
      </c>
      <c r="JX27" s="14" t="s">
        <v>362</v>
      </c>
      <c r="JY27" s="5" t="s">
        <v>2</v>
      </c>
      <c r="KA27" s="161"/>
      <c r="KB27" s="162"/>
      <c r="KC27" s="163" t="s">
        <v>24</v>
      </c>
      <c r="KD27" s="163" t="s">
        <v>47</v>
      </c>
      <c r="KE27" s="164" t="s">
        <v>363</v>
      </c>
      <c r="KF27" s="164" t="s">
        <v>364</v>
      </c>
    </row>
    <row r="28" spans="1:292" ht="15.75" x14ac:dyDescent="0.3">
      <c r="A28" s="34">
        <v>27</v>
      </c>
      <c r="B28" s="34">
        <v>0</v>
      </c>
      <c r="C28" s="2">
        <v>1000000</v>
      </c>
      <c r="D28" s="1">
        <f>C28-C29</f>
        <v>5368</v>
      </c>
      <c r="E28" s="145">
        <f>C29/C28</f>
        <v>0.99463199999999996</v>
      </c>
      <c r="F28" s="146">
        <f>1-E28</f>
        <v>5.3680000000000394E-3</v>
      </c>
      <c r="G28" s="20">
        <f t="shared" ref="G28:G59" si="3">(1+majoration)*F28</f>
        <v>6.7100000000000493E-3</v>
      </c>
      <c r="H28" s="43">
        <f>+G28*I28</f>
        <v>6710.0000000000491</v>
      </c>
      <c r="I28" s="43">
        <f>C28</f>
        <v>1000000</v>
      </c>
      <c r="J28" s="43">
        <f>(C28+C29)/2</f>
        <v>997316</v>
      </c>
      <c r="K28" s="147">
        <f>SUM(J28:$J$138)</f>
        <v>73502116</v>
      </c>
      <c r="L28" s="147">
        <f>K28/C28</f>
        <v>73.502116000000001</v>
      </c>
      <c r="M28" s="43">
        <f t="shared" ref="M28:M59" si="4">(1+majoration)*J28</f>
        <v>1246645</v>
      </c>
      <c r="N28" s="148">
        <f t="shared" ref="N28:N59" si="5">(1+majoration)*K28</f>
        <v>91877645</v>
      </c>
      <c r="O28" s="147">
        <f t="shared" ref="O28:O91" si="6">(1+majoration)*L28</f>
        <v>91.877645000000001</v>
      </c>
      <c r="P28" s="157">
        <f t="shared" ref="P28:P59" si="7">I28*v^B28</f>
        <v>1000000</v>
      </c>
      <c r="Q28" s="43">
        <f t="shared" ref="Q28:Q59" si="8">C28*(1+majoration)</f>
        <v>1250000</v>
      </c>
      <c r="R28" s="43">
        <f t="shared" ref="R28:R59" si="9">P28*v^0.5*G28</f>
        <v>6595.5701719957806</v>
      </c>
      <c r="S28" s="43">
        <f>SUM(R28:$R$138)</f>
        <v>115215.96769270473</v>
      </c>
      <c r="T28" s="43">
        <f>SUM(S28:S138)</f>
        <v>6186813.600588494</v>
      </c>
      <c r="U28" s="153">
        <f>SUM(P28:$P$138)</f>
        <v>26222431.233590942</v>
      </c>
      <c r="V28" s="129">
        <f t="shared" ref="V28:V59" si="10">VLOOKUP(A28+n,A28:AF138,21)</f>
        <v>19938662.018501565</v>
      </c>
      <c r="W28" s="43">
        <f>VLOOKUP(A28+n,A28:AF138,16)</f>
        <v>777912.64379378548</v>
      </c>
      <c r="X28" s="26">
        <f>(((U28-V28))/P28)</f>
        <v>6.2837692150893769</v>
      </c>
      <c r="Y28" s="26">
        <f>(W28/P28)</f>
        <v>0.77791264379378544</v>
      </c>
      <c r="Z28" s="43">
        <f t="shared" ref="Z28:Z59" si="11">VLOOKUP(A28+n,A28:AF138,19)</f>
        <v>105456.7933185031</v>
      </c>
      <c r="AA28" s="149">
        <f>((S28-Z28)/P28)</f>
        <v>9.7591743742016252E-3</v>
      </c>
      <c r="AB28" s="150">
        <f>U29</f>
        <v>25222431.233590938</v>
      </c>
      <c r="AC28" s="150">
        <f>V29</f>
        <v>19160749.374707777</v>
      </c>
      <c r="AD28" s="26">
        <f>((AB28-AC28)/P28)</f>
        <v>6.0616818588831611</v>
      </c>
      <c r="AE28" s="26">
        <f t="shared" ref="AE28:AE59" si="12">(rd*Periodicité/(1+fractionnelentrente))*(AA28*0.5+$H$4-AD28-am*Y28)+(rv*Periodicité/(1+fractionnelentrente))*(1+am)*Y28</f>
        <v>520268.955761477</v>
      </c>
      <c r="AF28" s="43">
        <f>AE28/X28</f>
        <v>82795.681692469181</v>
      </c>
      <c r="AG28" s="43">
        <f t="shared" ref="AG28:AG59" si="13">AE28*(1+$H$7)+(rd*Periodicité/(1+fractionnelentrente))*gg*X28*$H$5+(rv*Periodicité/(1+fractionnelentrente))*grr*(1+am)*X28</f>
        <v>541178.31905801164</v>
      </c>
      <c r="AH28" s="27">
        <f t="shared" ref="AH28:AH59" si="14">AF28*(1+$H$7)+(rd*Periodicité/(1+fractionnelentrente))*gg*$H$5+(rv*Periodicité/(1+fractionnelentrente))*(gpp+grr)*(1+am)</f>
        <v>89966.00420544298</v>
      </c>
      <c r="AI28" s="28">
        <f>AG28/(1-Frais_sur_versement)</f>
        <v>581912.17103012011</v>
      </c>
      <c r="AJ28" s="20">
        <f t="shared" ref="AJ28:AJ59" si="15">AH28/(1-Frais_sur_versement)</f>
        <v>96737.638930583853</v>
      </c>
      <c r="AK28" s="3">
        <f t="shared" ref="AK28:AK59" si="16">(AJ28/(period))*(1+frac)</f>
        <v>8383.9287073172673</v>
      </c>
      <c r="AL28" s="3"/>
      <c r="AM28" s="46">
        <f>U29</f>
        <v>25222431.233590938</v>
      </c>
      <c r="AN28" s="46">
        <f>AM29</f>
        <v>24262730.750499152</v>
      </c>
      <c r="AO28" s="46">
        <f>AN29</f>
        <v>23336329.924867015</v>
      </c>
      <c r="AP28" s="3">
        <f t="shared" ref="AP28:BC43" si="17">AO29</f>
        <v>22441881.427776039</v>
      </c>
      <c r="AQ28" s="3">
        <f t="shared" si="17"/>
        <v>21578194.360523928</v>
      </c>
      <c r="AR28" s="16">
        <f t="shared" si="17"/>
        <v>20744138.537668355</v>
      </c>
      <c r="AS28" s="16">
        <f t="shared" si="17"/>
        <v>19938662.018501565</v>
      </c>
      <c r="AT28" s="16">
        <f t="shared" si="17"/>
        <v>19160749.374707777</v>
      </c>
      <c r="AU28" s="16">
        <f t="shared" si="17"/>
        <v>18409439.460944436</v>
      </c>
      <c r="AV28" s="16">
        <f t="shared" si="17"/>
        <v>17683822.618622076</v>
      </c>
      <c r="AW28" s="16">
        <f t="shared" si="17"/>
        <v>16983003.49179301</v>
      </c>
      <c r="AX28" s="16">
        <f t="shared" si="17"/>
        <v>16306150.077070862</v>
      </c>
      <c r="AY28" s="16">
        <f t="shared" si="17"/>
        <v>15652443.732161334</v>
      </c>
      <c r="AZ28" s="16">
        <f t="shared" si="17"/>
        <v>15021136.802205658</v>
      </c>
      <c r="BA28" s="16">
        <f t="shared" si="17"/>
        <v>14411515.788955677</v>
      </c>
      <c r="BB28" s="16">
        <f t="shared" si="17"/>
        <v>13822910.320268864</v>
      </c>
      <c r="BC28" s="16">
        <f t="shared" si="17"/>
        <v>13254718.342243936</v>
      </c>
      <c r="BD28" s="16">
        <f t="shared" ref="BD28:BG91" si="18">BC29</f>
        <v>12706363.492254766</v>
      </c>
      <c r="BE28" s="16">
        <f t="shared" si="18"/>
        <v>12177298.640637327</v>
      </c>
      <c r="BF28" s="16">
        <f t="shared" si="18"/>
        <v>11666978.843601737</v>
      </c>
      <c r="BG28" s="16">
        <f t="shared" si="18"/>
        <v>11174833.676019788</v>
      </c>
      <c r="BH28" s="172">
        <f>P29</f>
        <v>959700.48309178755</v>
      </c>
      <c r="BI28" s="16">
        <f t="shared" ref="BI28:BQ43" si="19">BH29</f>
        <v>926400.82563213352</v>
      </c>
      <c r="BJ28" s="16">
        <f t="shared" si="19"/>
        <v>894448.49709098169</v>
      </c>
      <c r="BK28" s="16">
        <f t="shared" si="19"/>
        <v>863687.06725210964</v>
      </c>
      <c r="BL28" s="16">
        <f t="shared" si="19"/>
        <v>834055.8228555735</v>
      </c>
      <c r="BM28" s="16">
        <f t="shared" si="19"/>
        <v>805476.51916679565</v>
      </c>
      <c r="BN28" s="16">
        <f t="shared" si="19"/>
        <v>777912.64379378548</v>
      </c>
      <c r="BO28" s="16">
        <f t="shared" si="19"/>
        <v>751309.91376334231</v>
      </c>
      <c r="BP28" s="16">
        <f>BO29</f>
        <v>725616.84232236387</v>
      </c>
      <c r="BQ28" s="16">
        <f>BP29</f>
        <v>700819.12682907446</v>
      </c>
      <c r="BR28" s="16">
        <f t="shared" ref="BR28:CB43" si="20">BQ29</f>
        <v>676853.41472214996</v>
      </c>
      <c r="BS28" s="16">
        <f t="shared" si="20"/>
        <v>653706.34490952641</v>
      </c>
      <c r="BT28" s="16">
        <f t="shared" si="20"/>
        <v>631306.92995567387</v>
      </c>
      <c r="BU28" s="16">
        <f t="shared" si="20"/>
        <v>609621.01324998064</v>
      </c>
      <c r="BV28" s="16">
        <f t="shared" si="20"/>
        <v>588605.46868681419</v>
      </c>
      <c r="BW28" s="16">
        <f t="shared" si="20"/>
        <v>568191.97802492685</v>
      </c>
      <c r="BX28" s="16">
        <f t="shared" si="20"/>
        <v>548354.84998917021</v>
      </c>
      <c r="BY28" s="16">
        <f t="shared" si="20"/>
        <v>529064.85161743569</v>
      </c>
      <c r="BZ28" s="16">
        <f t="shared" si="20"/>
        <v>510319.79703559174</v>
      </c>
      <c r="CA28" s="16">
        <f t="shared" si="20"/>
        <v>492145.1675819463</v>
      </c>
      <c r="CB28" s="16">
        <f t="shared" si="20"/>
        <v>474564.51363046817</v>
      </c>
      <c r="CC28" s="18">
        <f>(AM28-$V28)/BH28</f>
        <v>5.5056440089173364</v>
      </c>
      <c r="CD28" s="18">
        <f t="shared" ref="CD28:CV43" si="21">(AN28-$V28)/BI28</f>
        <v>4.6676002572072841</v>
      </c>
      <c r="CE28" s="18">
        <f t="shared" si="21"/>
        <v>3.7986177151794642</v>
      </c>
      <c r="CF28" s="18">
        <f t="shared" si="21"/>
        <v>2.898294421889017</v>
      </c>
      <c r="CG28" s="18">
        <f t="shared" si="21"/>
        <v>1.9657345432935935</v>
      </c>
      <c r="CH28" s="18">
        <f t="shared" si="21"/>
        <v>0.99999999999999289</v>
      </c>
      <c r="CI28" s="18">
        <f t="shared" si="21"/>
        <v>0</v>
      </c>
      <c r="CJ28" s="18">
        <f t="shared" si="21"/>
        <v>-1.0354084639948264</v>
      </c>
      <c r="CK28" s="18">
        <f t="shared" si="21"/>
        <v>-2.107479413877432</v>
      </c>
      <c r="CL28" s="18">
        <f t="shared" si="21"/>
        <v>-3.2174341617668647</v>
      </c>
      <c r="CM28" s="18">
        <f t="shared" si="21"/>
        <v>-4.3667631165336731</v>
      </c>
      <c r="CN28" s="18">
        <f t="shared" si="21"/>
        <v>-5.5567946826850001</v>
      </c>
      <c r="CO28" s="18">
        <f t="shared" si="21"/>
        <v>-6.7894364578592228</v>
      </c>
      <c r="CP28" s="18">
        <f t="shared" si="21"/>
        <v>-8.0665283994720696</v>
      </c>
      <c r="CQ28" s="18">
        <f t="shared" si="21"/>
        <v>-9.3902393429626407</v>
      </c>
      <c r="CR28" s="18">
        <f t="shared" si="21"/>
        <v>-10.763530522714278</v>
      </c>
      <c r="CS28" s="18">
        <f t="shared" si="21"/>
        <v>-12.189084634501972</v>
      </c>
      <c r="CT28" s="18">
        <f t="shared" si="21"/>
        <v>-13.669965986469348</v>
      </c>
      <c r="CU28" s="18">
        <f t="shared" si="21"/>
        <v>-15.208822826293234</v>
      </c>
      <c r="CV28" s="18">
        <f t="shared" si="21"/>
        <v>-16.807405049898257</v>
      </c>
      <c r="CW28" s="18">
        <f t="shared" ref="CW28:CW91" si="22">(BG28-$V28)/CB28</f>
        <v>-18.467095812616865</v>
      </c>
      <c r="CX28" s="17">
        <f t="shared" ref="CX28:CX59" si="23">R29</f>
        <v>860.69592082957377</v>
      </c>
      <c r="CY28" s="17">
        <f>CX29</f>
        <v>635.60373753212048</v>
      </c>
      <c r="CZ28" s="17">
        <f>CY29</f>
        <v>523.30343345404026</v>
      </c>
      <c r="DA28" s="17">
        <f>CZ29</f>
        <v>431.79909921236828</v>
      </c>
      <c r="DB28" s="17">
        <f>DA29</f>
        <v>381.01509747096247</v>
      </c>
      <c r="DC28" s="17">
        <f>DB29</f>
        <v>331.18691370678681</v>
      </c>
      <c r="DD28" s="17">
        <f t="shared" ref="DD28:DE43" si="24">DC29</f>
        <v>301.64958009979046</v>
      </c>
      <c r="DE28" s="17">
        <f>DD29</f>
        <v>291.42586734785783</v>
      </c>
      <c r="DF28" s="3" t="e">
        <f>#REF!+$AG$35*0.004*(1+$R$28)*#REF!-S28*#REF!</f>
        <v>#REF!</v>
      </c>
      <c r="DG28" s="19">
        <f t="shared" ref="DG28:DG59" si="25">CX28+rv*0.004*(1+am)*CC28-$O28*CC28</f>
        <v>1577.2609143042164</v>
      </c>
      <c r="DH28" s="19">
        <f t="shared" ref="DH28:DH59" si="26">CY28+rv*0.004*(1+am)*CD28-$O28*CD28</f>
        <v>1243.0965108445175</v>
      </c>
      <c r="DI28" s="19">
        <f t="shared" ref="DI28:DI59" si="27">CZ28+rv*0.004*(1+am)*CE28-$O28*CE28</f>
        <v>1017.6972725547082</v>
      </c>
      <c r="DJ28" s="19">
        <f t="shared" ref="DJ28:DJ59" si="28">DA28+rv*0.004*(1+am)*CF28-$O28*CF28</f>
        <v>809.01497443872415</v>
      </c>
      <c r="DK28" s="19">
        <f t="shared" ref="DK28:DK59" si="29">DB28+rv*0.004*(1+am)*CG28-$O28*CG28</f>
        <v>636.85738547698338</v>
      </c>
      <c r="DL28" s="19">
        <f t="shared" ref="DL28:DL59" si="30">DC28+rv*0.004*(1+am)*CH28-$O28*CH28</f>
        <v>461.33789918896423</v>
      </c>
      <c r="DM28" s="19">
        <f t="shared" ref="DM28:DM59" si="31">DD28+rv*0.004*(1+am)*CI28-$O28*CI28</f>
        <v>301.64958009979046</v>
      </c>
      <c r="DN28" s="19">
        <f t="shared" ref="DN28:DN59" si="32">DE28+rv*0.004*(1+am)*CJ28-$O28*CJ28</f>
        <v>156.66643538234263</v>
      </c>
      <c r="DO28" s="173">
        <f>S29</f>
        <v>108620.39752070897</v>
      </c>
      <c r="DP28" s="25">
        <f t="shared" ref="DP28:EE43" si="33">DO29</f>
        <v>107759.70159987939</v>
      </c>
      <c r="DQ28" s="26">
        <f t="shared" si="33"/>
        <v>107124.09786234726</v>
      </c>
      <c r="DR28" s="26">
        <f t="shared" si="33"/>
        <v>106600.79442889322</v>
      </c>
      <c r="DS28" s="26">
        <f t="shared" si="33"/>
        <v>106168.99532968085</v>
      </c>
      <c r="DT28" s="26">
        <f t="shared" si="33"/>
        <v>105787.9802322099</v>
      </c>
      <c r="DU28" s="26">
        <f t="shared" si="33"/>
        <v>105456.7933185031</v>
      </c>
      <c r="DV28" s="26">
        <f t="shared" si="33"/>
        <v>105155.14373840331</v>
      </c>
      <c r="DW28" s="26">
        <f t="shared" si="33"/>
        <v>104863.71787105547</v>
      </c>
      <c r="DX28" s="26">
        <f t="shared" si="33"/>
        <v>104599.26002747144</v>
      </c>
      <c r="DY28" s="26">
        <f t="shared" si="33"/>
        <v>104328.12155211414</v>
      </c>
      <c r="DZ28" s="26">
        <f t="shared" si="33"/>
        <v>104065.33305960952</v>
      </c>
      <c r="EA28" s="26">
        <f t="shared" si="33"/>
        <v>103766.83936972267</v>
      </c>
      <c r="EB28" s="26">
        <f t="shared" si="33"/>
        <v>103423.61293395719</v>
      </c>
      <c r="EC28" s="26">
        <f t="shared" si="33"/>
        <v>103016.32599848532</v>
      </c>
      <c r="ED28" s="26">
        <f t="shared" si="33"/>
        <v>102498.53793024956</v>
      </c>
      <c r="EE28" s="26">
        <f t="shared" si="33"/>
        <v>101864.82425786875</v>
      </c>
      <c r="EF28" s="26">
        <f t="shared" ref="EF28:EI91" si="34">EE29</f>
        <v>101105.27351641076</v>
      </c>
      <c r="EG28" s="26">
        <f t="shared" si="34"/>
        <v>100236.48487711092</v>
      </c>
      <c r="EH28" s="26">
        <f t="shared" si="34"/>
        <v>99303.129534979467</v>
      </c>
      <c r="EI28" s="26">
        <f t="shared" si="34"/>
        <v>98348.790857044893</v>
      </c>
      <c r="EJ28" s="26">
        <f t="shared" ref="EJ28:EO28" si="35">(DO28-$Z28)/BH28</f>
        <v>3.2964495255998483E-3</v>
      </c>
      <c r="EK28" s="26">
        <f t="shared" si="35"/>
        <v>2.4858659639091915E-3</v>
      </c>
      <c r="EL28" s="26">
        <f t="shared" si="35"/>
        <v>1.8640587459945914E-3</v>
      </c>
      <c r="EM28" s="26">
        <f t="shared" si="35"/>
        <v>1.3245551007610337E-3</v>
      </c>
      <c r="EN28" s="26">
        <f t="shared" si="35"/>
        <v>8.5390209103675184E-4</v>
      </c>
      <c r="EO28" s="26">
        <f t="shared" si="35"/>
        <v>4.1116892401703596E-4</v>
      </c>
      <c r="EP28" s="26">
        <f t="shared" ref="EL28:EZ43" si="36">(DU28-$Z28)/BN28</f>
        <v>0</v>
      </c>
      <c r="EQ28" s="26">
        <f t="shared" si="36"/>
        <v>-4.0149820277070401E-4</v>
      </c>
      <c r="ER28" s="26">
        <f t="shared" si="36"/>
        <v>-8.1733969342479278E-4</v>
      </c>
      <c r="ES28" s="26">
        <f t="shared" si="36"/>
        <v>-1.2236157065399441E-3</v>
      </c>
      <c r="ET28" s="26">
        <f t="shared" si="36"/>
        <v>-1.6675276239128973E-3</v>
      </c>
      <c r="EU28" s="26">
        <f t="shared" si="36"/>
        <v>-2.1285708326514116E-3</v>
      </c>
      <c r="EV28" s="26">
        <f t="shared" si="36"/>
        <v>-2.6769133500547599E-3</v>
      </c>
      <c r="EW28" s="26">
        <f t="shared" si="36"/>
        <v>-3.3351546950567187E-3</v>
      </c>
      <c r="EX28" s="26">
        <f t="shared" si="36"/>
        <v>-4.1461852630463834E-3</v>
      </c>
      <c r="EY28" s="26">
        <f t="shared" si="36"/>
        <v>-5.2064363853510142E-3</v>
      </c>
      <c r="EZ28" s="26">
        <f t="shared" si="36"/>
        <v>-6.5504464138600943E-3</v>
      </c>
      <c r="FA28" s="26">
        <f t="shared" ref="FA28:FD59" si="37">(EF28-$Z28)/BY28</f>
        <v>-8.224927036428617E-3</v>
      </c>
      <c r="FB28" s="26">
        <f t="shared" si="37"/>
        <v>-1.0229484475649472E-2</v>
      </c>
      <c r="FC28" s="26">
        <f t="shared" si="37"/>
        <v>-1.2503757405072957E-2</v>
      </c>
      <c r="FD28" s="26">
        <f t="shared" si="37"/>
        <v>-1.4977947691624149E-2</v>
      </c>
      <c r="FE28" s="26">
        <f>(AN28-$AC28)/BH28</f>
        <v>5.316222577438686</v>
      </c>
      <c r="FF28" s="26">
        <f>(AO28-$AC28)/BI28</f>
        <v>4.5073152296793486</v>
      </c>
      <c r="FG28" s="26">
        <f t="shared" ref="FF28:FW43" si="38">(AP28-$AC28)/BJ28</f>
        <v>3.6683297738656839</v>
      </c>
      <c r="FH28" s="26">
        <f t="shared" si="38"/>
        <v>2.7989824989593139</v>
      </c>
      <c r="FI28" s="26">
        <f t="shared" si="38"/>
        <v>1.8984210883385442</v>
      </c>
      <c r="FJ28" s="26">
        <f t="shared" si="38"/>
        <v>0.96577941787611565</v>
      </c>
      <c r="FK28" s="26">
        <f t="shared" si="38"/>
        <v>0</v>
      </c>
      <c r="FL28" s="26">
        <f t="shared" si="38"/>
        <v>-0.99999999999999767</v>
      </c>
      <c r="FM28" s="26">
        <f t="shared" si="38"/>
        <v>-2.0354085929961907</v>
      </c>
      <c r="FN28" s="26">
        <f t="shared" si="38"/>
        <v>-3.1074292917320814</v>
      </c>
      <c r="FO28" s="26">
        <f t="shared" si="38"/>
        <v>-4.2174557083511726</v>
      </c>
      <c r="FP28" s="26">
        <f t="shared" si="38"/>
        <v>-5.3667914804039363</v>
      </c>
      <c r="FQ28" s="26">
        <f t="shared" si="38"/>
        <v>-6.5572107259978525</v>
      </c>
      <c r="FR28" s="26">
        <f t="shared" si="38"/>
        <v>-7.7904689676512735</v>
      </c>
      <c r="FS28" s="26">
        <f t="shared" si="38"/>
        <v>-9.0686195395834428</v>
      </c>
      <c r="FT28" s="26">
        <f t="shared" si="38"/>
        <v>-10.394428750989407</v>
      </c>
      <c r="FU28" s="26">
        <f t="shared" si="38"/>
        <v>-11.770454629115585</v>
      </c>
      <c r="FV28" s="26">
        <f t="shared" si="38"/>
        <v>-13.199611943074515</v>
      </c>
      <c r="FW28" s="26">
        <f t="shared" si="38"/>
        <v>-14.684459773335806</v>
      </c>
      <c r="FX28" s="26">
        <f t="shared" ref="FX28:FX91" si="39">AT29</f>
        <v>18409439.460944436</v>
      </c>
      <c r="FY28" s="26">
        <f t="shared" ref="FY28:FY91" si="40">BO29</f>
        <v>725616.84232236387</v>
      </c>
      <c r="FZ28" s="26">
        <f t="shared" ref="FZ28:GE28" si="41">$W28/BH28</f>
        <v>0.81057856852134613</v>
      </c>
      <c r="GA28" s="26">
        <f t="shared" si="41"/>
        <v>0.83971497247206517</v>
      </c>
      <c r="GB28" s="26">
        <f t="shared" si="41"/>
        <v>0.86971205868621138</v>
      </c>
      <c r="GC28" s="26">
        <f t="shared" si="41"/>
        <v>0.9006880770702953</v>
      </c>
      <c r="GD28" s="26">
        <f t="shared" si="41"/>
        <v>0.9326865450449473</v>
      </c>
      <c r="GE28" s="26">
        <f t="shared" si="41"/>
        <v>0.96577941787611277</v>
      </c>
      <c r="GF28" s="26">
        <f t="shared" ref="GB28:GT43" si="42">$W28/BN28</f>
        <v>1</v>
      </c>
      <c r="GG28" s="26">
        <f t="shared" si="42"/>
        <v>1.0354084639948233</v>
      </c>
      <c r="GH28" s="26">
        <f t="shared" si="42"/>
        <v>1.072070820881234</v>
      </c>
      <c r="GI28" s="26">
        <f t="shared" si="42"/>
        <v>1.1100048700347667</v>
      </c>
      <c r="GJ28" s="26">
        <f t="shared" si="42"/>
        <v>1.1493074081824948</v>
      </c>
      <c r="GK28" s="26">
        <f t="shared" si="42"/>
        <v>1.1900032022810629</v>
      </c>
      <c r="GL28" s="26">
        <f t="shared" si="42"/>
        <v>1.232225731861371</v>
      </c>
      <c r="GM28" s="26">
        <f t="shared" si="42"/>
        <v>1.2760594318207914</v>
      </c>
      <c r="GN28" s="26">
        <f t="shared" si="42"/>
        <v>1.3216198033791937</v>
      </c>
      <c r="GO28" s="26">
        <f t="shared" si="42"/>
        <v>1.3691017717248695</v>
      </c>
      <c r="GP28" s="26">
        <f t="shared" si="42"/>
        <v>1.4186300053863825</v>
      </c>
      <c r="GQ28" s="26">
        <f t="shared" si="42"/>
        <v>1.4703540433948359</v>
      </c>
      <c r="GR28" s="26">
        <f t="shared" si="42"/>
        <v>1.5243630529574199</v>
      </c>
      <c r="GS28" s="26">
        <f t="shared" si="42"/>
        <v>1.5806568773516536</v>
      </c>
      <c r="GT28" s="26">
        <f t="shared" si="42"/>
        <v>1.6392136821244225</v>
      </c>
      <c r="GU28" s="26">
        <f>(AM28-$V28)/BH28</f>
        <v>5.5056440089173364</v>
      </c>
      <c r="GV28" s="26">
        <f>(AN28-$V28)/BI28</f>
        <v>4.6676002572072841</v>
      </c>
      <c r="GW28" s="26">
        <f>(AO28-$V28)/BJ28</f>
        <v>3.7986177151794642</v>
      </c>
      <c r="GX28" s="26">
        <f>(AP28-$V28)/BK28</f>
        <v>2.898294421889017</v>
      </c>
      <c r="GY28" s="26">
        <f>(AQ28-$V28)/BL28</f>
        <v>1.9657345432935935</v>
      </c>
      <c r="GZ28" s="26">
        <f t="shared" ref="GW28:HO43" si="43">(AR28-$V28)/BM28</f>
        <v>0.99999999999999289</v>
      </c>
      <c r="HA28" s="26">
        <f t="shared" si="43"/>
        <v>0</v>
      </c>
      <c r="HB28" s="26">
        <f t="shared" si="43"/>
        <v>-1.0354084639948264</v>
      </c>
      <c r="HC28" s="26">
        <f t="shared" si="43"/>
        <v>-2.107479413877432</v>
      </c>
      <c r="HD28" s="26">
        <f t="shared" si="43"/>
        <v>-3.2174341617668647</v>
      </c>
      <c r="HE28" s="26">
        <f t="shared" si="43"/>
        <v>-4.3667631165336731</v>
      </c>
      <c r="HF28" s="26">
        <f t="shared" si="43"/>
        <v>-5.5567946826850001</v>
      </c>
      <c r="HG28" s="26">
        <f t="shared" si="43"/>
        <v>-6.7894364578592228</v>
      </c>
      <c r="HH28" s="26">
        <f t="shared" si="43"/>
        <v>-8.0665283994720696</v>
      </c>
      <c r="HI28" s="26">
        <f t="shared" si="43"/>
        <v>-9.3902393429626407</v>
      </c>
      <c r="HJ28" s="26">
        <f t="shared" si="43"/>
        <v>-10.763530522714278</v>
      </c>
      <c r="HK28" s="26">
        <f t="shared" si="43"/>
        <v>-12.189084634501972</v>
      </c>
      <c r="HL28" s="26">
        <f t="shared" si="43"/>
        <v>-13.669965986469348</v>
      </c>
      <c r="HM28" s="26">
        <f t="shared" si="43"/>
        <v>-15.208822826293234</v>
      </c>
      <c r="HN28" s="26">
        <f t="shared" si="43"/>
        <v>-16.807405049898257</v>
      </c>
      <c r="HO28" s="26">
        <f t="shared" si="43"/>
        <v>-18.467095812616865</v>
      </c>
      <c r="HP28" s="26">
        <f t="shared" ref="HP28:HP59" si="44">(rd*Periodicité/(1+fractionnelentrente))*(0.5*EJ28+am_n_1-FE28-am*FZ28)+(rv*Periodicité/(1+fractionnelentrente))*(1+am)*FZ28</f>
        <v>515575.51650157757</v>
      </c>
      <c r="HQ28" s="26">
        <f t="shared" ref="HQ28:HQ59" si="45">(rd*Periodicité/(1+fractionnelentrente))*(0.5*EK28+am_n_2-FF28-am*GA28)+(rv*Periodicité/(1+fractionnelentrente))*(1+am)*GA28</f>
        <v>533079.39073423087</v>
      </c>
      <c r="HR28" s="26">
        <f t="shared" ref="HR28:HR59" si="46">(rd*Periodicité/(1+fractionnelentrente))*(0.5*EL28+am_n_3-FG28-am*GB28)+(rv*Periodicité/(1+fractionnelentrente))*(1+am)*GB28</f>
        <v>551392.59435136244</v>
      </c>
      <c r="HS28" s="26">
        <f t="shared" ref="HS28:HS59" si="47">(rd*Periodicité/(1+fractionnelentrente))*(0.5*EM28+am_n_4-FH28-am*GC28)+(rv*Periodicité/(1+fractionnelentrente))*(1+am)*GC28</f>
        <v>570458.91811035248</v>
      </c>
      <c r="HT28" s="26">
        <f t="shared" ref="HT28:HT59" si="48">(rd*Periodicité/(1+fractionnelentrente))*(0.5*EN28+am_n_5-FI28-am*GD28)+(rv*Periodicité/(1+fractionnelentrente))*(1+am)*GD28</f>
        <v>590280.73288740602</v>
      </c>
      <c r="HU28" s="26">
        <f t="shared" ref="HU28:HU59" si="49">(rd*Periodicité/(1+fractionnelentrente))*(0.5*EO28+am_n_6-FJ28-am*GE28)+(rv*Periodicité/(1+fractionnelentrente))*(1+am)*GE28</f>
        <v>610860.19307457062</v>
      </c>
      <c r="HV28" s="26">
        <f t="shared" ref="HV28:HV59" si="50">(rd*Periodicité/(1+fractionnelentrente))*(0.5*EP28+am_n_7-FK28-am*GF28)+(rv*Periodicité/(1+fractionnelentrente))*(1+am)*GF28</f>
        <v>632215.9078880985</v>
      </c>
      <c r="HW28" s="26">
        <f t="shared" ref="HW28:HW59" si="51">(rd*Periodicité/(1+fractionnelentrente))*(0.5*EQ28+am_n_8-FL28-am*GG28)+(rv*Periodicité/(1+fractionnelentrente))*(1+am)*GG28</f>
        <v>654367.27598110086</v>
      </c>
      <c r="HX28" s="26">
        <f t="shared" ref="HX28:HX59" si="52">(rd*Periodicité/(1+fractionnelentrente))*(0.5*ER28+am_n_9-FM28-am*GH28)+(rv*Periodicité/(1+fractionnelentrente))*(1+am)*GH28</f>
        <v>677342.43746910291</v>
      </c>
      <c r="HY28" s="26">
        <f t="shared" ref="HY28:HY59" si="53">(rd*Periodicité/(1+fractionnelentrente))*(0.5*ES28+am_n_10-FN28-am*GI28)+(rv*Periodicité/(1+fractionnelentrente))*(1+am)*GI28</f>
        <v>701164.53127727006</v>
      </c>
      <c r="HZ28" s="26">
        <f t="shared" ref="HZ28:HZ59" si="54">(rd*Periodicité/(1+fractionnelentrente))*(0.5*ET28+am_n_11-FO28-am*GJ28)+(rv*Periodicité/(1+fractionnelentrente))*(1+am)*GJ28</f>
        <v>725879.33002748434</v>
      </c>
      <c r="IA28" s="26">
        <f t="shared" ref="IA28:IA59" si="55">(rd*Periodicité/(1+fractionnelentrente))*(0.5*EU28+am_n_12-FP28-am*GK28)+(rv*Periodicité/(1+fractionnelentrente))*(1+am)*GK28</f>
        <v>751513.63265612617</v>
      </c>
      <c r="IB28" s="26">
        <f t="shared" ref="IB28:IB59" si="56">(rd*Periodicité/(1+fractionnelentrente))*(0.5*EV28+am_n_13-FQ28-am*GL28)+(rv*Periodicité/(1+fractionnelentrente))*(1+am)*GL28</f>
        <v>778151.00355882675</v>
      </c>
      <c r="IC28" s="26">
        <f t="shared" ref="IC28:IC59" si="57">(rd*Periodicité/(1+fractionnelentrente))*(0.5*EW28+am_n_14-FR28-am*GM28)+(rv*Periodicité/(1+fractionnelentrente))*(1+am)*GM28</f>
        <v>805865.39155162207</v>
      </c>
      <c r="ID28" s="26">
        <f t="shared" ref="ID28:ID59" si="58">(rd*Periodicité/(1+fractionnelentrente))*(0.5*EX28+am_n_15-FS28-am*GN28)+(rv*Periodicité/(1+fractionnelentrente))*(1+am)*GN28</f>
        <v>834762.53448507236</v>
      </c>
      <c r="IE28" s="26">
        <f t="shared" ref="IE28:IE59" si="59">(rd*Periodicité/(1+fractionnelentrente))*(0.5*EY28+am_n_16-FT28-am*GO28)+(rv*Periodicité/(1+fractionnelentrente))*(1+am)*GO28</f>
        <v>865031.02277650498</v>
      </c>
      <c r="IF28" s="26">
        <f t="shared" ref="IF28:IF59" si="60">(rd*Periodicité/(1+fractionnelentrente))*(0.5*EZ28+am_n_17-FU28-am*GP28)+(rv*Periodicité/(1+fractionnelentrente))*(1+am)*GP28</f>
        <v>896825.97723325202</v>
      </c>
      <c r="IG28" s="26">
        <f t="shared" ref="IG28:IG59" si="61">(rd*Periodicité/(1+fractionnelentrente))*(0.5*FA28+am_n_18-FV28-am*GQ28)+(rv*Periodicité/(1+fractionnelentrente))*(1+am)*GQ28</f>
        <v>930340.30187980889</v>
      </c>
      <c r="IH28" s="26">
        <f t="shared" ref="IH28:IH59" si="62">(rd*Periodicité/(1+fractionnelentrente))*(0.5*FB28+am_n_19-FW28-am*GR28)+(rv*Periodicité/(1+fractionnelentrente))*(1+am)*GR28</f>
        <v>965716.45646447944</v>
      </c>
      <c r="II28" s="26">
        <f t="shared" ref="II28:II59" si="63">(rd*Periodicité/(1+fractionnelentrente))*(0.5*FC28+am_n_20-FX28-am*GS28)+(rv*Periodicité/(1+fractionnelentrente))*(1+am)*GS28</f>
        <v>-2110359869207.0466</v>
      </c>
      <c r="IJ28" s="26">
        <f t="shared" ref="IJ28:IJ59" si="64">HP28*(1+$H$7)+(rd*Periodicité/(1+fractionnelentrente))*gg*GU28*am_n_2_1+(rv*Periodicité/(1+fractionnelentrente))*grr*(1+am)*GU28</f>
        <v>535381.19230769924</v>
      </c>
      <c r="IK28" s="26">
        <f t="shared" ref="IK28:IK59" si="65">HQ28*(1+$H$7)+(rd*Periodicité/(1+fractionnelentrente))*gg*GV28*am_n_2_2+(rv*Periodicité/(1+fractionnelentrente))*grr*(1+am)*GV28</f>
        <v>552548.38860405947</v>
      </c>
      <c r="IL28" s="26">
        <f t="shared" ref="IL28:IL59" si="66">HR28*(1+$H$7)+(rd*Periodicité/(1+fractionnelentrente))*gg*GW28*am_n_2_3+(rv*Periodicité/(1+fractionnelentrente))*grr*(1+am)*GW28</f>
        <v>570596.96919571632</v>
      </c>
      <c r="IM28" s="26">
        <f t="shared" ref="IM28:IM59" si="67">HS28*(1+$H$7)+(rd*Periodicité/(1+fractionnelentrente))*gg*GX28*am_n_2_4+(rv*Periodicité/(1+fractionnelentrente))*grr*(1+am)*GX28</f>
        <v>589474.7636974263</v>
      </c>
      <c r="IN28" s="26">
        <f t="shared" ref="IN28:IN59" si="68">HT28*(1+$H$7)+(rd*Periodicité/(1+fractionnelentrente))*gg*GY28*am_n_2_5+(rv*Periodicité/(1+fractionnelentrente))*grr*(1+am)*GY28</f>
        <v>609189.89753002371</v>
      </c>
      <c r="IO28" s="26">
        <f t="shared" ref="IO28:IO59" si="69">HU28*(1+$H$7)+(rd*Periodicité/(1+fractionnelentrente))*gg*GZ28*am_n_2_6+(rv*Periodicité/(1+fractionnelentrente))*grr*(1+am)*GZ28</f>
        <v>629750.60883072717</v>
      </c>
      <c r="IP28" s="26">
        <f t="shared" ref="IP28:IP59" si="70">HV28*(1+$H$7)+(rd*Periodicité/(1+fractionnelentrente))*gg*HA28*am_n_2_7+(rv*Periodicité/(1+fractionnelentrente))*grr*(1+am)*HA28</f>
        <v>651182.38512474147</v>
      </c>
      <c r="IQ28" s="26">
        <f t="shared" ref="IQ28:IQ59" si="71">HW28*(1+$H$7)+(rd*Periodicité/(1+fractionnelentrente))*gg*HB28*am_n_2_8+(rv*Periodicité/(1+fractionnelentrente))*grr*(1+am)*HB28</f>
        <v>673511.9249083295</v>
      </c>
      <c r="IR28" s="26">
        <f t="shared" ref="IR28:IR59" si="72">HX28*(1+$H$7)+(rd*Periodicité/(1+fractionnelentrente))*gg*HC28*am_n_2_9+(rv*Periodicité/(1+fractionnelentrente))*grr*(1+am)*HC28</f>
        <v>696775.33104909409</v>
      </c>
      <c r="IS28" s="26">
        <f t="shared" ref="IS28:IS59" si="73">HY28*(1+$H$7)+(rd*Periodicité/(1+fractionnelentrente))*gg*HD28*am_n_2_10+(rv*Periodicité/(1+fractionnelentrente))*grr*(1+am)*HD28</f>
        <v>721004.05250502017</v>
      </c>
      <c r="IT28" s="26">
        <f t="shared" ref="IT28:IT59" si="74">HZ28*(1+$H$7)+(rd*Periodicité/(1+fractionnelentrente))*gg*HE28*am_n_2_11+(rv*Periodicité/(1+fractionnelentrente))*grr*(1+am)*HE28</f>
        <v>746253.26029583404</v>
      </c>
      <c r="IU28" s="26">
        <f t="shared" ref="IU28:IU59" si="75">IA28*(1+$H$7)+(rd*Periodicité/(1+fractionnelentrente))*gg*HF28*am_n_2_12+(rv*Periodicité/(1+fractionnelentrente))*grr*(1+am)*HF28</f>
        <v>772559.19467339793</v>
      </c>
      <c r="IV28" s="26">
        <f t="shared" ref="IV28:IV59" si="76">IB28*(1+$H$7)+(rd*Periodicité/(1+fractionnelentrente))*gg*HG28*am_n_2_13+(rv*Periodicité/(1+fractionnelentrente))*grr*(1+am)*HG28</f>
        <v>800016.99318217696</v>
      </c>
      <c r="IW28" s="26">
        <f t="shared" ref="IW28:IW59" si="77">IC28*(1+$H$7)+(rd*Periodicité/(1+fractionnelentrente))*gg*HH28*am_n_2_14+(rv*Periodicité/(1+fractionnelentrente))*grr*(1+am)*HH28</f>
        <v>828712.59791944572</v>
      </c>
      <c r="IX28" s="26">
        <f t="shared" ref="IX28:IX59" si="78">ID28*(1+$H$7)+(rd*Periodicité/(1+fractionnelentrente))*gg*HI28*am_n_2_15+(rv*Periodicité/(1+fractionnelentrente))*grr*(1+am)*HI28</f>
        <v>858765.36561580817</v>
      </c>
      <c r="IY28" s="26">
        <f t="shared" ref="IY28:IY59" si="79">IE28*(1+$H$7)+(rd*Periodicité/(1+fractionnelentrente))*gg*HJ28*am_n_2_16+(rv*Periodicité/(1+fractionnelentrente))*grr*(1+am)*HJ28</f>
        <v>890380.75313637871</v>
      </c>
      <c r="IZ28" s="26">
        <f t="shared" ref="IZ28:IZ59" si="80">IF28*(1+$H$7)+(rd*Periodicité/(1+fractionnelentrente))*gg*HK28*am_n_2_17+(rv*Periodicité/(1+fractionnelentrente))*grr*(1+am)*HK28</f>
        <v>923730.75655024964</v>
      </c>
      <c r="JA28" s="26">
        <f t="shared" ref="JA28:JA59" si="81">IG28*(1+$H$7)+(rd*Periodicité/(1+fractionnelentrente))*gg*HL28*am_n_2_18+(rv*Periodicité/(1+fractionnelentrente))*grr*(1+am)*HL28</f>
        <v>959027.29814890272</v>
      </c>
      <c r="JB28" s="26">
        <f t="shared" ref="JB28:JB59" si="82">IH28*(1+$H$7)+(rd*Periodicité/(1+fractionnelentrente))*gg*HM28*am_n_2_19+(rv*Periodicité/(1+fractionnelentrente))*grr*(1+am)*HM28</f>
        <v>996431.40771355876</v>
      </c>
      <c r="JC28" s="26">
        <f t="shared" ref="JC28:JC59" si="83">II28*(1+$H$7)+(rd*Periodicité/(1+fractionnelentrente))*gg*HN28*am_n_2_20+(rv*Periodicité/(1+fractionnelentrente))*grr*(1+am)*HN28</f>
        <v>-2173670662368.05</v>
      </c>
      <c r="JD28" s="26">
        <f t="shared" ref="JD28:JD59" si="84">IK28+(rv*Periodicité/(1+fractionnelentrente))*gpp*(1+am)*GV28-$AH28*GV28</f>
        <v>150559.71353234904</v>
      </c>
      <c r="JE28" s="26">
        <f t="shared" ref="JE28:JE59" si="85">IL28+(rv*Periodicité/(1+fractionnelentrente))*gpp*(1+am)*GW28-$AH28*GW28</f>
        <v>243447.85224400996</v>
      </c>
      <c r="JF28" s="26">
        <f t="shared" ref="JF28:JF59" si="86">IM28+(rv*Periodicité/(1+fractionnelentrente))*gpp*(1+am)*GX28-$AH28*GX28</f>
        <v>339864.37068575365</v>
      </c>
      <c r="JG28" s="26">
        <f t="shared" ref="JG28:JG59" si="87">IN28+(rv*Periodicité/(1+fractionnelentrente))*gpp*(1+am)*GY28-$AH28*GY28</f>
        <v>439894.54637369333</v>
      </c>
      <c r="JH28" s="26">
        <f t="shared" ref="JH28:JH59" si="88">IO28+(rv*Periodicité/(1+fractionnelentrente))*gpp*(1+am)*GZ28-$AH28*GZ28</f>
        <v>543627.40784516861</v>
      </c>
      <c r="JI28" s="26">
        <f t="shared" ref="JI28:JI59" si="89">IP28+(rv*Periodicité/(1+fractionnelentrente))*gpp*(1+am)*HA28-$AH28*HA28</f>
        <v>651182.38512474147</v>
      </c>
      <c r="JJ28" s="26">
        <f t="shared" ref="JJ28:JJ59" si="90">IQ28+(rv*Periodicité/(1+fractionnelentrente))*gpp*(1+am)*HB28-$AH28*HB28</f>
        <v>762684.61615510494</v>
      </c>
      <c r="JK28" s="26">
        <f t="shared" ref="JK28:JK59" si="91">IR28+(rv*Periodicité/(1+fractionnelentrente))*gpp*(1+am)*HC28-$AH28*HC28</f>
        <v>878278.2041833885</v>
      </c>
      <c r="JL28" s="26">
        <f t="shared" ref="JL28:JL59" si="92">IS28+(rv*Periodicité/(1+fractionnelentrente))*gpp*(1+am)*HD28-$AH28*HD28</f>
        <v>998099.78147667181</v>
      </c>
      <c r="JM28" s="26">
        <f t="shared" ref="JM28:JM59" si="93">IT28+(rv*Periodicité/(1+fractionnelentrente))*gpp*(1+am)*HE28-$AH28*HE28</f>
        <v>1122332.8778373902</v>
      </c>
      <c r="JN28" s="26">
        <f t="shared" ref="JN28:JN59" si="94">IU28+(rv*Periodicité/(1+fractionnelentrente))*gpp*(1+am)*HF28-$AH28*HF28</f>
        <v>1251128.1399657645</v>
      </c>
      <c r="JO28" s="26">
        <f t="shared" ref="JO28:JO59" si="95">IV28+(rv*Periodicité/(1+fractionnelentrente))*gpp*(1+am)*HG28-$AH28*HG28</f>
        <v>1384744.9938210696</v>
      </c>
      <c r="JP28" s="26">
        <f t="shared" ref="JP28:JP59" si="96">IW28+(rv*Periodicité/(1+fractionnelentrente))*gpp*(1+am)*HH28-$AH28*HH28</f>
        <v>1523427.8445228995</v>
      </c>
      <c r="JQ28" s="26">
        <f t="shared" ref="JQ28:JQ59" si="97">IX28+(rv*Periodicité/(1+fractionnelentrente))*gpp*(1+am)*HI28-$AH28*HI28</f>
        <v>1667482.8358522845</v>
      </c>
      <c r="JR28" s="26">
        <f t="shared" ref="JR28:JR59" si="98">IY28+(rv*Periodicité/(1+fractionnelentrente))*gpp*(1+am)*HJ28-$AH28*HJ28</f>
        <v>1817370.4556583008</v>
      </c>
      <c r="JS28" s="26">
        <f t="shared" ref="JS28:JS59" si="99">IZ28+(rv*Periodicité/(1+fractionnelentrente))*gpp*(1+am)*HK28-$AH28*HK28</f>
        <v>1973493.7423574533</v>
      </c>
      <c r="JT28" s="26">
        <f t="shared" ref="JT28:JT59" si="100">JA28+(rv*Periodicité/(1+fractionnelentrente))*gpp*(1+am)*HL28-$AH28*HL28</f>
        <v>2136328.5262673595</v>
      </c>
      <c r="JU28" s="26">
        <f t="shared" ref="JU28:JU59" si="101">JB28+(rv*Periodicité/(1+fractionnelentrente))*gpp*(1+am)*HM28-$AH28*HM28</f>
        <v>2306263.9127361705</v>
      </c>
      <c r="JV28" s="26">
        <f t="shared" ref="JV28:JV59" si="102">JC28+(rv*Periodicité/(1+fractionnelentrente))*gpp*(1+am)*HN28-$AH28*HN28</f>
        <v>-2173669214860.5269</v>
      </c>
      <c r="JW28" s="26">
        <f t="shared" ref="JW28:JW59" si="103">JD28+(rv*Periodicité/(1+fractionnelentrente))*gpp*(1+am)*HO28-$AH28*HO28</f>
        <v>1741005.1178219286</v>
      </c>
      <c r="JX28" s="26" t="e">
        <f>AH28+$AG$38*0.004*(1+$R$28)*#REF!-S28*#REF!</f>
        <v>#REF!</v>
      </c>
      <c r="JY28" s="34">
        <f t="shared" ref="JY28:JY59" si="104">F28+$J$8</f>
        <v>5.5368000000000042E-2</v>
      </c>
      <c r="JZ28" s="4">
        <f t="shared" ref="JZ28:JZ59" si="105">IJ28+rv*gpp*(1+am)*GU28-$AH28*GU28</f>
        <v>41894.016146603681</v>
      </c>
      <c r="KA28" s="165"/>
      <c r="KB28" s="163">
        <v>1</v>
      </c>
      <c r="KC28" s="163">
        <f>((1+0.035)^(-1))*(1-((1+0.035)^(-m-n+1)))/(1-((1+0.035)^(-1)))</f>
        <v>9.0015510363072053</v>
      </c>
      <c r="KD28" s="163">
        <f>((1+0.035)^(-1))*(1-((1+0.035)^(-m-(n/2)+(1/2))))/(1-((1+0.035)^(-1)))</f>
        <v>6.8739555366785705</v>
      </c>
      <c r="KE28" s="164">
        <f>IF(KB28&lt;=n,VLOOKUP(A28+x,A28:KF139,286),0)</f>
        <v>46680.171897070948</v>
      </c>
      <c r="KF28" s="164">
        <f>IF(KB28&lt;=n+m,VLOOKUP(A28+x,A28:KF139,286),0)</f>
        <v>46680.171897070948</v>
      </c>
    </row>
    <row r="29" spans="1:292" ht="15.75" x14ac:dyDescent="0.3">
      <c r="A29" s="34">
        <v>28</v>
      </c>
      <c r="B29" s="34">
        <v>1</v>
      </c>
      <c r="C29" s="2">
        <v>994632</v>
      </c>
      <c r="D29" s="1">
        <f t="shared" ref="D29:D92" si="106">C29-C30</f>
        <v>726</v>
      </c>
      <c r="E29" s="145">
        <f t="shared" ref="E29:E92" si="107">C30/C29</f>
        <v>0.9992700817990976</v>
      </c>
      <c r="F29" s="146">
        <f t="shared" ref="F29:F92" si="108">1-E29</f>
        <v>7.2991820090240189E-4</v>
      </c>
      <c r="G29" s="158">
        <f t="shared" si="3"/>
        <v>9.1239775112800237E-4</v>
      </c>
      <c r="H29" s="43">
        <f t="shared" ref="H29:H92" si="109">+G29*I29</f>
        <v>906.2755622179335</v>
      </c>
      <c r="I29" s="43">
        <f>I28-H28</f>
        <v>993290</v>
      </c>
      <c r="J29" s="43">
        <f t="shared" ref="J29:J92" si="110">(C29+C30)/2</f>
        <v>994269</v>
      </c>
      <c r="K29" s="147">
        <f>SUM(J29:$J$138)</f>
        <v>72504800</v>
      </c>
      <c r="L29" s="147">
        <f t="shared" ref="L29:L92" si="111">K29/C29</f>
        <v>72.896106298610945</v>
      </c>
      <c r="M29" s="43">
        <f t="shared" si="4"/>
        <v>1242836.25</v>
      </c>
      <c r="N29" s="148">
        <f t="shared" si="5"/>
        <v>90631000</v>
      </c>
      <c r="O29" s="147">
        <f t="shared" si="6"/>
        <v>91.120132873263685</v>
      </c>
      <c r="P29" s="157">
        <f t="shared" si="7"/>
        <v>959700.48309178755</v>
      </c>
      <c r="Q29" s="43">
        <f t="shared" si="8"/>
        <v>1243290</v>
      </c>
      <c r="R29" s="43">
        <f t="shared" si="9"/>
        <v>860.69592082957377</v>
      </c>
      <c r="S29" s="43">
        <f>SUM(R29:$R$138)</f>
        <v>108620.39752070897</v>
      </c>
      <c r="T29" s="43">
        <f t="shared" ref="T29:T92" si="112">SUM(S29:S139)</f>
        <v>6071597.6328957891</v>
      </c>
      <c r="U29" s="153">
        <f>SUM(P29:$P$138)</f>
        <v>25222431.233590938</v>
      </c>
      <c r="V29" s="129">
        <f t="shared" si="10"/>
        <v>19160749.374707777</v>
      </c>
      <c r="W29" s="43">
        <f t="shared" ref="W29:W59" si="113">VLOOKUP(A29+n,A29:AF139,16)</f>
        <v>751309.91376334231</v>
      </c>
      <c r="X29" s="26">
        <f t="shared" ref="X29:X92" si="114">(((U29-V29))/P29)</f>
        <v>6.3162225774386842</v>
      </c>
      <c r="Y29" s="26">
        <f t="shared" ref="Y29:Y92" si="115">(W29/P29)</f>
        <v>0.78285874290998525</v>
      </c>
      <c r="Z29" s="43">
        <f t="shared" si="11"/>
        <v>105155.14373840331</v>
      </c>
      <c r="AA29" s="149">
        <f t="shared" ref="AA29:AA92" si="116">((S29-Z29)/P29)</f>
        <v>3.6107659039015397E-3</v>
      </c>
      <c r="AB29" s="150">
        <f>U30</f>
        <v>24262730.750499152</v>
      </c>
      <c r="AC29" s="150">
        <f t="shared" ref="AC29:AC92" si="117">V30</f>
        <v>18409439.460944436</v>
      </c>
      <c r="AD29" s="26">
        <f t="shared" ref="AD29:AD92" si="118">((AB29-AC29)/P29)</f>
        <v>6.0990813203486693</v>
      </c>
      <c r="AE29" s="26">
        <f t="shared" si="12"/>
        <v>516196.26683051611</v>
      </c>
      <c r="AF29" s="43">
        <f t="shared" ref="AF29:AF59" si="119">AE29/X29</f>
        <v>81725.471276827753</v>
      </c>
      <c r="AG29" s="43">
        <f t="shared" si="13"/>
        <v>537010.82870069717</v>
      </c>
      <c r="AH29" s="27">
        <f t="shared" si="14"/>
        <v>88863.687477332307</v>
      </c>
      <c r="AI29" s="28">
        <f t="shared" ref="AI29:AI59" si="120">AG29/(1-Frais_sur_versement)</f>
        <v>577430.99860290019</v>
      </c>
      <c r="AJ29" s="20">
        <f t="shared" si="15"/>
        <v>95552.35212616378</v>
      </c>
      <c r="AK29" s="3">
        <f t="shared" si="16"/>
        <v>8281.2038509341946</v>
      </c>
      <c r="AL29" s="3"/>
      <c r="AM29" s="46">
        <f t="shared" ref="AM29:AM92" si="121">U30</f>
        <v>24262730.750499152</v>
      </c>
      <c r="AN29" s="46">
        <f t="shared" ref="AN29:AO92" si="122">AM30</f>
        <v>23336329.924867015</v>
      </c>
      <c r="AO29" s="46">
        <f t="shared" si="122"/>
        <v>22441881.427776039</v>
      </c>
      <c r="AP29" s="3">
        <f t="shared" si="17"/>
        <v>21578194.360523928</v>
      </c>
      <c r="AQ29" s="3">
        <f t="shared" si="17"/>
        <v>20744138.537668355</v>
      </c>
      <c r="AR29" s="16">
        <f t="shared" si="17"/>
        <v>19938662.018501565</v>
      </c>
      <c r="AS29" s="16">
        <f t="shared" si="17"/>
        <v>19160749.374707777</v>
      </c>
      <c r="AT29" s="16">
        <f t="shared" si="17"/>
        <v>18409439.460944436</v>
      </c>
      <c r="AU29" s="16">
        <f t="shared" si="17"/>
        <v>17683822.618622076</v>
      </c>
      <c r="AV29" s="16">
        <f t="shared" si="17"/>
        <v>16983003.49179301</v>
      </c>
      <c r="AW29" s="16">
        <f t="shared" si="17"/>
        <v>16306150.077070862</v>
      </c>
      <c r="AX29" s="16">
        <f t="shared" si="17"/>
        <v>15652443.732161334</v>
      </c>
      <c r="AY29" s="16">
        <f t="shared" si="17"/>
        <v>15021136.802205658</v>
      </c>
      <c r="AZ29" s="16">
        <f t="shared" si="17"/>
        <v>14411515.788955677</v>
      </c>
      <c r="BA29" s="16">
        <f t="shared" si="17"/>
        <v>13822910.320268864</v>
      </c>
      <c r="BB29" s="16">
        <f t="shared" si="17"/>
        <v>13254718.342243936</v>
      </c>
      <c r="BC29" s="16">
        <f t="shared" si="17"/>
        <v>12706363.492254766</v>
      </c>
      <c r="BD29" s="16">
        <f t="shared" si="18"/>
        <v>12177298.640637327</v>
      </c>
      <c r="BE29" s="16">
        <f t="shared" si="18"/>
        <v>11666978.843601737</v>
      </c>
      <c r="BF29" s="16">
        <f t="shared" si="18"/>
        <v>11174833.676019788</v>
      </c>
      <c r="BG29" s="16">
        <f t="shared" si="18"/>
        <v>10700269.162389321</v>
      </c>
      <c r="BH29" s="172">
        <f t="shared" ref="BH29:BH92" si="123">P30</f>
        <v>926400.82563213352</v>
      </c>
      <c r="BI29" s="16">
        <f t="shared" si="19"/>
        <v>894448.49709098169</v>
      </c>
      <c r="BJ29" s="16">
        <f t="shared" si="19"/>
        <v>863687.06725210964</v>
      </c>
      <c r="BK29" s="16">
        <f t="shared" si="19"/>
        <v>834055.8228555735</v>
      </c>
      <c r="BL29" s="16">
        <f t="shared" si="19"/>
        <v>805476.51916679565</v>
      </c>
      <c r="BM29" s="16">
        <f t="shared" si="19"/>
        <v>777912.64379378548</v>
      </c>
      <c r="BN29" s="16">
        <f t="shared" si="19"/>
        <v>751309.91376334231</v>
      </c>
      <c r="BO29" s="16">
        <f t="shared" si="19"/>
        <v>725616.84232236387</v>
      </c>
      <c r="BP29" s="16">
        <f t="shared" si="19"/>
        <v>700819.12682907446</v>
      </c>
      <c r="BQ29" s="16">
        <f t="shared" si="19"/>
        <v>676853.41472214996</v>
      </c>
      <c r="BR29" s="16">
        <f t="shared" si="20"/>
        <v>653706.34490952641</v>
      </c>
      <c r="BS29" s="16">
        <f t="shared" si="20"/>
        <v>631306.92995567387</v>
      </c>
      <c r="BT29" s="16">
        <f t="shared" si="20"/>
        <v>609621.01324998064</v>
      </c>
      <c r="BU29" s="16">
        <f t="shared" si="20"/>
        <v>588605.46868681419</v>
      </c>
      <c r="BV29" s="16">
        <f t="shared" si="20"/>
        <v>568191.97802492685</v>
      </c>
      <c r="BW29" s="16">
        <f t="shared" si="20"/>
        <v>548354.84998917021</v>
      </c>
      <c r="BX29" s="16">
        <f t="shared" si="20"/>
        <v>529064.85161743569</v>
      </c>
      <c r="BY29" s="16">
        <f t="shared" si="20"/>
        <v>510319.79703559174</v>
      </c>
      <c r="BZ29" s="16">
        <f t="shared" si="20"/>
        <v>492145.1675819463</v>
      </c>
      <c r="CA29" s="16">
        <f t="shared" si="20"/>
        <v>474564.51363046817</v>
      </c>
      <c r="CB29" s="16">
        <f t="shared" si="20"/>
        <v>457580.68330907432</v>
      </c>
      <c r="CC29" s="18">
        <f t="shared" ref="CC29:CG92" si="124">(AM29-$V29)/BH29</f>
        <v>5.5073152296793522</v>
      </c>
      <c r="CD29" s="18">
        <f t="shared" si="21"/>
        <v>4.6683297738656782</v>
      </c>
      <c r="CE29" s="18">
        <f t="shared" si="21"/>
        <v>3.7989824989593153</v>
      </c>
      <c r="CF29" s="18">
        <f t="shared" si="21"/>
        <v>2.8984210883385435</v>
      </c>
      <c r="CG29" s="18">
        <f t="shared" si="21"/>
        <v>1.9657794178761085</v>
      </c>
      <c r="CH29" s="18">
        <f t="shared" si="21"/>
        <v>1.0000000000000029</v>
      </c>
      <c r="CI29" s="18">
        <f t="shared" si="21"/>
        <v>0</v>
      </c>
      <c r="CJ29" s="18">
        <f t="shared" si="21"/>
        <v>-1.0354085929961949</v>
      </c>
      <c r="CK29" s="18">
        <f t="shared" si="21"/>
        <v>-2.1074292917320947</v>
      </c>
      <c r="CL29" s="18">
        <f t="shared" si="21"/>
        <v>-3.2174557083511752</v>
      </c>
      <c r="CM29" s="18">
        <f t="shared" si="21"/>
        <v>-4.3667914804039336</v>
      </c>
      <c r="CN29" s="18">
        <f t="shared" si="21"/>
        <v>-5.557210725997848</v>
      </c>
      <c r="CO29" s="18">
        <f t="shared" si="21"/>
        <v>-6.7904689676512735</v>
      </c>
      <c r="CP29" s="18">
        <f t="shared" si="21"/>
        <v>-8.0686195395834428</v>
      </c>
      <c r="CQ29" s="18">
        <f t="shared" si="21"/>
        <v>-9.3944287509894053</v>
      </c>
      <c r="CR29" s="18">
        <f t="shared" si="21"/>
        <v>-10.770454629115585</v>
      </c>
      <c r="CS29" s="18">
        <f t="shared" si="21"/>
        <v>-12.199611943074508</v>
      </c>
      <c r="CT29" s="18">
        <f t="shared" ref="CT29:CW92" si="125">(BD29-$V29)/BY29</f>
        <v>-13.68445977333581</v>
      </c>
      <c r="CU29" s="18">
        <f t="shared" si="125"/>
        <v>-15.226748172546598</v>
      </c>
      <c r="CV29" s="18">
        <f t="shared" si="125"/>
        <v>-16.827882130492437</v>
      </c>
      <c r="CW29" s="18">
        <f t="shared" si="22"/>
        <v>-18.489592154841461</v>
      </c>
      <c r="CX29" s="17">
        <f t="shared" si="23"/>
        <v>635.60373753212048</v>
      </c>
      <c r="CY29" s="17">
        <f t="shared" ref="CY29:DE69" si="126">CX30</f>
        <v>523.30343345404026</v>
      </c>
      <c r="CZ29" s="17">
        <f t="shared" si="126"/>
        <v>431.79909921236828</v>
      </c>
      <c r="DA29" s="17">
        <f t="shared" si="126"/>
        <v>381.01509747096247</v>
      </c>
      <c r="DB29" s="17">
        <f t="shared" si="126"/>
        <v>331.18691370678681</v>
      </c>
      <c r="DC29" s="17">
        <f t="shared" si="126"/>
        <v>301.64958009979046</v>
      </c>
      <c r="DD29" s="17">
        <f t="shared" si="24"/>
        <v>291.42586734785783</v>
      </c>
      <c r="DE29" s="17">
        <f t="shared" si="24"/>
        <v>264.45784358403102</v>
      </c>
      <c r="DF29" s="3" t="e">
        <f>#REF!+$AG$35*0.004*(1+$R$28)*#REF!-S29*#REF!</f>
        <v>#REF!</v>
      </c>
      <c r="DG29" s="19">
        <f t="shared" si="25"/>
        <v>1356.5581001081391</v>
      </c>
      <c r="DH29" s="19">
        <f t="shared" si="26"/>
        <v>1134.4274704937604</v>
      </c>
      <c r="DI29" s="19">
        <f t="shared" si="27"/>
        <v>929.11819059369236</v>
      </c>
      <c r="DJ29" s="19">
        <f t="shared" si="28"/>
        <v>760.44304758335647</v>
      </c>
      <c r="DK29" s="19">
        <f t="shared" si="29"/>
        <v>588.5241439314749</v>
      </c>
      <c r="DL29" s="19">
        <f t="shared" si="30"/>
        <v>432.55807770870547</v>
      </c>
      <c r="DM29" s="19">
        <f t="shared" si="31"/>
        <v>291.42586734785783</v>
      </c>
      <c r="DN29" s="19">
        <f t="shared" si="32"/>
        <v>128.91406026353894</v>
      </c>
      <c r="DO29" s="173">
        <f t="shared" ref="DO29:DO91" si="127">S30</f>
        <v>107759.70159987939</v>
      </c>
      <c r="DP29" s="25">
        <f t="shared" si="33"/>
        <v>107124.09786234726</v>
      </c>
      <c r="DQ29" s="26">
        <f t="shared" si="33"/>
        <v>106600.79442889322</v>
      </c>
      <c r="DR29" s="26">
        <f t="shared" si="33"/>
        <v>106168.99532968085</v>
      </c>
      <c r="DS29" s="26">
        <f t="shared" si="33"/>
        <v>105787.9802322099</v>
      </c>
      <c r="DT29" s="26">
        <f t="shared" si="33"/>
        <v>105456.7933185031</v>
      </c>
      <c r="DU29" s="26">
        <f t="shared" si="33"/>
        <v>105155.14373840331</v>
      </c>
      <c r="DV29" s="26">
        <f t="shared" si="33"/>
        <v>104863.71787105547</v>
      </c>
      <c r="DW29" s="26">
        <f t="shared" si="33"/>
        <v>104599.26002747144</v>
      </c>
      <c r="DX29" s="26">
        <f t="shared" si="33"/>
        <v>104328.12155211414</v>
      </c>
      <c r="DY29" s="26">
        <f t="shared" si="33"/>
        <v>104065.33305960952</v>
      </c>
      <c r="DZ29" s="26">
        <f t="shared" si="33"/>
        <v>103766.83936972267</v>
      </c>
      <c r="EA29" s="26">
        <f t="shared" si="33"/>
        <v>103423.61293395719</v>
      </c>
      <c r="EB29" s="26">
        <f t="shared" si="33"/>
        <v>103016.32599848532</v>
      </c>
      <c r="EC29" s="26">
        <f t="shared" si="33"/>
        <v>102498.53793024956</v>
      </c>
      <c r="ED29" s="26">
        <f t="shared" si="33"/>
        <v>101864.82425786875</v>
      </c>
      <c r="EE29" s="26">
        <f t="shared" si="33"/>
        <v>101105.27351641076</v>
      </c>
      <c r="EF29" s="26">
        <f t="shared" si="34"/>
        <v>100236.48487711092</v>
      </c>
      <c r="EG29" s="26">
        <f t="shared" si="34"/>
        <v>99303.129534979467</v>
      </c>
      <c r="EH29" s="26">
        <f t="shared" si="34"/>
        <v>98348.790857044893</v>
      </c>
      <c r="EI29" s="26">
        <f t="shared" si="34"/>
        <v>97396.800997133396</v>
      </c>
      <c r="EJ29" s="26">
        <f t="shared" ref="EJ29:EK91" si="128">(DO29-$Z29)/BH29</f>
        <v>2.8114805054268574E-3</v>
      </c>
      <c r="EK29" s="26">
        <f t="shared" ref="EK29:EK43" si="129">(DP29-$Z29)/BI29</f>
        <v>2.2013051957128823E-3</v>
      </c>
      <c r="EL29" s="26">
        <f t="shared" si="36"/>
        <v>1.6738130571867529E-3</v>
      </c>
      <c r="EM29" s="26">
        <f t="shared" si="36"/>
        <v>1.2155680273370714E-3</v>
      </c>
      <c r="EN29" s="26">
        <f t="shared" si="36"/>
        <v>7.8566721530407208E-4</v>
      </c>
      <c r="EO29" s="26">
        <f t="shared" si="36"/>
        <v>3.8776793577834936E-4</v>
      </c>
      <c r="EP29" s="26">
        <f t="shared" si="36"/>
        <v>0</v>
      </c>
      <c r="EQ29" s="26">
        <f t="shared" si="36"/>
        <v>-4.0162500420347624E-4</v>
      </c>
      <c r="ER29" s="26">
        <f t="shared" si="36"/>
        <v>-7.9319140938264774E-4</v>
      </c>
      <c r="ES29" s="26">
        <f t="shared" si="36"/>
        <v>-1.2218630626672066E-3</v>
      </c>
      <c r="ET29" s="26">
        <f t="shared" si="36"/>
        <v>-1.6671257473332582E-3</v>
      </c>
      <c r="EU29" s="26">
        <f t="shared" si="36"/>
        <v>-2.1990957215979102E-3</v>
      </c>
      <c r="EV29" s="26">
        <f t="shared" si="36"/>
        <v>-2.8403397632490771E-3</v>
      </c>
      <c r="EW29" s="26">
        <f t="shared" si="36"/>
        <v>-3.6337034800062455E-3</v>
      </c>
      <c r="EX29" s="26">
        <f t="shared" si="36"/>
        <v>-4.6755426174587807E-3</v>
      </c>
      <c r="EY29" s="26">
        <f t="shared" si="36"/>
        <v>-6.0003471850381884E-3</v>
      </c>
      <c r="EZ29" s="26">
        <f t="shared" si="36"/>
        <v>-7.6547708841580523E-3</v>
      </c>
      <c r="FA29" s="26">
        <f t="shared" si="37"/>
        <v>-9.6383853612273911E-3</v>
      </c>
      <c r="FB29" s="26">
        <f t="shared" si="37"/>
        <v>-1.1890829350568455E-2</v>
      </c>
      <c r="FC29" s="26">
        <f t="shared" si="37"/>
        <v>-1.4342313185807132E-2</v>
      </c>
      <c r="FD29" s="26">
        <f t="shared" si="37"/>
        <v>-1.6955136054179788E-2</v>
      </c>
      <c r="FE29" s="26">
        <f t="shared" ref="FE29:FI91" si="130">(AN29-$AC29)/BH29</f>
        <v>5.3183139820289931</v>
      </c>
      <c r="FF29" s="26">
        <f t="shared" si="38"/>
        <v>4.5082997846676793</v>
      </c>
      <c r="FG29" s="26">
        <f t="shared" si="38"/>
        <v>3.6688692232721993</v>
      </c>
      <c r="FH29" s="26">
        <f t="shared" si="38"/>
        <v>2.7992120104510065</v>
      </c>
      <c r="FI29" s="26">
        <f t="shared" si="38"/>
        <v>1.8985315166468082</v>
      </c>
      <c r="FJ29" s="26">
        <f t="shared" si="38"/>
        <v>0.96580241979265613</v>
      </c>
      <c r="FK29" s="26">
        <f t="shared" si="38"/>
        <v>0</v>
      </c>
      <c r="FL29" s="26">
        <f t="shared" si="38"/>
        <v>-0.99999999999999567</v>
      </c>
      <c r="FM29" s="26">
        <f t="shared" si="38"/>
        <v>-2.0353839022708713</v>
      </c>
      <c r="FN29" s="26">
        <f t="shared" si="38"/>
        <v>-3.107451832442893</v>
      </c>
      <c r="FO29" s="26">
        <f t="shared" si="38"/>
        <v>-4.2174835080798756</v>
      </c>
      <c r="FP29" s="26">
        <f t="shared" si="38"/>
        <v>-5.3671241324353636</v>
      </c>
      <c r="FQ29" s="26">
        <f t="shared" si="38"/>
        <v>-6.5580476805995112</v>
      </c>
      <c r="FR29" s="26">
        <f t="shared" si="38"/>
        <v>-7.7921959354339227</v>
      </c>
      <c r="FS29" s="26">
        <f t="shared" si="38"/>
        <v>-9.0721469469151153</v>
      </c>
      <c r="FT29" s="26">
        <f t="shared" si="38"/>
        <v>-10.40033833712295</v>
      </c>
      <c r="FU29" s="26">
        <f t="shared" si="38"/>
        <v>-11.779540450011867</v>
      </c>
      <c r="FV29" s="26">
        <f t="shared" ref="FV29:FW92" si="131">(BE29-$AC29)/BY29</f>
        <v>-13.21222624814701</v>
      </c>
      <c r="FW29" s="26">
        <f t="shared" si="131"/>
        <v>-14.700145935538472</v>
      </c>
      <c r="FX29" s="26">
        <f t="shared" si="39"/>
        <v>17683822.618622076</v>
      </c>
      <c r="FY29" s="26">
        <f t="shared" si="40"/>
        <v>700819.12682907446</v>
      </c>
      <c r="FZ29" s="26">
        <f t="shared" ref="FZ29:GD91" si="132">$W29/BH29</f>
        <v>0.81099875234964602</v>
      </c>
      <c r="GA29" s="26">
        <f t="shared" ref="GA29:GA43" si="133">$W29/BI29</f>
        <v>0.83997001080199751</v>
      </c>
      <c r="GB29" s="26">
        <f t="shared" si="42"/>
        <v>0.8698867243128876</v>
      </c>
      <c r="GC29" s="26">
        <f t="shared" si="42"/>
        <v>0.90079092211246437</v>
      </c>
      <c r="GD29" s="26">
        <f t="shared" si="42"/>
        <v>0.93275209877069465</v>
      </c>
      <c r="GE29" s="26">
        <f t="shared" si="42"/>
        <v>0.96580241979265835</v>
      </c>
      <c r="GF29" s="26">
        <f t="shared" si="42"/>
        <v>1</v>
      </c>
      <c r="GG29" s="26">
        <f t="shared" si="42"/>
        <v>1.0354085929961974</v>
      </c>
      <c r="GH29" s="26">
        <f t="shared" si="42"/>
        <v>1.072045389461213</v>
      </c>
      <c r="GI29" s="26">
        <f t="shared" si="42"/>
        <v>1.110003875908282</v>
      </c>
      <c r="GJ29" s="26">
        <f t="shared" si="42"/>
        <v>1.1493079723240629</v>
      </c>
      <c r="GK29" s="26">
        <f t="shared" si="42"/>
        <v>1.1900865935624914</v>
      </c>
      <c r="GL29" s="26">
        <f t="shared" si="42"/>
        <v>1.2324212870517652</v>
      </c>
      <c r="GM29" s="26">
        <f t="shared" si="42"/>
        <v>1.2764236041495225</v>
      </c>
      <c r="GN29" s="26">
        <f t="shared" si="42"/>
        <v>1.3222818040742947</v>
      </c>
      <c r="GO29" s="26">
        <f t="shared" si="42"/>
        <v>1.3701162919926402</v>
      </c>
      <c r="GP29" s="26">
        <f t="shared" si="42"/>
        <v>1.4200714930626519</v>
      </c>
      <c r="GQ29" s="26">
        <f t="shared" ref="GQ29:GT92" si="134">$W29/BY29</f>
        <v>1.4722335251888004</v>
      </c>
      <c r="GR29" s="26">
        <f t="shared" si="134"/>
        <v>1.5266022370081342</v>
      </c>
      <c r="GS29" s="26">
        <f t="shared" si="134"/>
        <v>1.5831565407530008</v>
      </c>
      <c r="GT29" s="26">
        <f t="shared" si="134"/>
        <v>1.6419178981291649</v>
      </c>
      <c r="GU29" s="26">
        <f t="shared" ref="GU29:GY91" si="135">(AM29-$V29)/BH29</f>
        <v>5.5073152296793522</v>
      </c>
      <c r="GV29" s="26">
        <f t="shared" ref="GV29:GV43" si="136">(AN29-$V29)/BI29</f>
        <v>4.6683297738656782</v>
      </c>
      <c r="GW29" s="26">
        <f t="shared" si="43"/>
        <v>3.7989824989593153</v>
      </c>
      <c r="GX29" s="26">
        <f t="shared" si="43"/>
        <v>2.8984210883385435</v>
      </c>
      <c r="GY29" s="26">
        <f t="shared" si="43"/>
        <v>1.9657794178761085</v>
      </c>
      <c r="GZ29" s="26">
        <f t="shared" si="43"/>
        <v>1.0000000000000029</v>
      </c>
      <c r="HA29" s="26">
        <f t="shared" si="43"/>
        <v>0</v>
      </c>
      <c r="HB29" s="26">
        <f t="shared" si="43"/>
        <v>-1.0354085929961949</v>
      </c>
      <c r="HC29" s="26">
        <f t="shared" si="43"/>
        <v>-2.1074292917320947</v>
      </c>
      <c r="HD29" s="26">
        <f t="shared" si="43"/>
        <v>-3.2174557083511752</v>
      </c>
      <c r="HE29" s="26">
        <f t="shared" si="43"/>
        <v>-4.3667914804039336</v>
      </c>
      <c r="HF29" s="26">
        <f t="shared" si="43"/>
        <v>-5.557210725997848</v>
      </c>
      <c r="HG29" s="26">
        <f t="shared" si="43"/>
        <v>-6.7904689676512735</v>
      </c>
      <c r="HH29" s="26">
        <f t="shared" si="43"/>
        <v>-8.0686195395834428</v>
      </c>
      <c r="HI29" s="26">
        <f t="shared" si="43"/>
        <v>-9.3944287509894053</v>
      </c>
      <c r="HJ29" s="26">
        <f t="shared" si="43"/>
        <v>-10.770454629115585</v>
      </c>
      <c r="HK29" s="26">
        <f t="shared" si="43"/>
        <v>-12.199611943074508</v>
      </c>
      <c r="HL29" s="26">
        <f t="shared" ref="HL29:HO92" si="137">(BD29-$V29)/BY29</f>
        <v>-13.68445977333581</v>
      </c>
      <c r="HM29" s="26">
        <f t="shared" si="137"/>
        <v>-15.226748172546598</v>
      </c>
      <c r="HN29" s="26">
        <f t="shared" si="137"/>
        <v>-16.827882130492437</v>
      </c>
      <c r="HO29" s="26">
        <f t="shared" si="137"/>
        <v>-18.489592154841461</v>
      </c>
      <c r="HP29" s="26">
        <f t="shared" si="44"/>
        <v>515356.13963375153</v>
      </c>
      <c r="HQ29" s="26">
        <f t="shared" si="45"/>
        <v>532979.45261557086</v>
      </c>
      <c r="HR29" s="26">
        <f t="shared" si="46"/>
        <v>551339.87313237938</v>
      </c>
      <c r="HS29" s="26">
        <f t="shared" si="47"/>
        <v>570438.15090500738</v>
      </c>
      <c r="HT29" s="26">
        <f t="shared" si="48"/>
        <v>590271.67766753095</v>
      </c>
      <c r="HU29" s="26">
        <f t="shared" si="49"/>
        <v>610858.85179292795</v>
      </c>
      <c r="HV29" s="26">
        <f t="shared" si="50"/>
        <v>632215.9078880985</v>
      </c>
      <c r="HW29" s="26">
        <f t="shared" si="51"/>
        <v>654367.28350120678</v>
      </c>
      <c r="HX29" s="26">
        <f t="shared" si="52"/>
        <v>677338.07585087628</v>
      </c>
      <c r="HY29" s="26">
        <f t="shared" si="53"/>
        <v>701167.10171850538</v>
      </c>
      <c r="HZ29" s="26">
        <f t="shared" si="54"/>
        <v>725882.60454332747</v>
      </c>
      <c r="IA29" s="26">
        <f t="shared" si="55"/>
        <v>751557.28332451894</v>
      </c>
      <c r="IB29" s="26">
        <f t="shared" si="56"/>
        <v>778259.99775970937</v>
      </c>
      <c r="IC29" s="26">
        <f t="shared" si="57"/>
        <v>806087.99658143753</v>
      </c>
      <c r="ID29" s="26">
        <f t="shared" si="58"/>
        <v>835212.44432454871</v>
      </c>
      <c r="IE29" s="26">
        <f t="shared" si="59"/>
        <v>865779.26022111578</v>
      </c>
      <c r="IF29" s="26">
        <f t="shared" si="60"/>
        <v>897969.47429704526</v>
      </c>
      <c r="IG29" s="26">
        <f t="shared" si="61"/>
        <v>931920.77593699924</v>
      </c>
      <c r="IH29" s="26">
        <f t="shared" si="62"/>
        <v>967676.09782249306</v>
      </c>
      <c r="II29" s="26">
        <f t="shared" si="63"/>
        <v>-2027179061389.6567</v>
      </c>
      <c r="IJ29" s="26">
        <f t="shared" si="64"/>
        <v>535156.55104451673</v>
      </c>
      <c r="IK29" s="26">
        <f t="shared" si="65"/>
        <v>552445.99571514828</v>
      </c>
      <c r="IL29" s="26">
        <f t="shared" si="66"/>
        <v>570542.92203112191</v>
      </c>
      <c r="IM29" s="26">
        <f t="shared" si="67"/>
        <v>589453.45660393953</v>
      </c>
      <c r="IN29" s="26">
        <f t="shared" si="68"/>
        <v>609180.59806459094</v>
      </c>
      <c r="IO29" s="26">
        <f t="shared" si="69"/>
        <v>629749.22731063515</v>
      </c>
      <c r="IP29" s="26">
        <f t="shared" si="70"/>
        <v>651182.38512474147</v>
      </c>
      <c r="IQ29" s="26">
        <f t="shared" si="71"/>
        <v>673511.93259344203</v>
      </c>
      <c r="IR29" s="26">
        <f t="shared" si="72"/>
        <v>696770.85968685255</v>
      </c>
      <c r="IS29" s="26">
        <f t="shared" si="73"/>
        <v>721006.69205401279</v>
      </c>
      <c r="IT29" s="26">
        <f t="shared" si="74"/>
        <v>746256.62393768213</v>
      </c>
      <c r="IU29" s="26">
        <f t="shared" si="75"/>
        <v>772604.04256665532</v>
      </c>
      <c r="IV29" s="26">
        <f t="shared" si="76"/>
        <v>800129.03235868248</v>
      </c>
      <c r="IW29" s="26">
        <f t="shared" si="77"/>
        <v>828941.53663801111</v>
      </c>
      <c r="IX29" s="26">
        <f t="shared" si="78"/>
        <v>859228.30873966892</v>
      </c>
      <c r="IY29" s="26">
        <f t="shared" si="79"/>
        <v>891151.05095622526</v>
      </c>
      <c r="IZ29" s="26">
        <f t="shared" si="80"/>
        <v>924908.5585259567</v>
      </c>
      <c r="JA29" s="26">
        <f t="shared" si="81"/>
        <v>960656.01002812455</v>
      </c>
      <c r="JB29" s="26">
        <f t="shared" si="82"/>
        <v>998451.89317748614</v>
      </c>
      <c r="JC29" s="26">
        <f t="shared" si="83"/>
        <v>-2087994430312.5867</v>
      </c>
      <c r="JD29" s="26">
        <f t="shared" si="84"/>
        <v>155540.470335714</v>
      </c>
      <c r="JE29" s="26">
        <f t="shared" si="85"/>
        <v>247550.07069102972</v>
      </c>
      <c r="JF29" s="26">
        <f t="shared" si="86"/>
        <v>343027.13272296044</v>
      </c>
      <c r="JG29" s="26">
        <f t="shared" si="87"/>
        <v>442048.29370167188</v>
      </c>
      <c r="JH29" s="26">
        <f t="shared" si="88"/>
        <v>544728.34305318643</v>
      </c>
      <c r="JI29" s="26">
        <f t="shared" si="89"/>
        <v>651182.38512474147</v>
      </c>
      <c r="JJ29" s="26">
        <f t="shared" si="90"/>
        <v>761543.28673773911</v>
      </c>
      <c r="JK29" s="26">
        <f t="shared" si="91"/>
        <v>875946.36157996347</v>
      </c>
      <c r="JL29" s="26">
        <f t="shared" si="92"/>
        <v>994557.62143720489</v>
      </c>
      <c r="JM29" s="26">
        <f t="shared" si="93"/>
        <v>1117525.0969695169</v>
      </c>
      <c r="JN29" s="26">
        <f t="shared" si="94"/>
        <v>1245083.0124959694</v>
      </c>
      <c r="JO29" s="26">
        <f t="shared" si="95"/>
        <v>1377460.708511157</v>
      </c>
      <c r="JP29" s="26">
        <f t="shared" si="96"/>
        <v>1514942.7046303221</v>
      </c>
      <c r="JQ29" s="26">
        <f t="shared" si="97"/>
        <v>1657950.9482423852</v>
      </c>
      <c r="JR29" s="26">
        <f t="shared" si="98"/>
        <v>1806864.6273783613</v>
      </c>
      <c r="JS29" s="26">
        <f t="shared" si="99"/>
        <v>1962130.3535238802</v>
      </c>
      <c r="JT29" s="26">
        <f t="shared" si="100"/>
        <v>2124120.8805426178</v>
      </c>
      <c r="JU29" s="26">
        <f t="shared" si="101"/>
        <v>2293043.4871728853</v>
      </c>
      <c r="JV29" s="26">
        <f t="shared" si="102"/>
        <v>-2087992999591.168</v>
      </c>
      <c r="JW29" s="26">
        <f t="shared" si="103"/>
        <v>1727541.9448999166</v>
      </c>
      <c r="JX29" s="26" t="e">
        <f>AH29+$AG$38*0.004*(1+$R$28)*#REF!-S29*#REF!</f>
        <v>#REF!</v>
      </c>
      <c r="JY29" s="34">
        <f t="shared" si="104"/>
        <v>5.0729918200902405E-2</v>
      </c>
      <c r="JZ29" s="4">
        <f t="shared" si="105"/>
        <v>47590.384122257179</v>
      </c>
      <c r="KA29" s="165"/>
      <c r="KB29" s="163">
        <v>2</v>
      </c>
      <c r="KC29" s="163">
        <f>((1+0.035)^(-1))*(1-((1+0.035)^(-m-n+2)))/(1-((1+0.035)^(-1)))</f>
        <v>8.3166053225779564</v>
      </c>
      <c r="KD29" s="163">
        <f>((1+0.035)^(-1))*(1-((1+0.035)^(-m-(n/2)+2/2)))/(1-((1+0.035)^(-1)))</f>
        <v>6.4975152831830325</v>
      </c>
      <c r="KE29" s="61">
        <f>IF(KB29&lt;=n,VLOOKUP(A28+x,A28:KF139,264)*(1-txpen_rachat),0)</f>
        <v>145544.93718011864</v>
      </c>
      <c r="KF29" s="174">
        <f>IF(KB29&lt;=n+m,VLOOKUP(A28+x,A28:KF139,264),0)</f>
        <v>153205.19703170384</v>
      </c>
    </row>
    <row r="30" spans="1:292" ht="15.75" x14ac:dyDescent="0.3">
      <c r="A30" s="34">
        <v>29</v>
      </c>
      <c r="B30" s="34">
        <v>2</v>
      </c>
      <c r="C30" s="2">
        <v>993906</v>
      </c>
      <c r="D30" s="1">
        <f t="shared" si="106"/>
        <v>555</v>
      </c>
      <c r="E30" s="145">
        <f t="shared" si="107"/>
        <v>0.99944159709268277</v>
      </c>
      <c r="F30" s="146">
        <f t="shared" si="108"/>
        <v>5.5840290731723474E-4</v>
      </c>
      <c r="G30" s="158">
        <f t="shared" si="3"/>
        <v>6.9800363414654343E-4</v>
      </c>
      <c r="H30" s="43">
        <f t="shared" si="109"/>
        <v>692.68744612545379</v>
      </c>
      <c r="I30" s="43">
        <f>I29-H29</f>
        <v>992383.72443778208</v>
      </c>
      <c r="J30" s="43">
        <f t="shared" si="110"/>
        <v>993628.5</v>
      </c>
      <c r="K30" s="147">
        <f>SUM(J30:$J$138)</f>
        <v>71510531</v>
      </c>
      <c r="L30" s="147">
        <f t="shared" si="111"/>
        <v>71.948988133686683</v>
      </c>
      <c r="M30" s="43">
        <f t="shared" si="4"/>
        <v>1242035.625</v>
      </c>
      <c r="N30" s="148">
        <f t="shared" si="5"/>
        <v>89388163.75</v>
      </c>
      <c r="O30" s="147">
        <f t="shared" si="6"/>
        <v>89.93623516710835</v>
      </c>
      <c r="P30" s="157">
        <f t="shared" si="7"/>
        <v>926400.82563213352</v>
      </c>
      <c r="Q30" s="43">
        <f t="shared" si="8"/>
        <v>1242382.5</v>
      </c>
      <c r="R30" s="43">
        <f t="shared" si="9"/>
        <v>635.60373753212048</v>
      </c>
      <c r="S30" s="43">
        <f>SUM(R30:$R$138)</f>
        <v>107759.70159987939</v>
      </c>
      <c r="T30" s="43">
        <f t="shared" si="112"/>
        <v>5962977.2353750793</v>
      </c>
      <c r="U30" s="153">
        <f>SUM(P30:$P$138)</f>
        <v>24262730.750499152</v>
      </c>
      <c r="V30" s="129">
        <f t="shared" si="10"/>
        <v>18409439.460944436</v>
      </c>
      <c r="W30" s="43">
        <f t="shared" si="113"/>
        <v>725616.84232236387</v>
      </c>
      <c r="X30" s="26">
        <f t="shared" si="114"/>
        <v>6.3183139820289957</v>
      </c>
      <c r="Y30" s="26">
        <f t="shared" si="115"/>
        <v>0.78326445988132209</v>
      </c>
      <c r="Z30" s="43">
        <f t="shared" si="11"/>
        <v>104863.71787105547</v>
      </c>
      <c r="AA30" s="149">
        <f t="shared" si="116"/>
        <v>3.1260590974191271E-3</v>
      </c>
      <c r="AB30" s="150">
        <f t="shared" ref="AB30:AB92" si="138">U31</f>
        <v>23336329.924867015</v>
      </c>
      <c r="AC30" s="150">
        <f t="shared" si="117"/>
        <v>17683822.618622076</v>
      </c>
      <c r="AD30" s="26">
        <f t="shared" si="118"/>
        <v>6.1015784419103118</v>
      </c>
      <c r="AE30" s="26">
        <f t="shared" si="12"/>
        <v>515928.73738052516</v>
      </c>
      <c r="AF30" s="43">
        <f t="shared" si="119"/>
        <v>81656.077689074475</v>
      </c>
      <c r="AG30" s="43">
        <f t="shared" si="13"/>
        <v>536737.03777826787</v>
      </c>
      <c r="AH30" s="27">
        <f t="shared" si="14"/>
        <v>88792.212081946433</v>
      </c>
      <c r="AI30" s="28">
        <f t="shared" si="120"/>
        <v>577136.59976157837</v>
      </c>
      <c r="AJ30" s="20">
        <f t="shared" si="15"/>
        <v>95475.496862307991</v>
      </c>
      <c r="AK30" s="3">
        <f t="shared" si="16"/>
        <v>8274.543061400027</v>
      </c>
      <c r="AL30" s="3"/>
      <c r="AM30" s="46">
        <f t="shared" si="121"/>
        <v>23336329.924867015</v>
      </c>
      <c r="AN30" s="46">
        <f t="shared" si="122"/>
        <v>22441881.427776039</v>
      </c>
      <c r="AO30" s="46">
        <f t="shared" si="122"/>
        <v>21578194.360523928</v>
      </c>
      <c r="AP30" s="3">
        <f t="shared" si="17"/>
        <v>20744138.537668355</v>
      </c>
      <c r="AQ30" s="3">
        <f t="shared" si="17"/>
        <v>19938662.018501565</v>
      </c>
      <c r="AR30" s="16">
        <f t="shared" si="17"/>
        <v>19160749.374707777</v>
      </c>
      <c r="AS30" s="16">
        <f t="shared" si="17"/>
        <v>18409439.460944436</v>
      </c>
      <c r="AT30" s="16">
        <f t="shared" si="17"/>
        <v>17683822.618622076</v>
      </c>
      <c r="AU30" s="16">
        <f t="shared" si="17"/>
        <v>16983003.49179301</v>
      </c>
      <c r="AV30" s="16">
        <f t="shared" si="17"/>
        <v>16306150.077070862</v>
      </c>
      <c r="AW30" s="16">
        <f t="shared" si="17"/>
        <v>15652443.732161334</v>
      </c>
      <c r="AX30" s="16">
        <f t="shared" si="17"/>
        <v>15021136.802205658</v>
      </c>
      <c r="AY30" s="16">
        <f t="shared" si="17"/>
        <v>14411515.788955677</v>
      </c>
      <c r="AZ30" s="16">
        <f t="shared" si="17"/>
        <v>13822910.320268864</v>
      </c>
      <c r="BA30" s="16">
        <f t="shared" si="17"/>
        <v>13254718.342243936</v>
      </c>
      <c r="BB30" s="16">
        <f t="shared" si="17"/>
        <v>12706363.492254766</v>
      </c>
      <c r="BC30" s="16">
        <f t="shared" si="17"/>
        <v>12177298.640637327</v>
      </c>
      <c r="BD30" s="16">
        <f t="shared" si="18"/>
        <v>11666978.843601737</v>
      </c>
      <c r="BE30" s="16">
        <f t="shared" si="18"/>
        <v>11174833.676019788</v>
      </c>
      <c r="BF30" s="16">
        <f t="shared" si="18"/>
        <v>10700269.162389321</v>
      </c>
      <c r="BG30" s="16">
        <f t="shared" si="18"/>
        <v>10242688.479080243</v>
      </c>
      <c r="BH30" s="172">
        <f t="shared" si="123"/>
        <v>894448.49709098169</v>
      </c>
      <c r="BI30" s="16">
        <f t="shared" si="19"/>
        <v>863687.06725210964</v>
      </c>
      <c r="BJ30" s="16">
        <f t="shared" si="19"/>
        <v>834055.8228555735</v>
      </c>
      <c r="BK30" s="16">
        <f t="shared" si="19"/>
        <v>805476.51916679565</v>
      </c>
      <c r="BL30" s="16">
        <f t="shared" si="19"/>
        <v>777912.64379378548</v>
      </c>
      <c r="BM30" s="16">
        <f t="shared" si="19"/>
        <v>751309.91376334231</v>
      </c>
      <c r="BN30" s="16">
        <f t="shared" si="19"/>
        <v>725616.84232236387</v>
      </c>
      <c r="BO30" s="16">
        <f t="shared" si="19"/>
        <v>700819.12682907446</v>
      </c>
      <c r="BP30" s="16">
        <f t="shared" si="19"/>
        <v>676853.41472214996</v>
      </c>
      <c r="BQ30" s="16">
        <f t="shared" si="19"/>
        <v>653706.34490952641</v>
      </c>
      <c r="BR30" s="16">
        <f t="shared" si="20"/>
        <v>631306.92995567387</v>
      </c>
      <c r="BS30" s="16">
        <f t="shared" si="20"/>
        <v>609621.01324998064</v>
      </c>
      <c r="BT30" s="16">
        <f t="shared" si="20"/>
        <v>588605.46868681419</v>
      </c>
      <c r="BU30" s="16">
        <f t="shared" si="20"/>
        <v>568191.97802492685</v>
      </c>
      <c r="BV30" s="16">
        <f t="shared" si="20"/>
        <v>548354.84998917021</v>
      </c>
      <c r="BW30" s="16">
        <f t="shared" si="20"/>
        <v>529064.85161743569</v>
      </c>
      <c r="BX30" s="16">
        <f t="shared" si="20"/>
        <v>510319.79703559174</v>
      </c>
      <c r="BY30" s="16">
        <f t="shared" si="20"/>
        <v>492145.1675819463</v>
      </c>
      <c r="BZ30" s="16">
        <f t="shared" si="20"/>
        <v>474564.51363046817</v>
      </c>
      <c r="CA30" s="16">
        <f t="shared" si="20"/>
        <v>457580.68330907432</v>
      </c>
      <c r="CB30" s="16">
        <f t="shared" si="20"/>
        <v>441187.41305644001</v>
      </c>
      <c r="CC30" s="18">
        <f t="shared" si="124"/>
        <v>5.508299784667674</v>
      </c>
      <c r="CD30" s="18">
        <f t="shared" si="21"/>
        <v>4.6688692232722007</v>
      </c>
      <c r="CE30" s="18">
        <f t="shared" si="21"/>
        <v>3.7992120104510061</v>
      </c>
      <c r="CF30" s="18">
        <f t="shared" si="21"/>
        <v>2.8985315166468011</v>
      </c>
      <c r="CG30" s="18">
        <f t="shared" si="21"/>
        <v>1.9658024197926591</v>
      </c>
      <c r="CH30" s="18">
        <f t="shared" si="21"/>
        <v>0.99999999999999767</v>
      </c>
      <c r="CI30" s="18">
        <f t="shared" si="21"/>
        <v>0</v>
      </c>
      <c r="CJ30" s="18">
        <f t="shared" si="21"/>
        <v>-1.0353839022708839</v>
      </c>
      <c r="CK30" s="18">
        <f t="shared" si="21"/>
        <v>-2.1074518324428957</v>
      </c>
      <c r="CL30" s="18">
        <f t="shared" si="21"/>
        <v>-3.2174835080798729</v>
      </c>
      <c r="CM30" s="18">
        <f t="shared" si="21"/>
        <v>-4.36712413243536</v>
      </c>
      <c r="CN30" s="18">
        <f t="shared" si="21"/>
        <v>-5.5580476805995112</v>
      </c>
      <c r="CO30" s="18">
        <f t="shared" si="21"/>
        <v>-6.7921959354339236</v>
      </c>
      <c r="CP30" s="18">
        <f t="shared" si="21"/>
        <v>-8.0721469469151135</v>
      </c>
      <c r="CQ30" s="18">
        <f t="shared" si="21"/>
        <v>-9.4003383371229496</v>
      </c>
      <c r="CR30" s="18">
        <f t="shared" si="21"/>
        <v>-10.77954045001186</v>
      </c>
      <c r="CS30" s="18">
        <f t="shared" si="21"/>
        <v>-12.212226248147013</v>
      </c>
      <c r="CT30" s="18">
        <f t="shared" si="125"/>
        <v>-13.700145935538467</v>
      </c>
      <c r="CU30" s="18">
        <f t="shared" si="125"/>
        <v>-15.244725589739438</v>
      </c>
      <c r="CV30" s="18">
        <f t="shared" si="125"/>
        <v>-16.847674256712299</v>
      </c>
      <c r="CW30" s="18">
        <f t="shared" si="22"/>
        <v>-18.510843102451432</v>
      </c>
      <c r="CX30" s="17">
        <f t="shared" si="23"/>
        <v>523.30343345404026</v>
      </c>
      <c r="CY30" s="17">
        <f t="shared" si="126"/>
        <v>431.79909921236828</v>
      </c>
      <c r="CZ30" s="17">
        <f t="shared" si="126"/>
        <v>381.01509747096247</v>
      </c>
      <c r="DA30" s="17">
        <f t="shared" si="126"/>
        <v>331.18691370678681</v>
      </c>
      <c r="DB30" s="17">
        <f t="shared" si="126"/>
        <v>301.64958009979046</v>
      </c>
      <c r="DC30" s="17">
        <f t="shared" si="126"/>
        <v>291.42586734785783</v>
      </c>
      <c r="DD30" s="17">
        <f t="shared" si="24"/>
        <v>264.45784358403102</v>
      </c>
      <c r="DE30" s="17">
        <f t="shared" si="24"/>
        <v>271.13847535729514</v>
      </c>
      <c r="DF30" s="3" t="e">
        <f>#REF!+$AG$35*0.004*(1+$R$28)*#REF!-S30*#REF!</f>
        <v>#REF!</v>
      </c>
      <c r="DG30" s="19">
        <f t="shared" si="25"/>
        <v>1250.9079461242775</v>
      </c>
      <c r="DH30" s="19">
        <f t="shared" si="26"/>
        <v>1048.5212183272033</v>
      </c>
      <c r="DI30" s="19">
        <f t="shared" si="27"/>
        <v>882.86211224121848</v>
      </c>
      <c r="DJ30" s="19">
        <f t="shared" si="28"/>
        <v>714.06088463688536</v>
      </c>
      <c r="DK30" s="19">
        <f t="shared" si="29"/>
        <v>561.31713044636354</v>
      </c>
      <c r="DL30" s="19">
        <f t="shared" si="30"/>
        <v>423.5182626629275</v>
      </c>
      <c r="DM30" s="19">
        <f t="shared" si="31"/>
        <v>264.45784358403102</v>
      </c>
      <c r="DN30" s="19">
        <f t="shared" si="32"/>
        <v>134.37213563566974</v>
      </c>
      <c r="DO30" s="173">
        <f t="shared" si="127"/>
        <v>107124.09786234726</v>
      </c>
      <c r="DP30" s="25">
        <f t="shared" si="33"/>
        <v>106600.79442889322</v>
      </c>
      <c r="DQ30" s="26">
        <f t="shared" si="33"/>
        <v>106168.99532968085</v>
      </c>
      <c r="DR30" s="26">
        <f t="shared" si="33"/>
        <v>105787.9802322099</v>
      </c>
      <c r="DS30" s="26">
        <f t="shared" si="33"/>
        <v>105456.7933185031</v>
      </c>
      <c r="DT30" s="26">
        <f t="shared" si="33"/>
        <v>105155.14373840331</v>
      </c>
      <c r="DU30" s="26">
        <f t="shared" si="33"/>
        <v>104863.71787105547</v>
      </c>
      <c r="DV30" s="26">
        <f t="shared" si="33"/>
        <v>104599.26002747144</v>
      </c>
      <c r="DW30" s="26">
        <f t="shared" si="33"/>
        <v>104328.12155211414</v>
      </c>
      <c r="DX30" s="26">
        <f t="shared" si="33"/>
        <v>104065.33305960952</v>
      </c>
      <c r="DY30" s="26">
        <f t="shared" si="33"/>
        <v>103766.83936972267</v>
      </c>
      <c r="DZ30" s="26">
        <f t="shared" si="33"/>
        <v>103423.61293395719</v>
      </c>
      <c r="EA30" s="26">
        <f t="shared" si="33"/>
        <v>103016.32599848532</v>
      </c>
      <c r="EB30" s="26">
        <f t="shared" si="33"/>
        <v>102498.53793024956</v>
      </c>
      <c r="EC30" s="26">
        <f t="shared" si="33"/>
        <v>101864.82425786875</v>
      </c>
      <c r="ED30" s="26">
        <f t="shared" si="33"/>
        <v>101105.27351641076</v>
      </c>
      <c r="EE30" s="26">
        <f t="shared" si="33"/>
        <v>100236.48487711092</v>
      </c>
      <c r="EF30" s="26">
        <f t="shared" si="34"/>
        <v>99303.129534979467</v>
      </c>
      <c r="EG30" s="26">
        <f t="shared" si="34"/>
        <v>98348.790857044893</v>
      </c>
      <c r="EH30" s="26">
        <f t="shared" si="34"/>
        <v>97396.800997133396</v>
      </c>
      <c r="EI30" s="26">
        <f t="shared" si="34"/>
        <v>96461.320321095467</v>
      </c>
      <c r="EJ30" s="26">
        <f t="shared" si="128"/>
        <v>2.5271214593609714E-3</v>
      </c>
      <c r="EK30" s="26">
        <f t="shared" si="129"/>
        <v>2.0112337253866686E-3</v>
      </c>
      <c r="EL30" s="26">
        <f t="shared" si="36"/>
        <v>1.5649761357177216E-3</v>
      </c>
      <c r="EM30" s="26">
        <f t="shared" si="36"/>
        <v>1.1474727557676109E-3</v>
      </c>
      <c r="EN30" s="26">
        <f t="shared" si="36"/>
        <v>7.6239337691603798E-4</v>
      </c>
      <c r="EO30" s="26">
        <f t="shared" si="36"/>
        <v>3.878903525817573E-4</v>
      </c>
      <c r="EP30" s="26">
        <f t="shared" si="36"/>
        <v>0</v>
      </c>
      <c r="EQ30" s="26">
        <f t="shared" si="36"/>
        <v>-3.7735534528089053E-4</v>
      </c>
      <c r="ER30" s="26">
        <f t="shared" si="36"/>
        <v>-7.9130326787402584E-4</v>
      </c>
      <c r="ES30" s="26">
        <f t="shared" si="36"/>
        <v>-1.2213202727234527E-3</v>
      </c>
      <c r="ET30" s="26">
        <f t="shared" si="36"/>
        <v>-1.7374726132181331E-3</v>
      </c>
      <c r="EU30" s="26">
        <f t="shared" si="36"/>
        <v>-2.362295435685305E-3</v>
      </c>
      <c r="EV30" s="26">
        <f t="shared" si="36"/>
        <v>-3.1385910781490099E-3</v>
      </c>
      <c r="EW30" s="26">
        <f t="shared" si="36"/>
        <v>-4.1626422622639608E-3</v>
      </c>
      <c r="EX30" s="26">
        <f t="shared" si="36"/>
        <v>-5.4688922934591532E-3</v>
      </c>
      <c r="EY30" s="26">
        <f t="shared" si="36"/>
        <v>-7.1039388520226779E-3</v>
      </c>
      <c r="EZ30" s="26">
        <f t="shared" si="36"/>
        <v>-9.067320180059223E-3</v>
      </c>
      <c r="FA30" s="26">
        <f t="shared" si="37"/>
        <v>-1.1298675070603271E-2</v>
      </c>
      <c r="FB30" s="26">
        <f t="shared" si="37"/>
        <v>-1.3728222037022337E-2</v>
      </c>
      <c r="FC30" s="26">
        <f t="shared" si="37"/>
        <v>-1.6318251941764169E-2</v>
      </c>
      <c r="FD30" s="26">
        <f t="shared" si="37"/>
        <v>-1.9044962075754204E-2</v>
      </c>
      <c r="FE30" s="26">
        <f t="shared" si="130"/>
        <v>5.3195447525806303</v>
      </c>
      <c r="FF30" s="26">
        <f t="shared" si="38"/>
        <v>4.5090078218863594</v>
      </c>
      <c r="FG30" s="26">
        <f t="shared" si="38"/>
        <v>3.6691979543630722</v>
      </c>
      <c r="FH30" s="26">
        <f t="shared" si="38"/>
        <v>2.7993856384689519</v>
      </c>
      <c r="FI30" s="26">
        <f t="shared" si="38"/>
        <v>1.8985766176558192</v>
      </c>
      <c r="FJ30" s="26">
        <f t="shared" si="38"/>
        <v>0.96580229946350116</v>
      </c>
      <c r="FK30" s="26">
        <f t="shared" si="38"/>
        <v>0</v>
      </c>
      <c r="FL30" s="26">
        <f t="shared" si="38"/>
        <v>-0.99999999999998701</v>
      </c>
      <c r="FM30" s="26">
        <f t="shared" si="38"/>
        <v>-2.0354075366772757</v>
      </c>
      <c r="FN30" s="26">
        <f t="shared" si="38"/>
        <v>-3.1074792256175621</v>
      </c>
      <c r="FO30" s="26">
        <f t="shared" si="38"/>
        <v>-4.2177357638120245</v>
      </c>
      <c r="FP30" s="26">
        <f t="shared" si="38"/>
        <v>-5.3677723676571487</v>
      </c>
      <c r="FQ30" s="26">
        <f t="shared" si="38"/>
        <v>-6.5594230834568243</v>
      </c>
      <c r="FR30" s="26">
        <f t="shared" si="38"/>
        <v>-7.795084140001415</v>
      </c>
      <c r="FS30" s="26">
        <f t="shared" si="38"/>
        <v>-9.0770768717840511</v>
      </c>
      <c r="FT30" s="26">
        <f t="shared" si="38"/>
        <v>-10.408032136609389</v>
      </c>
      <c r="FU30" s="26">
        <f t="shared" si="38"/>
        <v>-11.790339724172409</v>
      </c>
      <c r="FV30" s="26">
        <f t="shared" si="131"/>
        <v>-13.225749984669893</v>
      </c>
      <c r="FW30" s="26">
        <f t="shared" si="131"/>
        <v>-14.715709362269505</v>
      </c>
      <c r="FX30" s="26">
        <f t="shared" si="39"/>
        <v>16983003.49179301</v>
      </c>
      <c r="FY30" s="26">
        <f t="shared" si="40"/>
        <v>676853.41472214996</v>
      </c>
      <c r="FZ30" s="26">
        <f t="shared" si="132"/>
        <v>0.81124496791295453</v>
      </c>
      <c r="GA30" s="26">
        <f t="shared" si="133"/>
        <v>0.84013859861416318</v>
      </c>
      <c r="GB30" s="26">
        <f t="shared" si="42"/>
        <v>0.8699859439120694</v>
      </c>
      <c r="GC30" s="26">
        <f t="shared" si="42"/>
        <v>0.90085412182214752</v>
      </c>
      <c r="GD30" s="26">
        <f t="shared" si="42"/>
        <v>0.93277419786316706</v>
      </c>
      <c r="GE30" s="26">
        <f t="shared" si="42"/>
        <v>0.96580229946350526</v>
      </c>
      <c r="GF30" s="26">
        <f t="shared" si="42"/>
        <v>1</v>
      </c>
      <c r="GG30" s="26">
        <f t="shared" si="42"/>
        <v>1.0353839022708886</v>
      </c>
      <c r="GH30" s="26">
        <f t="shared" si="42"/>
        <v>1.0720442957656222</v>
      </c>
      <c r="GI30" s="26">
        <f t="shared" si="42"/>
        <v>1.1100042824623186</v>
      </c>
      <c r="GJ30" s="26">
        <f t="shared" si="42"/>
        <v>1.1493883686233444</v>
      </c>
      <c r="GK30" s="26">
        <f t="shared" si="42"/>
        <v>1.1902753129423675</v>
      </c>
      <c r="GL30" s="26">
        <f t="shared" si="42"/>
        <v>1.232772851977104</v>
      </c>
      <c r="GM30" s="26">
        <f t="shared" si="42"/>
        <v>1.277062806913706</v>
      </c>
      <c r="GN30" s="26">
        <f t="shared" si="42"/>
        <v>1.3232614653389032</v>
      </c>
      <c r="GO30" s="26">
        <f t="shared" si="42"/>
        <v>1.3715083134024824</v>
      </c>
      <c r="GP30" s="26">
        <f t="shared" si="42"/>
        <v>1.4218865239746057</v>
      </c>
      <c r="GQ30" s="26">
        <f t="shared" si="134"/>
        <v>1.4743959508685871</v>
      </c>
      <c r="GR30" s="26">
        <f t="shared" si="134"/>
        <v>1.5290162274699368</v>
      </c>
      <c r="GS30" s="26">
        <f t="shared" si="134"/>
        <v>1.5857680815434327</v>
      </c>
      <c r="GT30" s="26">
        <f t="shared" si="134"/>
        <v>1.6446907161187245</v>
      </c>
      <c r="GU30" s="26">
        <f t="shared" si="135"/>
        <v>5.508299784667674</v>
      </c>
      <c r="GV30" s="26">
        <f t="shared" si="136"/>
        <v>4.6688692232722007</v>
      </c>
      <c r="GW30" s="26">
        <f t="shared" si="43"/>
        <v>3.7992120104510061</v>
      </c>
      <c r="GX30" s="26">
        <f t="shared" si="43"/>
        <v>2.8985315166468011</v>
      </c>
      <c r="GY30" s="26">
        <f t="shared" si="43"/>
        <v>1.9658024197926591</v>
      </c>
      <c r="GZ30" s="26">
        <f t="shared" si="43"/>
        <v>0.99999999999999767</v>
      </c>
      <c r="HA30" s="26">
        <f t="shared" si="43"/>
        <v>0</v>
      </c>
      <c r="HB30" s="26">
        <f t="shared" si="43"/>
        <v>-1.0353839022708839</v>
      </c>
      <c r="HC30" s="26">
        <f t="shared" si="43"/>
        <v>-2.1074518324428957</v>
      </c>
      <c r="HD30" s="26">
        <f t="shared" si="43"/>
        <v>-3.2174835080798729</v>
      </c>
      <c r="HE30" s="26">
        <f t="shared" si="43"/>
        <v>-4.36712413243536</v>
      </c>
      <c r="HF30" s="26">
        <f t="shared" si="43"/>
        <v>-5.5580476805995112</v>
      </c>
      <c r="HG30" s="26">
        <f t="shared" si="43"/>
        <v>-6.7921959354339236</v>
      </c>
      <c r="HH30" s="26">
        <f t="shared" si="43"/>
        <v>-8.0721469469151135</v>
      </c>
      <c r="HI30" s="26">
        <f t="shared" si="43"/>
        <v>-9.4003383371229496</v>
      </c>
      <c r="HJ30" s="26">
        <f t="shared" si="43"/>
        <v>-10.77954045001186</v>
      </c>
      <c r="HK30" s="26">
        <f t="shared" si="43"/>
        <v>-12.212226248147013</v>
      </c>
      <c r="HL30" s="26">
        <f t="shared" si="137"/>
        <v>-13.700145935538467</v>
      </c>
      <c r="HM30" s="26">
        <f t="shared" si="137"/>
        <v>-15.244725589739438</v>
      </c>
      <c r="HN30" s="26">
        <f t="shared" si="137"/>
        <v>-16.847674256712299</v>
      </c>
      <c r="HO30" s="26">
        <f t="shared" si="137"/>
        <v>-18.510843102451432</v>
      </c>
      <c r="HP30" s="26">
        <f t="shared" si="44"/>
        <v>515226.97685640119</v>
      </c>
      <c r="HQ30" s="26">
        <f t="shared" si="45"/>
        <v>532906.71865538752</v>
      </c>
      <c r="HR30" s="26">
        <f t="shared" si="46"/>
        <v>551307.32493148709</v>
      </c>
      <c r="HS30" s="26">
        <f t="shared" si="47"/>
        <v>570421.58896072931</v>
      </c>
      <c r="HT30" s="26">
        <f t="shared" si="48"/>
        <v>590267.70685791946</v>
      </c>
      <c r="HU30" s="26">
        <f t="shared" si="49"/>
        <v>610858.85880952969</v>
      </c>
      <c r="HV30" s="26">
        <f t="shared" si="50"/>
        <v>632215.9078880985</v>
      </c>
      <c r="HW30" s="26">
        <f t="shared" si="51"/>
        <v>654365.84416091454</v>
      </c>
      <c r="HX30" s="26">
        <f t="shared" si="52"/>
        <v>677340.76801977877</v>
      </c>
      <c r="HY30" s="26">
        <f t="shared" si="53"/>
        <v>701170.3196409716</v>
      </c>
      <c r="HZ30" s="26">
        <f t="shared" si="54"/>
        <v>725916.70588805003</v>
      </c>
      <c r="IA30" s="26">
        <f t="shared" si="55"/>
        <v>751643.87312514731</v>
      </c>
      <c r="IB30" s="26">
        <f t="shared" si="56"/>
        <v>778440.8730848697</v>
      </c>
      <c r="IC30" s="26">
        <f t="shared" si="57"/>
        <v>806462.04221727594</v>
      </c>
      <c r="ID30" s="26">
        <f t="shared" si="58"/>
        <v>835844.41479056294</v>
      </c>
      <c r="IE30" s="26">
        <f t="shared" si="59"/>
        <v>866757.55490187125</v>
      </c>
      <c r="IF30" s="26">
        <f t="shared" si="60"/>
        <v>899334.54678475135</v>
      </c>
      <c r="IG30" s="26">
        <f t="shared" si="61"/>
        <v>933623.78977183218</v>
      </c>
      <c r="IH30" s="26">
        <f t="shared" si="62"/>
        <v>969631.61772604135</v>
      </c>
      <c r="II30" s="26">
        <f t="shared" si="63"/>
        <v>-1946840930145.3071</v>
      </c>
      <c r="IJ30" s="26">
        <f t="shared" si="64"/>
        <v>535024.28920653008</v>
      </c>
      <c r="IK30" s="26">
        <f t="shared" si="65"/>
        <v>552371.48153974465</v>
      </c>
      <c r="IL30" s="26">
        <f t="shared" si="66"/>
        <v>570509.55825761997</v>
      </c>
      <c r="IM30" s="26">
        <f t="shared" si="67"/>
        <v>589436.47027266619</v>
      </c>
      <c r="IN30" s="26">
        <f t="shared" si="68"/>
        <v>609176.52218110429</v>
      </c>
      <c r="IO30" s="26">
        <f t="shared" si="69"/>
        <v>629749.234537735</v>
      </c>
      <c r="IP30" s="26">
        <f t="shared" si="70"/>
        <v>651182.38512474147</v>
      </c>
      <c r="IQ30" s="26">
        <f t="shared" si="71"/>
        <v>673510.46167108079</v>
      </c>
      <c r="IR30" s="26">
        <f t="shared" si="72"/>
        <v>696773.62312978494</v>
      </c>
      <c r="IS30" s="26">
        <f t="shared" si="73"/>
        <v>721009.99618536222</v>
      </c>
      <c r="IT30" s="26">
        <f t="shared" si="74"/>
        <v>746291.64148669713</v>
      </c>
      <c r="IU30" s="26">
        <f t="shared" si="75"/>
        <v>772693.00415700185</v>
      </c>
      <c r="IV30" s="26">
        <f t="shared" si="76"/>
        <v>800314.95786057576</v>
      </c>
      <c r="IW30" s="26">
        <f t="shared" si="77"/>
        <v>829326.2225922877</v>
      </c>
      <c r="IX30" s="26">
        <f t="shared" si="78"/>
        <v>859878.58378523507</v>
      </c>
      <c r="IY30" s="26">
        <f t="shared" si="79"/>
        <v>892158.18698606954</v>
      </c>
      <c r="IZ30" s="26">
        <f t="shared" si="80"/>
        <v>926314.58318829397</v>
      </c>
      <c r="JA30" s="26">
        <f t="shared" si="81"/>
        <v>962411.00563429599</v>
      </c>
      <c r="JB30" s="26">
        <f t="shared" si="82"/>
        <v>1000468.1395124465</v>
      </c>
      <c r="JC30" s="26">
        <f t="shared" si="83"/>
        <v>-2005246155127.4739</v>
      </c>
      <c r="JD30" s="26">
        <f t="shared" si="84"/>
        <v>155753.80096849392</v>
      </c>
      <c r="JE30" s="26">
        <f t="shared" si="85"/>
        <v>247768.74382815871</v>
      </c>
      <c r="JF30" s="26">
        <f t="shared" si="86"/>
        <v>343207.93136546272</v>
      </c>
      <c r="JG30" s="26">
        <f t="shared" si="87"/>
        <v>442182.76868010568</v>
      </c>
      <c r="JH30" s="26">
        <f t="shared" si="88"/>
        <v>544799.82567567262</v>
      </c>
      <c r="JI30" s="26">
        <f t="shared" si="89"/>
        <v>651182.38512474147</v>
      </c>
      <c r="JJ30" s="26">
        <f t="shared" si="90"/>
        <v>761465.71211428801</v>
      </c>
      <c r="JK30" s="26">
        <f t="shared" si="91"/>
        <v>875800.41050107952</v>
      </c>
      <c r="JL30" s="26">
        <f t="shared" si="92"/>
        <v>994333.31822018279</v>
      </c>
      <c r="JM30" s="26">
        <f t="shared" si="93"/>
        <v>1117276.2549643288</v>
      </c>
      <c r="JN30" s="26">
        <f t="shared" si="94"/>
        <v>1244845.8690510883</v>
      </c>
      <c r="JO30" s="26">
        <f t="shared" si="95"/>
        <v>1377307.9874509918</v>
      </c>
      <c r="JP30" s="26">
        <f t="shared" si="96"/>
        <v>1515050.3339804299</v>
      </c>
      <c r="JQ30" s="26">
        <f t="shared" si="97"/>
        <v>1658431.7686272138</v>
      </c>
      <c r="JR30" s="26">
        <f t="shared" si="98"/>
        <v>1807873.7760192691</v>
      </c>
      <c r="JS30" s="26">
        <f t="shared" si="99"/>
        <v>1963735.9838581472</v>
      </c>
      <c r="JT30" s="26">
        <f t="shared" si="100"/>
        <v>2126230.304182278</v>
      </c>
      <c r="JU30" s="26">
        <f t="shared" si="101"/>
        <v>2295498.5666251699</v>
      </c>
      <c r="JV30" s="26">
        <f t="shared" si="102"/>
        <v>-2005244723927.5051</v>
      </c>
      <c r="JW30" s="26">
        <f t="shared" si="103"/>
        <v>1728238.9800601315</v>
      </c>
      <c r="JX30" s="26" t="e">
        <f>AH30+$AG$38*0.004*(1+$R$28)*#REF!-S30*#REF!</f>
        <v>#REF!</v>
      </c>
      <c r="JY30" s="34">
        <f t="shared" si="104"/>
        <v>5.0558402907317238E-2</v>
      </c>
      <c r="JZ30" s="4">
        <f t="shared" si="105"/>
        <v>47764.66690159071</v>
      </c>
      <c r="KA30" s="165"/>
      <c r="KB30" s="163">
        <v>3</v>
      </c>
      <c r="KC30" s="163">
        <f>((1+0.035)^(-1))*(1-((1+0.035)^(-m-n+3)))/(1-((1+0.035)^(-1)))</f>
        <v>7.6076865088681842</v>
      </c>
      <c r="KD30" s="163">
        <f>((1+0.035)^(-1))*(1-((1+0.035)^(-m-(n/2)+3/2)))/(1-((1+0.035)^(-1)))</f>
        <v>6.1145439804623241</v>
      </c>
      <c r="KE30" s="166">
        <f>IF(KB30&lt;=n,VLOOKUP(A28+x,A28:KF139,265)*(1-txpen_rachat),0)</f>
        <v>232037.93432372529</v>
      </c>
      <c r="KF30" s="164">
        <f>IF(KB30&lt;=n+m,VLOOKUP(A28+x,A28:JY139,265),0)</f>
        <v>244250.45718286873</v>
      </c>
    </row>
    <row r="31" spans="1:292" ht="15.75" x14ac:dyDescent="0.3">
      <c r="A31" s="34">
        <v>30</v>
      </c>
      <c r="B31" s="34">
        <v>3</v>
      </c>
      <c r="C31" s="2">
        <v>993351</v>
      </c>
      <c r="D31" s="1">
        <f t="shared" si="106"/>
        <v>473</v>
      </c>
      <c r="E31" s="145">
        <f t="shared" si="107"/>
        <v>0.99952383397208033</v>
      </c>
      <c r="F31" s="146">
        <f t="shared" si="108"/>
        <v>4.7616602791966667E-4</v>
      </c>
      <c r="G31" s="158">
        <f t="shared" si="3"/>
        <v>5.9520753489958333E-4</v>
      </c>
      <c r="H31" s="43">
        <f t="shared" si="109"/>
        <v>590.26197750981544</v>
      </c>
      <c r="I31" s="43">
        <f t="shared" ref="I31:I93" si="139">I30-H30</f>
        <v>991691.03699165664</v>
      </c>
      <c r="J31" s="43">
        <f t="shared" si="110"/>
        <v>993114.5</v>
      </c>
      <c r="K31" s="147">
        <f>SUM(J31:$J$138)</f>
        <v>70516902.5</v>
      </c>
      <c r="L31" s="147">
        <f t="shared" si="111"/>
        <v>70.988907747613879</v>
      </c>
      <c r="M31" s="43">
        <f t="shared" si="4"/>
        <v>1241393.125</v>
      </c>
      <c r="N31" s="148">
        <f t="shared" si="5"/>
        <v>88146128.125</v>
      </c>
      <c r="O31" s="147">
        <f t="shared" si="6"/>
        <v>88.736134684517353</v>
      </c>
      <c r="P31" s="157">
        <f t="shared" si="7"/>
        <v>894448.49709098169</v>
      </c>
      <c r="Q31" s="43">
        <f t="shared" si="8"/>
        <v>1241688.75</v>
      </c>
      <c r="R31" s="43">
        <f t="shared" si="9"/>
        <v>523.30343345404026</v>
      </c>
      <c r="S31" s="43">
        <f>SUM(R31:$R$138)</f>
        <v>107124.09786234726</v>
      </c>
      <c r="T31" s="43">
        <f t="shared" si="112"/>
        <v>5855217.5337752001</v>
      </c>
      <c r="U31" s="153">
        <f>SUM(P31:$P$138)</f>
        <v>23336329.924867015</v>
      </c>
      <c r="V31" s="129">
        <f t="shared" si="10"/>
        <v>17683822.618622076</v>
      </c>
      <c r="W31" s="43">
        <f t="shared" si="113"/>
        <v>700819.12682907446</v>
      </c>
      <c r="X31" s="26">
        <f t="shared" si="114"/>
        <v>6.319544752580625</v>
      </c>
      <c r="Y31" s="26">
        <f t="shared" si="115"/>
        <v>0.78352093956035618</v>
      </c>
      <c r="Z31" s="43">
        <f t="shared" si="11"/>
        <v>104599.26002747144</v>
      </c>
      <c r="AA31" s="149">
        <f t="shared" si="116"/>
        <v>2.8227872740435775E-3</v>
      </c>
      <c r="AB31" s="150">
        <f t="shared" si="138"/>
        <v>22441881.427776039</v>
      </c>
      <c r="AC31" s="150">
        <f t="shared" si="117"/>
        <v>16983003.49179301</v>
      </c>
      <c r="AD31" s="26">
        <f t="shared" si="118"/>
        <v>6.1030656921409765</v>
      </c>
      <c r="AE31" s="26">
        <f t="shared" si="12"/>
        <v>515770.26574729756</v>
      </c>
      <c r="AF31" s="43">
        <f t="shared" si="119"/>
        <v>81615.098229453884</v>
      </c>
      <c r="AG31" s="43">
        <f t="shared" si="13"/>
        <v>536574.85033419437</v>
      </c>
      <c r="AH31" s="27">
        <f t="shared" si="14"/>
        <v>88750.003238537218</v>
      </c>
      <c r="AI31" s="28">
        <f t="shared" si="120"/>
        <v>576962.20466042415</v>
      </c>
      <c r="AJ31" s="20">
        <f t="shared" si="15"/>
        <v>95430.111009179804</v>
      </c>
      <c r="AK31" s="3">
        <f t="shared" si="16"/>
        <v>8270.6096207955834</v>
      </c>
      <c r="AL31" s="3"/>
      <c r="AM31" s="46">
        <f t="shared" si="121"/>
        <v>22441881.427776039</v>
      </c>
      <c r="AN31" s="46">
        <f t="shared" si="122"/>
        <v>21578194.360523928</v>
      </c>
      <c r="AO31" s="46">
        <f t="shared" si="122"/>
        <v>20744138.537668355</v>
      </c>
      <c r="AP31" s="3">
        <f t="shared" si="17"/>
        <v>19938662.018501565</v>
      </c>
      <c r="AQ31" s="3">
        <f t="shared" si="17"/>
        <v>19160749.374707777</v>
      </c>
      <c r="AR31" s="16">
        <f t="shared" si="17"/>
        <v>18409439.460944436</v>
      </c>
      <c r="AS31" s="16">
        <f t="shared" si="17"/>
        <v>17683822.618622076</v>
      </c>
      <c r="AT31" s="16">
        <f t="shared" si="17"/>
        <v>16983003.49179301</v>
      </c>
      <c r="AU31" s="16">
        <f t="shared" si="17"/>
        <v>16306150.077070862</v>
      </c>
      <c r="AV31" s="16">
        <f t="shared" si="17"/>
        <v>15652443.732161334</v>
      </c>
      <c r="AW31" s="16">
        <f t="shared" si="17"/>
        <v>15021136.802205658</v>
      </c>
      <c r="AX31" s="16">
        <f t="shared" si="17"/>
        <v>14411515.788955677</v>
      </c>
      <c r="AY31" s="16">
        <f t="shared" si="17"/>
        <v>13822910.320268864</v>
      </c>
      <c r="AZ31" s="16">
        <f t="shared" si="17"/>
        <v>13254718.342243936</v>
      </c>
      <c r="BA31" s="16">
        <f t="shared" si="17"/>
        <v>12706363.492254766</v>
      </c>
      <c r="BB31" s="16">
        <f t="shared" si="17"/>
        <v>12177298.640637327</v>
      </c>
      <c r="BC31" s="16">
        <f t="shared" si="17"/>
        <v>11666978.843601737</v>
      </c>
      <c r="BD31" s="16">
        <f t="shared" si="18"/>
        <v>11174833.676019788</v>
      </c>
      <c r="BE31" s="16">
        <f t="shared" si="18"/>
        <v>10700269.162389321</v>
      </c>
      <c r="BF31" s="16">
        <f t="shared" si="18"/>
        <v>10242688.479080243</v>
      </c>
      <c r="BG31" s="16">
        <f t="shared" si="18"/>
        <v>9801501.0660238042</v>
      </c>
      <c r="BH31" s="172">
        <f t="shared" si="123"/>
        <v>863687.06725210964</v>
      </c>
      <c r="BI31" s="16">
        <f t="shared" si="19"/>
        <v>834055.8228555735</v>
      </c>
      <c r="BJ31" s="16">
        <f t="shared" si="19"/>
        <v>805476.51916679565</v>
      </c>
      <c r="BK31" s="16">
        <f t="shared" si="19"/>
        <v>777912.64379378548</v>
      </c>
      <c r="BL31" s="16">
        <f t="shared" si="19"/>
        <v>751309.91376334231</v>
      </c>
      <c r="BM31" s="16">
        <f t="shared" si="19"/>
        <v>725616.84232236387</v>
      </c>
      <c r="BN31" s="16">
        <f t="shared" si="19"/>
        <v>700819.12682907446</v>
      </c>
      <c r="BO31" s="16">
        <f t="shared" si="19"/>
        <v>676853.41472214996</v>
      </c>
      <c r="BP31" s="16">
        <f t="shared" si="19"/>
        <v>653706.34490952641</v>
      </c>
      <c r="BQ31" s="16">
        <f t="shared" si="19"/>
        <v>631306.92995567387</v>
      </c>
      <c r="BR31" s="16">
        <f t="shared" si="20"/>
        <v>609621.01324998064</v>
      </c>
      <c r="BS31" s="16">
        <f t="shared" si="20"/>
        <v>588605.46868681419</v>
      </c>
      <c r="BT31" s="16">
        <f t="shared" si="20"/>
        <v>568191.97802492685</v>
      </c>
      <c r="BU31" s="16">
        <f t="shared" si="20"/>
        <v>548354.84998917021</v>
      </c>
      <c r="BV31" s="16">
        <f t="shared" si="20"/>
        <v>529064.85161743569</v>
      </c>
      <c r="BW31" s="16">
        <f t="shared" si="20"/>
        <v>510319.79703559174</v>
      </c>
      <c r="BX31" s="16">
        <f t="shared" si="20"/>
        <v>492145.1675819463</v>
      </c>
      <c r="BY31" s="16">
        <f t="shared" si="20"/>
        <v>474564.51363046817</v>
      </c>
      <c r="BZ31" s="16">
        <f t="shared" si="20"/>
        <v>457580.68330907432</v>
      </c>
      <c r="CA31" s="16">
        <f t="shared" si="20"/>
        <v>441187.41305644001</v>
      </c>
      <c r="CB31" s="16">
        <f t="shared" si="20"/>
        <v>425367.99114443822</v>
      </c>
      <c r="CC31" s="18">
        <f t="shared" si="124"/>
        <v>5.5090078218863603</v>
      </c>
      <c r="CD31" s="18">
        <f t="shared" si="21"/>
        <v>4.6691979543630717</v>
      </c>
      <c r="CE31" s="18">
        <f t="shared" si="21"/>
        <v>3.7993856384689448</v>
      </c>
      <c r="CF31" s="18">
        <f t="shared" si="21"/>
        <v>2.8985766176558223</v>
      </c>
      <c r="CG31" s="18">
        <f t="shared" si="21"/>
        <v>1.9658022994634987</v>
      </c>
      <c r="CH31" s="18">
        <f t="shared" si="21"/>
        <v>0.99999999999999567</v>
      </c>
      <c r="CI31" s="18">
        <f t="shared" si="21"/>
        <v>0</v>
      </c>
      <c r="CJ31" s="18">
        <f t="shared" si="21"/>
        <v>-1.0354075366772781</v>
      </c>
      <c r="CK31" s="18">
        <f t="shared" si="21"/>
        <v>-2.107479225617559</v>
      </c>
      <c r="CL31" s="18">
        <f t="shared" si="21"/>
        <v>-3.2177357638120205</v>
      </c>
      <c r="CM31" s="18">
        <f t="shared" si="21"/>
        <v>-4.3677723676571487</v>
      </c>
      <c r="CN31" s="18">
        <f t="shared" si="21"/>
        <v>-5.5594230834568252</v>
      </c>
      <c r="CO31" s="18">
        <f t="shared" si="21"/>
        <v>-6.7950841400014133</v>
      </c>
      <c r="CP31" s="18">
        <f t="shared" si="21"/>
        <v>-8.0770768717840511</v>
      </c>
      <c r="CQ31" s="18">
        <f t="shared" si="21"/>
        <v>-9.4080321366093838</v>
      </c>
      <c r="CR31" s="18">
        <f t="shared" si="21"/>
        <v>-10.790339724172414</v>
      </c>
      <c r="CS31" s="18">
        <f t="shared" si="21"/>
        <v>-12.225749984669886</v>
      </c>
      <c r="CT31" s="18">
        <f t="shared" si="125"/>
        <v>-13.715709362269509</v>
      </c>
      <c r="CU31" s="18">
        <f t="shared" si="125"/>
        <v>-15.261906175168875</v>
      </c>
      <c r="CV31" s="18">
        <f t="shared" si="125"/>
        <v>-16.866152386332715</v>
      </c>
      <c r="CW31" s="18">
        <f t="shared" si="22"/>
        <v>-18.530594019054305</v>
      </c>
      <c r="CX31" s="17">
        <f t="shared" si="23"/>
        <v>431.79909921236828</v>
      </c>
      <c r="CY31" s="17">
        <f t="shared" si="126"/>
        <v>381.01509747096247</v>
      </c>
      <c r="CZ31" s="17">
        <f t="shared" si="126"/>
        <v>331.18691370678681</v>
      </c>
      <c r="DA31" s="17">
        <f t="shared" si="126"/>
        <v>301.64958009979046</v>
      </c>
      <c r="DB31" s="17">
        <f t="shared" si="126"/>
        <v>291.42586734785783</v>
      </c>
      <c r="DC31" s="17">
        <f t="shared" si="126"/>
        <v>264.45784358403102</v>
      </c>
      <c r="DD31" s="17">
        <f t="shared" si="24"/>
        <v>271.13847535729514</v>
      </c>
      <c r="DE31" s="17">
        <f t="shared" si="24"/>
        <v>262.78849250463281</v>
      </c>
      <c r="DF31" s="3" t="e">
        <f>#REF!+$AG$35*0.004*(1+$R$28)*#REF!-S31*#REF!</f>
        <v>#REF!</v>
      </c>
      <c r="DG31" s="19">
        <f t="shared" si="25"/>
        <v>1166.1085011604373</v>
      </c>
      <c r="DH31" s="19">
        <f t="shared" si="26"/>
        <v>1003.3841461813495</v>
      </c>
      <c r="DI31" s="19">
        <f t="shared" si="27"/>
        <v>837.61650795610205</v>
      </c>
      <c r="DJ31" s="19">
        <f t="shared" si="28"/>
        <v>688.0080917278774</v>
      </c>
      <c r="DK31" s="19">
        <f t="shared" si="29"/>
        <v>553.4525620881285</v>
      </c>
      <c r="DL31" s="19">
        <f t="shared" si="30"/>
        <v>397.75033938169145</v>
      </c>
      <c r="DM31" s="19">
        <f t="shared" si="31"/>
        <v>271.13847535729514</v>
      </c>
      <c r="DN31" s="19">
        <f t="shared" si="32"/>
        <v>124.77643777321022</v>
      </c>
      <c r="DO31" s="173">
        <f t="shared" si="127"/>
        <v>106600.79442889322</v>
      </c>
      <c r="DP31" s="25">
        <f t="shared" si="33"/>
        <v>106168.99532968085</v>
      </c>
      <c r="DQ31" s="26">
        <f t="shared" si="33"/>
        <v>105787.9802322099</v>
      </c>
      <c r="DR31" s="26">
        <f t="shared" si="33"/>
        <v>105456.7933185031</v>
      </c>
      <c r="DS31" s="26">
        <f t="shared" si="33"/>
        <v>105155.14373840331</v>
      </c>
      <c r="DT31" s="26">
        <f t="shared" si="33"/>
        <v>104863.71787105547</v>
      </c>
      <c r="DU31" s="26">
        <f t="shared" si="33"/>
        <v>104599.26002747144</v>
      </c>
      <c r="DV31" s="26">
        <f t="shared" si="33"/>
        <v>104328.12155211414</v>
      </c>
      <c r="DW31" s="26">
        <f t="shared" si="33"/>
        <v>104065.33305960952</v>
      </c>
      <c r="DX31" s="26">
        <f t="shared" si="33"/>
        <v>103766.83936972267</v>
      </c>
      <c r="DY31" s="26">
        <f t="shared" si="33"/>
        <v>103423.61293395719</v>
      </c>
      <c r="DZ31" s="26">
        <f t="shared" si="33"/>
        <v>103016.32599848532</v>
      </c>
      <c r="EA31" s="26">
        <f t="shared" si="33"/>
        <v>102498.53793024956</v>
      </c>
      <c r="EB31" s="26">
        <f t="shared" si="33"/>
        <v>101864.82425786875</v>
      </c>
      <c r="EC31" s="26">
        <f t="shared" si="33"/>
        <v>101105.27351641076</v>
      </c>
      <c r="ED31" s="26">
        <f t="shared" si="33"/>
        <v>100236.48487711092</v>
      </c>
      <c r="EE31" s="26">
        <f t="shared" si="33"/>
        <v>99303.129534979467</v>
      </c>
      <c r="EF31" s="26">
        <f t="shared" si="34"/>
        <v>98348.790857044893</v>
      </c>
      <c r="EG31" s="26">
        <f t="shared" si="34"/>
        <v>97396.800997133396</v>
      </c>
      <c r="EH31" s="26">
        <f t="shared" si="34"/>
        <v>96461.320321095467</v>
      </c>
      <c r="EI31" s="26">
        <f t="shared" si="34"/>
        <v>95545.664271464426</v>
      </c>
      <c r="EJ31" s="26">
        <f t="shared" si="128"/>
        <v>2.3174300939689048E-3</v>
      </c>
      <c r="EK31" s="26">
        <f t="shared" si="129"/>
        <v>1.8820506484027455E-3</v>
      </c>
      <c r="EL31" s="26">
        <f t="shared" si="36"/>
        <v>1.4757974645469546E-3</v>
      </c>
      <c r="EM31" s="26">
        <f t="shared" si="36"/>
        <v>1.1023516559000494E-3</v>
      </c>
      <c r="EN31" s="26">
        <f t="shared" si="36"/>
        <v>7.3988603204691627E-4</v>
      </c>
      <c r="EO31" s="26">
        <f t="shared" si="36"/>
        <v>3.6445935121576066E-4</v>
      </c>
      <c r="EP31" s="26">
        <f t="shared" si="36"/>
        <v>0</v>
      </c>
      <c r="EQ31" s="26">
        <f t="shared" si="36"/>
        <v>-4.0058669936473017E-4</v>
      </c>
      <c r="ER31" s="26">
        <f t="shared" si="36"/>
        <v>-8.1676883209052013E-4</v>
      </c>
      <c r="ES31" s="26">
        <f t="shared" si="36"/>
        <v>-1.3185672740947275E-3</v>
      </c>
      <c r="ET31" s="26">
        <f t="shared" si="36"/>
        <v>-1.9284884673621931E-3</v>
      </c>
      <c r="EU31" s="26">
        <f t="shared" si="36"/>
        <v>-2.6892954843210316E-3</v>
      </c>
      <c r="EV31" s="26">
        <f t="shared" si="36"/>
        <v>-3.6972047801944129E-3</v>
      </c>
      <c r="EW31" s="26">
        <f t="shared" si="36"/>
        <v>-4.9866172783129201E-3</v>
      </c>
      <c r="EX31" s="26">
        <f t="shared" si="36"/>
        <v>-6.6040798219329875E-3</v>
      </c>
      <c r="EY31" s="26">
        <f t="shared" si="36"/>
        <v>-8.5491003400290054E-3</v>
      </c>
      <c r="EZ31" s="26">
        <f t="shared" si="36"/>
        <v>-1.0761317678914561E-2</v>
      </c>
      <c r="FA31" s="26">
        <f t="shared" si="37"/>
        <v>-1.3170957774760274E-2</v>
      </c>
      <c r="FB31" s="26">
        <f t="shared" si="37"/>
        <v>-1.5740303935586186E-2</v>
      </c>
      <c r="FC31" s="26">
        <f t="shared" si="37"/>
        <v>-1.8445539164406988E-2</v>
      </c>
      <c r="FD31" s="26">
        <f t="shared" si="37"/>
        <v>-2.1284149123794237E-2</v>
      </c>
      <c r="FE31" s="26">
        <f t="shared" si="130"/>
        <v>5.3204349618790632</v>
      </c>
      <c r="FF31" s="26">
        <f t="shared" si="38"/>
        <v>4.5094524165040557</v>
      </c>
      <c r="FG31" s="26">
        <f t="shared" si="38"/>
        <v>3.6694533687536404</v>
      </c>
      <c r="FH31" s="26">
        <f t="shared" si="38"/>
        <v>2.7994735659445826</v>
      </c>
      <c r="FI31" s="26">
        <f t="shared" si="38"/>
        <v>1.8985986249087938</v>
      </c>
      <c r="FJ31" s="26">
        <f t="shared" si="38"/>
        <v>0.96582533088133338</v>
      </c>
      <c r="FK31" s="26">
        <f t="shared" si="38"/>
        <v>0</v>
      </c>
      <c r="FL31" s="26">
        <f t="shared" si="38"/>
        <v>-0.99999999999999756</v>
      </c>
      <c r="FM31" s="26">
        <f t="shared" si="38"/>
        <v>-2.0354089722286961</v>
      </c>
      <c r="FN31" s="26">
        <f t="shared" si="38"/>
        <v>-3.1076273623752266</v>
      </c>
      <c r="FO31" s="26">
        <f t="shared" si="38"/>
        <v>-4.2181743196947039</v>
      </c>
      <c r="FP31" s="26">
        <f t="shared" si="38"/>
        <v>-5.3687798357945127</v>
      </c>
      <c r="FQ31" s="26">
        <f t="shared" si="38"/>
        <v>-6.5616645319577405</v>
      </c>
      <c r="FR31" s="26">
        <f t="shared" si="38"/>
        <v>-7.7990374291805873</v>
      </c>
      <c r="FS31" s="26">
        <f t="shared" si="38"/>
        <v>-9.0833946660109373</v>
      </c>
      <c r="FT31" s="26">
        <f t="shared" si="38"/>
        <v>-10.417045701678926</v>
      </c>
      <c r="FU31" s="26">
        <f t="shared" si="38"/>
        <v>-11.801741027572142</v>
      </c>
      <c r="FV31" s="26">
        <f t="shared" si="131"/>
        <v>-13.238946758450425</v>
      </c>
      <c r="FW31" s="26">
        <f t="shared" si="131"/>
        <v>-14.730331193111139</v>
      </c>
      <c r="FX31" s="26">
        <f t="shared" si="39"/>
        <v>16306150.077070862</v>
      </c>
      <c r="FY31" s="26">
        <f t="shared" si="40"/>
        <v>653706.34490952641</v>
      </c>
      <c r="FZ31" s="26">
        <f t="shared" si="132"/>
        <v>0.81142713999271432</v>
      </c>
      <c r="GA31" s="26">
        <f t="shared" si="133"/>
        <v>0.84025446214099442</v>
      </c>
      <c r="GB31" s="26">
        <f t="shared" si="42"/>
        <v>0.87006773028469986</v>
      </c>
      <c r="GC31" s="26">
        <f t="shared" si="42"/>
        <v>0.90089694828877531</v>
      </c>
      <c r="GD31" s="26">
        <f t="shared" si="42"/>
        <v>0.93279632544530466</v>
      </c>
      <c r="GE31" s="26">
        <f t="shared" si="42"/>
        <v>0.96582533088134592</v>
      </c>
      <c r="GF31" s="26">
        <f t="shared" si="42"/>
        <v>1</v>
      </c>
      <c r="GG31" s="26">
        <f t="shared" si="42"/>
        <v>1.0354075366772915</v>
      </c>
      <c r="GH31" s="26">
        <f t="shared" si="42"/>
        <v>1.07207025338888</v>
      </c>
      <c r="GI31" s="26">
        <f t="shared" si="42"/>
        <v>1.1101084014368119</v>
      </c>
      <c r="GJ31" s="26">
        <f t="shared" si="42"/>
        <v>1.1495980479624597</v>
      </c>
      <c r="GK31" s="26">
        <f t="shared" si="42"/>
        <v>1.1906432476623268</v>
      </c>
      <c r="GL31" s="26">
        <f t="shared" si="42"/>
        <v>1.2334196080436906</v>
      </c>
      <c r="GM31" s="26">
        <f t="shared" si="42"/>
        <v>1.2780394426034809</v>
      </c>
      <c r="GN31" s="26">
        <f t="shared" si="42"/>
        <v>1.3246374705984691</v>
      </c>
      <c r="GO31" s="26">
        <f t="shared" si="42"/>
        <v>1.3732940224935004</v>
      </c>
      <c r="GP31" s="26">
        <f t="shared" si="42"/>
        <v>1.4240089570977696</v>
      </c>
      <c r="GQ31" s="26">
        <f t="shared" si="134"/>
        <v>1.4767626038190991</v>
      </c>
      <c r="GR31" s="26">
        <f t="shared" si="134"/>
        <v>1.5315749820577631</v>
      </c>
      <c r="GS31" s="26">
        <f t="shared" si="134"/>
        <v>1.5884839550928449</v>
      </c>
      <c r="GT31" s="26">
        <f t="shared" si="134"/>
        <v>1.6475596223014908</v>
      </c>
      <c r="GU31" s="26">
        <f t="shared" si="135"/>
        <v>5.5090078218863603</v>
      </c>
      <c r="GV31" s="26">
        <f t="shared" si="136"/>
        <v>4.6691979543630717</v>
      </c>
      <c r="GW31" s="26">
        <f t="shared" si="43"/>
        <v>3.7993856384689448</v>
      </c>
      <c r="GX31" s="26">
        <f t="shared" si="43"/>
        <v>2.8985766176558223</v>
      </c>
      <c r="GY31" s="26">
        <f t="shared" si="43"/>
        <v>1.9658022994634987</v>
      </c>
      <c r="GZ31" s="26">
        <f t="shared" si="43"/>
        <v>0.99999999999999567</v>
      </c>
      <c r="HA31" s="26">
        <f t="shared" si="43"/>
        <v>0</v>
      </c>
      <c r="HB31" s="26">
        <f t="shared" si="43"/>
        <v>-1.0354075366772781</v>
      </c>
      <c r="HC31" s="26">
        <f t="shared" si="43"/>
        <v>-2.107479225617559</v>
      </c>
      <c r="HD31" s="26">
        <f t="shared" si="43"/>
        <v>-3.2177357638120205</v>
      </c>
      <c r="HE31" s="26">
        <f t="shared" si="43"/>
        <v>-4.3677723676571487</v>
      </c>
      <c r="HF31" s="26">
        <f t="shared" si="43"/>
        <v>-5.5594230834568252</v>
      </c>
      <c r="HG31" s="26">
        <f t="shared" si="43"/>
        <v>-6.7950841400014133</v>
      </c>
      <c r="HH31" s="26">
        <f t="shared" si="43"/>
        <v>-8.0770768717840511</v>
      </c>
      <c r="HI31" s="26">
        <f t="shared" si="43"/>
        <v>-9.4080321366093838</v>
      </c>
      <c r="HJ31" s="26">
        <f t="shared" si="43"/>
        <v>-10.790339724172414</v>
      </c>
      <c r="HK31" s="26">
        <f t="shared" si="43"/>
        <v>-12.225749984669886</v>
      </c>
      <c r="HL31" s="26">
        <f t="shared" si="137"/>
        <v>-13.715709362269509</v>
      </c>
      <c r="HM31" s="26">
        <f t="shared" si="137"/>
        <v>-15.261906175168875</v>
      </c>
      <c r="HN31" s="26">
        <f t="shared" si="137"/>
        <v>-16.866152386332715</v>
      </c>
      <c r="HO31" s="26">
        <f t="shared" si="137"/>
        <v>-18.530594019054305</v>
      </c>
      <c r="HP31" s="26">
        <f t="shared" si="44"/>
        <v>515133.79233764985</v>
      </c>
      <c r="HQ31" s="26">
        <f t="shared" si="45"/>
        <v>532861.63026704895</v>
      </c>
      <c r="HR31" s="26">
        <f t="shared" si="46"/>
        <v>551282.30966909556</v>
      </c>
      <c r="HS31" s="26">
        <f t="shared" si="47"/>
        <v>570413.83260394423</v>
      </c>
      <c r="HT31" s="26">
        <f t="shared" si="48"/>
        <v>590266.43059139547</v>
      </c>
      <c r="HU31" s="26">
        <f t="shared" si="49"/>
        <v>610857.51580761583</v>
      </c>
      <c r="HV31" s="26">
        <f t="shared" si="50"/>
        <v>632215.9078880985</v>
      </c>
      <c r="HW31" s="26">
        <f t="shared" si="51"/>
        <v>654367.22192333348</v>
      </c>
      <c r="HX31" s="26">
        <f t="shared" si="52"/>
        <v>677342.44860824232</v>
      </c>
      <c r="HY31" s="26">
        <f t="shared" si="53"/>
        <v>701193.66294350626</v>
      </c>
      <c r="HZ31" s="26">
        <f t="shared" si="54"/>
        <v>725980.06756889331</v>
      </c>
      <c r="IA31" s="26">
        <f t="shared" si="55"/>
        <v>751782.79914029222</v>
      </c>
      <c r="IB31" s="26">
        <f t="shared" si="56"/>
        <v>778739.94307117607</v>
      </c>
      <c r="IC31" s="26">
        <f t="shared" si="57"/>
        <v>806979.95422897709</v>
      </c>
      <c r="ID31" s="26">
        <f t="shared" si="58"/>
        <v>836661.3246426807</v>
      </c>
      <c r="IE31" s="26">
        <f t="shared" si="59"/>
        <v>867912.69277602644</v>
      </c>
      <c r="IF31" s="26">
        <f t="shared" si="60"/>
        <v>900787.73974374461</v>
      </c>
      <c r="IG31" s="26">
        <f t="shared" si="61"/>
        <v>935300.58300537092</v>
      </c>
      <c r="IH31" s="26">
        <f t="shared" si="62"/>
        <v>971485.78041154798</v>
      </c>
      <c r="II31" s="26">
        <f t="shared" si="63"/>
        <v>-1869250099087.4675</v>
      </c>
      <c r="IJ31" s="26">
        <f t="shared" si="64"/>
        <v>534928.86708076461</v>
      </c>
      <c r="IK31" s="26">
        <f t="shared" si="65"/>
        <v>552325.28535187594</v>
      </c>
      <c r="IL31" s="26">
        <f t="shared" si="66"/>
        <v>570483.91423990135</v>
      </c>
      <c r="IM31" s="26">
        <f t="shared" si="67"/>
        <v>589428.51082384039</v>
      </c>
      <c r="IN31" s="26">
        <f t="shared" si="68"/>
        <v>609175.20755308308</v>
      </c>
      <c r="IO31" s="26">
        <f t="shared" si="69"/>
        <v>629747.85124576371</v>
      </c>
      <c r="IP31" s="26">
        <f t="shared" si="70"/>
        <v>651182.38512474147</v>
      </c>
      <c r="IQ31" s="26">
        <f t="shared" si="71"/>
        <v>673511.86966442433</v>
      </c>
      <c r="IR31" s="26">
        <f t="shared" si="72"/>
        <v>696775.34260167682</v>
      </c>
      <c r="IS31" s="26">
        <f t="shared" si="73"/>
        <v>721033.94606315508</v>
      </c>
      <c r="IT31" s="26">
        <f t="shared" si="74"/>
        <v>746356.69582777435</v>
      </c>
      <c r="IU31" s="26">
        <f t="shared" si="75"/>
        <v>772835.72671451955</v>
      </c>
      <c r="IV31" s="26">
        <f t="shared" si="76"/>
        <v>800622.37098007568</v>
      </c>
      <c r="IW31" s="26">
        <f t="shared" si="77"/>
        <v>829858.85988461215</v>
      </c>
      <c r="IX31" s="26">
        <f t="shared" si="78"/>
        <v>860719.14878243813</v>
      </c>
      <c r="IY31" s="26">
        <f t="shared" si="79"/>
        <v>893347.37579965405</v>
      </c>
      <c r="IZ31" s="26">
        <f t="shared" si="80"/>
        <v>927811.371936057</v>
      </c>
      <c r="JA31" s="26">
        <f t="shared" si="81"/>
        <v>964138.98704676854</v>
      </c>
      <c r="JB31" s="26">
        <f t="shared" si="82"/>
        <v>1002379.8965683209</v>
      </c>
      <c r="JC31" s="26">
        <f t="shared" si="83"/>
        <v>-1925327599134.6938</v>
      </c>
      <c r="JD31" s="26">
        <f t="shared" si="84"/>
        <v>155876.76071408344</v>
      </c>
      <c r="JE31" s="26">
        <f t="shared" si="85"/>
        <v>247888.71788641962</v>
      </c>
      <c r="JF31" s="26">
        <f t="shared" si="86"/>
        <v>343318.48617914575</v>
      </c>
      <c r="JG31" s="26">
        <f t="shared" si="87"/>
        <v>442264.43851540715</v>
      </c>
      <c r="JH31" s="26">
        <f t="shared" si="88"/>
        <v>544840.65122711065</v>
      </c>
      <c r="JI31" s="26">
        <f t="shared" si="89"/>
        <v>651182.38512474147</v>
      </c>
      <c r="JJ31" s="26">
        <f t="shared" si="90"/>
        <v>761425.42448190309</v>
      </c>
      <c r="JK31" s="26">
        <f t="shared" si="91"/>
        <v>875715.50274634361</v>
      </c>
      <c r="JL31" s="26">
        <f t="shared" si="92"/>
        <v>994242.88016831665</v>
      </c>
      <c r="JM31" s="26">
        <f t="shared" si="93"/>
        <v>1117212.0178843869</v>
      </c>
      <c r="JN31" s="26">
        <f t="shared" si="94"/>
        <v>1244870.7744499068</v>
      </c>
      <c r="JO31" s="26">
        <f t="shared" si="95"/>
        <v>1377573.9391987547</v>
      </c>
      <c r="JP31" s="26">
        <f t="shared" si="96"/>
        <v>1515660.8414032196</v>
      </c>
      <c r="JQ31" s="26">
        <f t="shared" si="97"/>
        <v>1659528.8151874498</v>
      </c>
      <c r="JR31" s="26">
        <f t="shared" si="98"/>
        <v>1809524.909029182</v>
      </c>
      <c r="JS31" s="26">
        <f t="shared" si="99"/>
        <v>1965865.5712624714</v>
      </c>
      <c r="JT31" s="26">
        <f t="shared" si="100"/>
        <v>2128701.4652667022</v>
      </c>
      <c r="JU31" s="26">
        <f t="shared" si="101"/>
        <v>2298225.6168493056</v>
      </c>
      <c r="JV31" s="26">
        <f t="shared" si="102"/>
        <v>-1925326167076.9197</v>
      </c>
      <c r="JW31" s="26">
        <f t="shared" si="103"/>
        <v>1729257.613554389</v>
      </c>
      <c r="JX31" s="26" t="e">
        <f>AH31+$AG$38*0.004*(1+$R$28)*#REF!-S31*#REF!</f>
        <v>#REF!</v>
      </c>
      <c r="JY31" s="34">
        <f t="shared" si="104"/>
        <v>5.0476166027919669E-2</v>
      </c>
      <c r="JZ31" s="4">
        <f t="shared" si="105"/>
        <v>47839.141240236873</v>
      </c>
      <c r="KA31" s="165"/>
      <c r="KB31" s="163">
        <v>4</v>
      </c>
      <c r="KC31" s="163">
        <f>((1+0.035)^(-1))*(1-((1+0.035)^(-m-n+4)))/(1-((1+0.035)^(-1)))</f>
        <v>6.8739555366785705</v>
      </c>
      <c r="KD31" s="163">
        <f>((1+0.035)^(-1))*(1-((1+0.035)^(-m-(n/2)+4/2)))/(1-((1+0.035)^(-1)))</f>
        <v>5.7249283180944355</v>
      </c>
      <c r="KE31" s="61">
        <f>IF(KB31&lt;=n,VLOOKUP(A28+x,A28:KF139,266)*(1-txpen_rachat),0)</f>
        <v>322253.54752604023</v>
      </c>
      <c r="KF31" s="164">
        <f>IF(KB30&lt;=n,VLOOKUP(A28+x,A28:KF139,266),0)</f>
        <v>339214.26055372658</v>
      </c>
    </row>
    <row r="32" spans="1:292" ht="15" customHeight="1" x14ac:dyDescent="0.3">
      <c r="A32" s="34">
        <v>31</v>
      </c>
      <c r="B32" s="34">
        <v>4</v>
      </c>
      <c r="C32" s="2">
        <v>992878</v>
      </c>
      <c r="D32" s="1">
        <f t="shared" si="106"/>
        <v>404</v>
      </c>
      <c r="E32" s="145">
        <f t="shared" si="107"/>
        <v>0.9995931020729637</v>
      </c>
      <c r="F32" s="146">
        <f t="shared" si="108"/>
        <v>4.0689792703629823E-4</v>
      </c>
      <c r="G32" s="158">
        <f t="shared" si="3"/>
        <v>5.0862240879537279E-4</v>
      </c>
      <c r="H32" s="43">
        <f t="shared" si="109"/>
        <v>504.09606354665618</v>
      </c>
      <c r="I32" s="43">
        <f t="shared" si="139"/>
        <v>991100.77501414681</v>
      </c>
      <c r="J32" s="43">
        <f t="shared" si="110"/>
        <v>992676</v>
      </c>
      <c r="K32" s="147">
        <f>SUM(J32:$J$138)</f>
        <v>69523788</v>
      </c>
      <c r="L32" s="147">
        <f t="shared" si="111"/>
        <v>70.022488160680368</v>
      </c>
      <c r="M32" s="43">
        <f t="shared" si="4"/>
        <v>1240845</v>
      </c>
      <c r="N32" s="148">
        <f t="shared" si="5"/>
        <v>86904735</v>
      </c>
      <c r="O32" s="147">
        <f t="shared" si="6"/>
        <v>87.528110200850463</v>
      </c>
      <c r="P32" s="157">
        <f t="shared" si="7"/>
        <v>863687.06725210964</v>
      </c>
      <c r="Q32" s="43">
        <f t="shared" si="8"/>
        <v>1241097.5</v>
      </c>
      <c r="R32" s="43">
        <f t="shared" si="9"/>
        <v>431.79909921236828</v>
      </c>
      <c r="S32" s="43">
        <f>SUM(R32:$R$138)</f>
        <v>106600.79442889322</v>
      </c>
      <c r="T32" s="43">
        <f t="shared" si="112"/>
        <v>5748093.4359128531</v>
      </c>
      <c r="U32" s="153">
        <f>SUM(P32:$P$138)</f>
        <v>22441881.427776039</v>
      </c>
      <c r="V32" s="129">
        <f t="shared" si="10"/>
        <v>16983003.49179301</v>
      </c>
      <c r="W32" s="43">
        <f t="shared" si="113"/>
        <v>676853.41472214996</v>
      </c>
      <c r="X32" s="26">
        <f t="shared" si="114"/>
        <v>6.3204349618790641</v>
      </c>
      <c r="Y32" s="26">
        <f t="shared" si="115"/>
        <v>0.78367899715763245</v>
      </c>
      <c r="Z32" s="43">
        <f t="shared" si="11"/>
        <v>104328.12155211414</v>
      </c>
      <c r="AA32" s="149">
        <f t="shared" si="116"/>
        <v>2.6313614768017426E-3</v>
      </c>
      <c r="AB32" s="150">
        <f t="shared" si="138"/>
        <v>21578194.360523928</v>
      </c>
      <c r="AC32" s="150">
        <f t="shared" si="117"/>
        <v>16306150.077070862</v>
      </c>
      <c r="AD32" s="26">
        <f t="shared" si="118"/>
        <v>6.1041139590366935</v>
      </c>
      <c r="AE32" s="26">
        <f t="shared" si="12"/>
        <v>515657.2449354381</v>
      </c>
      <c r="AF32" s="43">
        <f t="shared" si="119"/>
        <v>81585.721243167936</v>
      </c>
      <c r="AG32" s="43">
        <f t="shared" si="13"/>
        <v>536459.18992202333</v>
      </c>
      <c r="AH32" s="27">
        <f t="shared" si="14"/>
        <v>88719.744942662699</v>
      </c>
      <c r="AI32" s="28">
        <f t="shared" si="120"/>
        <v>576837.83862583153</v>
      </c>
      <c r="AJ32" s="20">
        <f t="shared" si="15"/>
        <v>95397.575207164205</v>
      </c>
      <c r="AK32" s="3">
        <f t="shared" si="16"/>
        <v>8267.7898512875636</v>
      </c>
      <c r="AL32" s="3"/>
      <c r="AM32" s="46">
        <f t="shared" si="121"/>
        <v>21578194.360523928</v>
      </c>
      <c r="AN32" s="46">
        <f t="shared" si="122"/>
        <v>20744138.537668355</v>
      </c>
      <c r="AO32" s="46">
        <f t="shared" si="122"/>
        <v>19938662.018501565</v>
      </c>
      <c r="AP32" s="3">
        <f t="shared" si="17"/>
        <v>19160749.374707777</v>
      </c>
      <c r="AQ32" s="3">
        <f t="shared" si="17"/>
        <v>18409439.460944436</v>
      </c>
      <c r="AR32" s="16">
        <f t="shared" si="17"/>
        <v>17683822.618622076</v>
      </c>
      <c r="AS32" s="16">
        <f t="shared" si="17"/>
        <v>16983003.49179301</v>
      </c>
      <c r="AT32" s="16">
        <f t="shared" si="17"/>
        <v>16306150.077070862</v>
      </c>
      <c r="AU32" s="16">
        <f t="shared" si="17"/>
        <v>15652443.732161334</v>
      </c>
      <c r="AV32" s="16">
        <f t="shared" si="17"/>
        <v>15021136.802205658</v>
      </c>
      <c r="AW32" s="16">
        <f t="shared" si="17"/>
        <v>14411515.788955677</v>
      </c>
      <c r="AX32" s="16">
        <f t="shared" si="17"/>
        <v>13822910.320268864</v>
      </c>
      <c r="AY32" s="16">
        <f t="shared" si="17"/>
        <v>13254718.342243936</v>
      </c>
      <c r="AZ32" s="16">
        <f t="shared" si="17"/>
        <v>12706363.492254766</v>
      </c>
      <c r="BA32" s="16">
        <f t="shared" si="17"/>
        <v>12177298.640637327</v>
      </c>
      <c r="BB32" s="16">
        <f t="shared" si="17"/>
        <v>11666978.843601737</v>
      </c>
      <c r="BC32" s="16">
        <f t="shared" si="17"/>
        <v>11174833.676019788</v>
      </c>
      <c r="BD32" s="16">
        <f t="shared" si="18"/>
        <v>10700269.162389321</v>
      </c>
      <c r="BE32" s="16">
        <f t="shared" si="18"/>
        <v>10242688.479080243</v>
      </c>
      <c r="BF32" s="16">
        <f t="shared" si="18"/>
        <v>9801501.0660238042</v>
      </c>
      <c r="BG32" s="16">
        <f t="shared" si="18"/>
        <v>9376133.074879365</v>
      </c>
      <c r="BH32" s="172">
        <f t="shared" si="123"/>
        <v>834055.8228555735</v>
      </c>
      <c r="BI32" s="16">
        <f t="shared" si="19"/>
        <v>805476.51916679565</v>
      </c>
      <c r="BJ32" s="16">
        <f t="shared" si="19"/>
        <v>777912.64379378548</v>
      </c>
      <c r="BK32" s="16">
        <f t="shared" si="19"/>
        <v>751309.91376334231</v>
      </c>
      <c r="BL32" s="16">
        <f t="shared" si="19"/>
        <v>725616.84232236387</v>
      </c>
      <c r="BM32" s="16">
        <f t="shared" si="19"/>
        <v>700819.12682907446</v>
      </c>
      <c r="BN32" s="16">
        <f t="shared" si="19"/>
        <v>676853.41472214996</v>
      </c>
      <c r="BO32" s="16">
        <f t="shared" si="19"/>
        <v>653706.34490952641</v>
      </c>
      <c r="BP32" s="16">
        <f t="shared" si="19"/>
        <v>631306.92995567387</v>
      </c>
      <c r="BQ32" s="16">
        <f t="shared" si="19"/>
        <v>609621.01324998064</v>
      </c>
      <c r="BR32" s="16">
        <f t="shared" si="20"/>
        <v>588605.46868681419</v>
      </c>
      <c r="BS32" s="16">
        <f t="shared" si="20"/>
        <v>568191.97802492685</v>
      </c>
      <c r="BT32" s="16">
        <f t="shared" si="20"/>
        <v>548354.84998917021</v>
      </c>
      <c r="BU32" s="16">
        <f t="shared" si="20"/>
        <v>529064.85161743569</v>
      </c>
      <c r="BV32" s="16">
        <f t="shared" si="20"/>
        <v>510319.79703559174</v>
      </c>
      <c r="BW32" s="16">
        <f t="shared" si="20"/>
        <v>492145.1675819463</v>
      </c>
      <c r="BX32" s="16">
        <f t="shared" si="20"/>
        <v>474564.51363046817</v>
      </c>
      <c r="BY32" s="16">
        <f t="shared" si="20"/>
        <v>457580.68330907432</v>
      </c>
      <c r="BZ32" s="16">
        <f t="shared" si="20"/>
        <v>441187.41305644001</v>
      </c>
      <c r="CA32" s="16">
        <f t="shared" si="20"/>
        <v>425367.99114443822</v>
      </c>
      <c r="CB32" s="16">
        <f t="shared" si="20"/>
        <v>410099.60562251828</v>
      </c>
      <c r="CC32" s="18">
        <f t="shared" si="124"/>
        <v>5.5094524165040548</v>
      </c>
      <c r="CD32" s="18">
        <f t="shared" si="21"/>
        <v>4.6694533687536337</v>
      </c>
      <c r="CE32" s="18">
        <f t="shared" si="21"/>
        <v>3.7994735659445857</v>
      </c>
      <c r="CF32" s="18">
        <f t="shared" si="21"/>
        <v>2.8985986249087916</v>
      </c>
      <c r="CG32" s="18">
        <f t="shared" si="21"/>
        <v>1.9658253308813289</v>
      </c>
      <c r="CH32" s="18">
        <f t="shared" si="21"/>
        <v>0.99999999999998701</v>
      </c>
      <c r="CI32" s="18">
        <f t="shared" si="21"/>
        <v>0</v>
      </c>
      <c r="CJ32" s="18">
        <f t="shared" si="21"/>
        <v>-1.0354089722286932</v>
      </c>
      <c r="CK32" s="18">
        <f t="shared" si="21"/>
        <v>-2.1076273623752231</v>
      </c>
      <c r="CL32" s="18">
        <f t="shared" si="21"/>
        <v>-3.2181743196947044</v>
      </c>
      <c r="CM32" s="18">
        <f t="shared" si="21"/>
        <v>-4.3687798357945145</v>
      </c>
      <c r="CN32" s="18">
        <f t="shared" si="21"/>
        <v>-5.5616645319577387</v>
      </c>
      <c r="CO32" s="18">
        <f t="shared" si="21"/>
        <v>-6.7990374291805873</v>
      </c>
      <c r="CP32" s="18">
        <f t="shared" si="21"/>
        <v>-8.0833946660109319</v>
      </c>
      <c r="CQ32" s="18">
        <f t="shared" si="21"/>
        <v>-9.41704570167893</v>
      </c>
      <c r="CR32" s="18">
        <f t="shared" si="21"/>
        <v>-10.801741027572135</v>
      </c>
      <c r="CS32" s="18">
        <f t="shared" si="21"/>
        <v>-12.238946758450428</v>
      </c>
      <c r="CT32" s="18">
        <f t="shared" si="125"/>
        <v>-13.730331193111132</v>
      </c>
      <c r="CU32" s="18">
        <f t="shared" si="125"/>
        <v>-15.27766843123989</v>
      </c>
      <c r="CV32" s="18">
        <f t="shared" si="125"/>
        <v>-16.883034396752837</v>
      </c>
      <c r="CW32" s="18">
        <f t="shared" si="22"/>
        <v>-18.548836215939918</v>
      </c>
      <c r="CX32" s="17">
        <f t="shared" si="23"/>
        <v>381.01509747096247</v>
      </c>
      <c r="CY32" s="17">
        <f t="shared" si="126"/>
        <v>331.18691370678681</v>
      </c>
      <c r="CZ32" s="17">
        <f t="shared" si="126"/>
        <v>301.64958009979046</v>
      </c>
      <c r="DA32" s="17">
        <f t="shared" si="126"/>
        <v>291.42586734785783</v>
      </c>
      <c r="DB32" s="17">
        <f t="shared" si="126"/>
        <v>264.45784358403102</v>
      </c>
      <c r="DC32" s="17">
        <f t="shared" si="126"/>
        <v>271.13847535729514</v>
      </c>
      <c r="DD32" s="17">
        <f t="shared" si="24"/>
        <v>262.78849250463281</v>
      </c>
      <c r="DE32" s="17">
        <f t="shared" si="24"/>
        <v>298.49368988683381</v>
      </c>
      <c r="DF32" s="3" t="e">
        <f>#REF!+$AG$35*0.004*(1+$R$28)*#REF!-S32*#REF!</f>
        <v>#REF!</v>
      </c>
      <c r="DG32" s="19">
        <f t="shared" si="25"/>
        <v>1122.0393139559769</v>
      </c>
      <c r="DH32" s="19">
        <f t="shared" si="26"/>
        <v>959.23082123354948</v>
      </c>
      <c r="DI32" s="19">
        <f t="shared" si="27"/>
        <v>812.6807515144892</v>
      </c>
      <c r="DJ32" s="19">
        <f t="shared" si="28"/>
        <v>681.28889048483177</v>
      </c>
      <c r="DK32" s="19">
        <f t="shared" si="29"/>
        <v>528.86237336978331</v>
      </c>
      <c r="DL32" s="19">
        <f t="shared" si="30"/>
        <v>405.63899563862128</v>
      </c>
      <c r="DM32" s="19">
        <f t="shared" si="31"/>
        <v>262.78849250463281</v>
      </c>
      <c r="DN32" s="19">
        <f t="shared" si="32"/>
        <v>159.2306444181196</v>
      </c>
      <c r="DO32" s="173">
        <f t="shared" si="127"/>
        <v>106168.99532968085</v>
      </c>
      <c r="DP32" s="25">
        <f t="shared" si="33"/>
        <v>105787.9802322099</v>
      </c>
      <c r="DQ32" s="26">
        <f t="shared" si="33"/>
        <v>105456.7933185031</v>
      </c>
      <c r="DR32" s="26">
        <f t="shared" si="33"/>
        <v>105155.14373840331</v>
      </c>
      <c r="DS32" s="26">
        <f t="shared" si="33"/>
        <v>104863.71787105547</v>
      </c>
      <c r="DT32" s="26">
        <f t="shared" si="33"/>
        <v>104599.26002747144</v>
      </c>
      <c r="DU32" s="26">
        <f t="shared" si="33"/>
        <v>104328.12155211414</v>
      </c>
      <c r="DV32" s="26">
        <f t="shared" si="33"/>
        <v>104065.33305960952</v>
      </c>
      <c r="DW32" s="26">
        <f t="shared" si="33"/>
        <v>103766.83936972267</v>
      </c>
      <c r="DX32" s="26">
        <f t="shared" si="33"/>
        <v>103423.61293395719</v>
      </c>
      <c r="DY32" s="26">
        <f t="shared" si="33"/>
        <v>103016.32599848532</v>
      </c>
      <c r="DZ32" s="26">
        <f t="shared" si="33"/>
        <v>102498.53793024956</v>
      </c>
      <c r="EA32" s="26">
        <f t="shared" si="33"/>
        <v>101864.82425786875</v>
      </c>
      <c r="EB32" s="26">
        <f t="shared" si="33"/>
        <v>101105.27351641076</v>
      </c>
      <c r="EC32" s="26">
        <f t="shared" si="33"/>
        <v>100236.48487711092</v>
      </c>
      <c r="ED32" s="26">
        <f t="shared" si="33"/>
        <v>99303.129534979467</v>
      </c>
      <c r="EE32" s="26">
        <f t="shared" si="33"/>
        <v>98348.790857044893</v>
      </c>
      <c r="EF32" s="26">
        <f t="shared" si="34"/>
        <v>97396.800997133396</v>
      </c>
      <c r="EG32" s="26">
        <f t="shared" si="34"/>
        <v>96461.320321095467</v>
      </c>
      <c r="EH32" s="26">
        <f t="shared" si="34"/>
        <v>95545.664271464426</v>
      </c>
      <c r="EI32" s="26">
        <f t="shared" si="34"/>
        <v>94646.3672969162</v>
      </c>
      <c r="EJ32" s="26">
        <f t="shared" si="128"/>
        <v>2.2071349748078906E-3</v>
      </c>
      <c r="EK32" s="26">
        <f t="shared" si="129"/>
        <v>1.8124161851494683E-3</v>
      </c>
      <c r="EL32" s="26">
        <f t="shared" si="36"/>
        <v>1.450897829458797E-3</v>
      </c>
      <c r="EM32" s="26">
        <f t="shared" si="36"/>
        <v>1.1007736902426521E-3</v>
      </c>
      <c r="EN32" s="26">
        <f t="shared" si="36"/>
        <v>7.3812553361790015E-4</v>
      </c>
      <c r="EO32" s="26">
        <f t="shared" si="36"/>
        <v>3.8688795008219281E-4</v>
      </c>
      <c r="EP32" s="26">
        <f t="shared" si="36"/>
        <v>0</v>
      </c>
      <c r="EQ32" s="26">
        <f t="shared" si="36"/>
        <v>-4.0199776941279939E-4</v>
      </c>
      <c r="ER32" s="26">
        <f t="shared" si="36"/>
        <v>-8.8907971029381929E-4</v>
      </c>
      <c r="ES32" s="26">
        <f t="shared" si="36"/>
        <v>-1.4837228351675068E-3</v>
      </c>
      <c r="ET32" s="26">
        <f t="shared" si="36"/>
        <v>-2.2286499589537494E-3</v>
      </c>
      <c r="EU32" s="26">
        <f t="shared" si="36"/>
        <v>-3.2200095964472078E-3</v>
      </c>
      <c r="EV32" s="26">
        <f t="shared" si="36"/>
        <v>-4.4921592182398705E-3</v>
      </c>
      <c r="EW32" s="26">
        <f t="shared" si="36"/>
        <v>-6.0915935463310847E-3</v>
      </c>
      <c r="EX32" s="26">
        <f t="shared" si="36"/>
        <v>-8.0177894308063671E-3</v>
      </c>
      <c r="EY32" s="26">
        <f t="shared" si="36"/>
        <v>-1.0210385772604323E-2</v>
      </c>
      <c r="EZ32" s="26">
        <f t="shared" si="36"/>
        <v>-1.2599616118210661E-2</v>
      </c>
      <c r="FA32" s="26">
        <f t="shared" si="37"/>
        <v>-1.5147756030380688E-2</v>
      </c>
      <c r="FB32" s="26">
        <f t="shared" si="37"/>
        <v>-1.7830973863282664E-2</v>
      </c>
      <c r="FC32" s="26">
        <f t="shared" si="37"/>
        <v>-2.0646728158883822E-2</v>
      </c>
      <c r="FD32" s="26">
        <f t="shared" si="37"/>
        <v>-2.3608299355717118E-2</v>
      </c>
      <c r="FE32" s="26">
        <f t="shared" si="130"/>
        <v>5.3209729360836588</v>
      </c>
      <c r="FF32" s="26">
        <f t="shared" si="38"/>
        <v>4.5097676406362046</v>
      </c>
      <c r="FG32" s="26">
        <f t="shared" si="38"/>
        <v>3.669562797842417</v>
      </c>
      <c r="FH32" s="26">
        <f t="shared" si="38"/>
        <v>2.7994963800465658</v>
      </c>
      <c r="FI32" s="26">
        <f t="shared" si="38"/>
        <v>1.8986226079619668</v>
      </c>
      <c r="FJ32" s="26">
        <f t="shared" si="38"/>
        <v>0.96580328477140542</v>
      </c>
      <c r="FK32" s="26">
        <f t="shared" si="38"/>
        <v>0</v>
      </c>
      <c r="FL32" s="26">
        <f t="shared" si="38"/>
        <v>-1.0000000000000029</v>
      </c>
      <c r="FM32" s="26">
        <f t="shared" si="38"/>
        <v>-2.0354810218152197</v>
      </c>
      <c r="FN32" s="26">
        <f t="shared" si="38"/>
        <v>-3.1078887488057645</v>
      </c>
      <c r="FO32" s="26">
        <f t="shared" si="38"/>
        <v>-4.2188526762113439</v>
      </c>
      <c r="FP32" s="26">
        <f t="shared" si="38"/>
        <v>-5.3704238230076848</v>
      </c>
      <c r="FQ32" s="26">
        <f t="shared" si="38"/>
        <v>-6.5647027374467291</v>
      </c>
      <c r="FR32" s="26">
        <f t="shared" si="38"/>
        <v>-7.8040554457756501</v>
      </c>
      <c r="FS32" s="26">
        <f t="shared" si="38"/>
        <v>-9.0907138237977669</v>
      </c>
      <c r="FT32" s="26">
        <f t="shared" si="38"/>
        <v>-10.426428499263212</v>
      </c>
      <c r="FU32" s="26">
        <f t="shared" si="38"/>
        <v>-11.812684584854365</v>
      </c>
      <c r="FV32" s="26">
        <f t="shared" si="131"/>
        <v>-13.251131044566046</v>
      </c>
      <c r="FW32" s="26">
        <f t="shared" si="131"/>
        <v>-14.743505409604545</v>
      </c>
      <c r="FX32" s="26">
        <f t="shared" si="39"/>
        <v>15652443.732161334</v>
      </c>
      <c r="FY32" s="26">
        <f t="shared" si="40"/>
        <v>631306.92995567387</v>
      </c>
      <c r="FZ32" s="26">
        <f t="shared" si="132"/>
        <v>0.81152051957960492</v>
      </c>
      <c r="GA32" s="26">
        <f t="shared" si="133"/>
        <v>0.84031427188256647</v>
      </c>
      <c r="GB32" s="26">
        <f t="shared" si="42"/>
        <v>0.87008923189783638</v>
      </c>
      <c r="GC32" s="26">
        <f t="shared" si="42"/>
        <v>0.90089775513777437</v>
      </c>
      <c r="GD32" s="26">
        <f t="shared" si="42"/>
        <v>0.93279727708063565</v>
      </c>
      <c r="GE32" s="26">
        <f t="shared" si="42"/>
        <v>0.96580328477140776</v>
      </c>
      <c r="GF32" s="26">
        <f t="shared" si="42"/>
        <v>1</v>
      </c>
      <c r="GG32" s="26">
        <f t="shared" si="42"/>
        <v>1.0354089722286957</v>
      </c>
      <c r="GH32" s="26">
        <f t="shared" si="42"/>
        <v>1.0721463405600096</v>
      </c>
      <c r="GI32" s="26">
        <f t="shared" si="42"/>
        <v>1.1102855708889419</v>
      </c>
      <c r="GJ32" s="26">
        <f t="shared" si="42"/>
        <v>1.1499271595831722</v>
      </c>
      <c r="GK32" s="26">
        <f t="shared" si="42"/>
        <v>1.1912407089500585</v>
      </c>
      <c r="GL32" s="26">
        <f t="shared" si="42"/>
        <v>1.2343346917338609</v>
      </c>
      <c r="GM32" s="26">
        <f t="shared" si="42"/>
        <v>1.2793392202352907</v>
      </c>
      <c r="GN32" s="26">
        <f t="shared" si="42"/>
        <v>1.3263318778811621</v>
      </c>
      <c r="GO32" s="26">
        <f t="shared" si="42"/>
        <v>1.3753125283089327</v>
      </c>
      <c r="GP32" s="26">
        <f t="shared" si="42"/>
        <v>1.426262173596063</v>
      </c>
      <c r="GQ32" s="26">
        <f t="shared" si="134"/>
        <v>1.4792001485450976</v>
      </c>
      <c r="GR32" s="26">
        <f t="shared" si="134"/>
        <v>1.534163021635347</v>
      </c>
      <c r="GS32" s="26">
        <f t="shared" si="134"/>
        <v>1.5912184950755197</v>
      </c>
      <c r="GT32" s="26">
        <f t="shared" si="134"/>
        <v>1.6504610232304608</v>
      </c>
      <c r="GU32" s="26">
        <f t="shared" si="135"/>
        <v>5.5094524165040548</v>
      </c>
      <c r="GV32" s="26">
        <f t="shared" si="136"/>
        <v>4.6694533687536337</v>
      </c>
      <c r="GW32" s="26">
        <f t="shared" si="43"/>
        <v>3.7994735659445857</v>
      </c>
      <c r="GX32" s="26">
        <f t="shared" si="43"/>
        <v>2.8985986249087916</v>
      </c>
      <c r="GY32" s="26">
        <f t="shared" si="43"/>
        <v>1.9658253308813289</v>
      </c>
      <c r="GZ32" s="26">
        <f t="shared" si="43"/>
        <v>0.99999999999998701</v>
      </c>
      <c r="HA32" s="26">
        <f t="shared" si="43"/>
        <v>0</v>
      </c>
      <c r="HB32" s="26">
        <f t="shared" si="43"/>
        <v>-1.0354089722286932</v>
      </c>
      <c r="HC32" s="26">
        <f t="shared" si="43"/>
        <v>-2.1076273623752231</v>
      </c>
      <c r="HD32" s="26">
        <f t="shared" si="43"/>
        <v>-3.2181743196947044</v>
      </c>
      <c r="HE32" s="26">
        <f t="shared" si="43"/>
        <v>-4.3687798357945145</v>
      </c>
      <c r="HF32" s="26">
        <f t="shared" si="43"/>
        <v>-5.5616645319577387</v>
      </c>
      <c r="HG32" s="26">
        <f t="shared" si="43"/>
        <v>-6.7990374291805873</v>
      </c>
      <c r="HH32" s="26">
        <f t="shared" si="43"/>
        <v>-8.0833946660109319</v>
      </c>
      <c r="HI32" s="26">
        <f t="shared" si="43"/>
        <v>-9.41704570167893</v>
      </c>
      <c r="HJ32" s="26">
        <f t="shared" si="43"/>
        <v>-10.801741027572135</v>
      </c>
      <c r="HK32" s="26">
        <f t="shared" si="43"/>
        <v>-12.238946758450428</v>
      </c>
      <c r="HL32" s="26">
        <f t="shared" si="137"/>
        <v>-13.730331193111132</v>
      </c>
      <c r="HM32" s="26">
        <f t="shared" si="137"/>
        <v>-15.27766843123989</v>
      </c>
      <c r="HN32" s="26">
        <f t="shared" si="137"/>
        <v>-16.883034396752837</v>
      </c>
      <c r="HO32" s="26">
        <f t="shared" si="137"/>
        <v>-18.548836215939918</v>
      </c>
      <c r="HP32" s="26">
        <f t="shared" si="44"/>
        <v>515076.50458536524</v>
      </c>
      <c r="HQ32" s="26">
        <f t="shared" si="45"/>
        <v>532828.35967666528</v>
      </c>
      <c r="HR32" s="26">
        <f t="shared" si="46"/>
        <v>551270.80295669811</v>
      </c>
      <c r="HS32" s="26">
        <f t="shared" si="47"/>
        <v>570411.21936621959</v>
      </c>
      <c r="HT32" s="26">
        <f t="shared" si="48"/>
        <v>590263.68948663934</v>
      </c>
      <c r="HU32" s="26">
        <f t="shared" si="49"/>
        <v>610858.80135451688</v>
      </c>
      <c r="HV32" s="26">
        <f t="shared" si="50"/>
        <v>632215.9078880985</v>
      </c>
      <c r="HW32" s="26">
        <f t="shared" si="51"/>
        <v>654367.30560848105</v>
      </c>
      <c r="HX32" s="26">
        <f t="shared" si="52"/>
        <v>677355.28554362489</v>
      </c>
      <c r="HY32" s="26">
        <f t="shared" si="53"/>
        <v>701234.47035632946</v>
      </c>
      <c r="HZ32" s="26">
        <f t="shared" si="54"/>
        <v>726078.35384275997</v>
      </c>
      <c r="IA32" s="26">
        <f t="shared" si="55"/>
        <v>752009.32762303634</v>
      </c>
      <c r="IB32" s="26">
        <f t="shared" si="56"/>
        <v>779147.56220760627</v>
      </c>
      <c r="IC32" s="26">
        <f t="shared" si="57"/>
        <v>807640.85787550709</v>
      </c>
      <c r="ID32" s="26">
        <f t="shared" si="58"/>
        <v>837613.56117903034</v>
      </c>
      <c r="IE32" s="26">
        <f t="shared" si="59"/>
        <v>869124.45639783272</v>
      </c>
      <c r="IF32" s="26">
        <f t="shared" si="60"/>
        <v>902195.18051311653</v>
      </c>
      <c r="IG32" s="26">
        <f t="shared" si="61"/>
        <v>936863.44620625605</v>
      </c>
      <c r="IH32" s="26">
        <f t="shared" si="62"/>
        <v>973172.84900231077</v>
      </c>
      <c r="II32" s="26">
        <f t="shared" si="63"/>
        <v>-1794312723476.9741</v>
      </c>
      <c r="IJ32" s="26">
        <f t="shared" si="64"/>
        <v>534870.21103346883</v>
      </c>
      <c r="IK32" s="26">
        <f t="shared" si="65"/>
        <v>552291.20688667765</v>
      </c>
      <c r="IL32" s="26">
        <f t="shared" si="66"/>
        <v>570472.12395787588</v>
      </c>
      <c r="IM32" s="26">
        <f t="shared" si="67"/>
        <v>589425.83363179292</v>
      </c>
      <c r="IN32" s="26">
        <f t="shared" si="68"/>
        <v>609172.3982836178</v>
      </c>
      <c r="IO32" s="26">
        <f t="shared" si="69"/>
        <v>629749.17535907181</v>
      </c>
      <c r="IP32" s="26">
        <f t="shared" si="70"/>
        <v>651182.38512474147</v>
      </c>
      <c r="IQ32" s="26">
        <f t="shared" si="71"/>
        <v>673511.95518579509</v>
      </c>
      <c r="IR32" s="26">
        <f t="shared" si="72"/>
        <v>696788.50227035815</v>
      </c>
      <c r="IS32" s="26">
        <f t="shared" si="73"/>
        <v>721075.81475605327</v>
      </c>
      <c r="IT32" s="26">
        <f t="shared" si="74"/>
        <v>746457.60712677811</v>
      </c>
      <c r="IU32" s="26">
        <f t="shared" si="75"/>
        <v>773068.44605733512</v>
      </c>
      <c r="IV32" s="26">
        <f t="shared" si="76"/>
        <v>801041.35777995759</v>
      </c>
      <c r="IW32" s="26">
        <f t="shared" si="77"/>
        <v>830538.54994463455</v>
      </c>
      <c r="IX32" s="26">
        <f t="shared" si="78"/>
        <v>861698.95408969466</v>
      </c>
      <c r="IY32" s="26">
        <f t="shared" si="79"/>
        <v>894594.85550678987</v>
      </c>
      <c r="IZ32" s="26">
        <f t="shared" si="80"/>
        <v>929261.03592851001</v>
      </c>
      <c r="JA32" s="26">
        <f t="shared" si="81"/>
        <v>965749.56702001428</v>
      </c>
      <c r="JB32" s="26">
        <f t="shared" si="82"/>
        <v>1004119.384116969</v>
      </c>
      <c r="JC32" s="26">
        <f t="shared" si="83"/>
        <v>-1848142102252.9575</v>
      </c>
      <c r="JD32" s="26">
        <f t="shared" si="84"/>
        <v>155962.28542974219</v>
      </c>
      <c r="JE32" s="26">
        <f t="shared" si="85"/>
        <v>247984.42752395855</v>
      </c>
      <c r="JF32" s="26">
        <f t="shared" si="86"/>
        <v>343401.64706768247</v>
      </c>
      <c r="JG32" s="26">
        <f t="shared" si="87"/>
        <v>442319.15623724076</v>
      </c>
      <c r="JH32" s="26">
        <f t="shared" si="88"/>
        <v>544872.23363629403</v>
      </c>
      <c r="JI32" s="26">
        <f t="shared" si="89"/>
        <v>651182.38512474147</v>
      </c>
      <c r="JJ32" s="26">
        <f t="shared" si="90"/>
        <v>761394.30218089221</v>
      </c>
      <c r="JK32" s="26">
        <f t="shared" si="91"/>
        <v>875677.46708001406</v>
      </c>
      <c r="JL32" s="26">
        <f t="shared" si="92"/>
        <v>994224.60894252406</v>
      </c>
      <c r="JM32" s="26">
        <f t="shared" si="93"/>
        <v>1117266.2786491604</v>
      </c>
      <c r="JN32" s="26">
        <f t="shared" si="94"/>
        <v>1245125.5224179581</v>
      </c>
      <c r="JO32" s="26">
        <f t="shared" si="95"/>
        <v>1378122.8614275104</v>
      </c>
      <c r="JP32" s="26">
        <f t="shared" si="96"/>
        <v>1516632.3679338656</v>
      </c>
      <c r="JQ32" s="26">
        <f t="shared" si="97"/>
        <v>1660988.9933118422</v>
      </c>
      <c r="JR32" s="26">
        <f t="shared" si="98"/>
        <v>1811413.5992085794</v>
      </c>
      <c r="JS32" s="26">
        <f t="shared" si="99"/>
        <v>1968065.4066937002</v>
      </c>
      <c r="JT32" s="26">
        <f t="shared" si="100"/>
        <v>2131138.0875321603</v>
      </c>
      <c r="JU32" s="26">
        <f t="shared" si="101"/>
        <v>2300841.1572152553</v>
      </c>
      <c r="JV32" s="26">
        <f t="shared" si="102"/>
        <v>-1848140669272.6309</v>
      </c>
      <c r="JW32" s="26">
        <f t="shared" si="103"/>
        <v>1730330.7759554444</v>
      </c>
      <c r="JX32" s="26" t="e">
        <f>AH32+$AG$38*0.004*(1+$R$28)*#REF!-S32*#REF!</f>
        <v>#REF!</v>
      </c>
      <c r="JY32" s="34">
        <f t="shared" si="104"/>
        <v>5.0406897927036301E-2</v>
      </c>
      <c r="JZ32" s="4">
        <f t="shared" si="105"/>
        <v>47907.882129607082</v>
      </c>
      <c r="KA32" s="165"/>
      <c r="KB32" s="163">
        <v>5</v>
      </c>
      <c r="KC32" s="163">
        <f>((1+0.035)^(-1))*(1-((1+0.035)^(-m-n+5)))/(1-((1+0.035)^(-1)))</f>
        <v>6.1145439804623241</v>
      </c>
      <c r="KD32" s="163">
        <f>((1+0.035)^(-1))*(1-((1+0.035)^(-m-(n/2)+5/2)))/(1-((1+0.035)^(-1)))</f>
        <v>5.3285530197785027</v>
      </c>
      <c r="KE32" s="61">
        <f>IF(KB32&lt;=n,VLOOKUP(A28+x,A28:KF139,267)*(1-txpen_rachat),0)</f>
        <v>416512.12682617671</v>
      </c>
      <c r="KF32" s="164">
        <f>IF(KB32&lt;=n,VLOOKUP(A28+x,A28:KF139,267),0)</f>
        <v>438433.817711765</v>
      </c>
    </row>
    <row r="33" spans="1:293" ht="15" customHeight="1" x14ac:dyDescent="0.3">
      <c r="A33" s="34">
        <v>32</v>
      </c>
      <c r="B33" s="34">
        <v>5</v>
      </c>
      <c r="C33" s="2">
        <v>992474</v>
      </c>
      <c r="D33" s="1">
        <f t="shared" si="106"/>
        <v>369</v>
      </c>
      <c r="E33" s="145">
        <f t="shared" si="107"/>
        <v>0.99962820184710133</v>
      </c>
      <c r="F33" s="146">
        <f t="shared" si="108"/>
        <v>3.7179815289867246E-4</v>
      </c>
      <c r="G33" s="158">
        <f t="shared" si="3"/>
        <v>4.6474769112334058E-4</v>
      </c>
      <c r="H33" s="43">
        <f t="shared" si="109"/>
        <v>460.37751937674051</v>
      </c>
      <c r="I33" s="43">
        <f t="shared" si="139"/>
        <v>990596.67895060021</v>
      </c>
      <c r="J33" s="43">
        <f t="shared" si="110"/>
        <v>992289.5</v>
      </c>
      <c r="K33" s="147">
        <f>SUM(J33:$J$138)</f>
        <v>68531112</v>
      </c>
      <c r="L33" s="147">
        <f t="shared" si="111"/>
        <v>69.050788232235803</v>
      </c>
      <c r="M33" s="43">
        <f t="shared" si="4"/>
        <v>1240361.875</v>
      </c>
      <c r="N33" s="148">
        <f t="shared" si="5"/>
        <v>85663890</v>
      </c>
      <c r="O33" s="147">
        <f t="shared" si="6"/>
        <v>86.31348529029475</v>
      </c>
      <c r="P33" s="157">
        <f t="shared" si="7"/>
        <v>834055.8228555735</v>
      </c>
      <c r="Q33" s="43">
        <f t="shared" si="8"/>
        <v>1240592.5</v>
      </c>
      <c r="R33" s="43">
        <f t="shared" si="9"/>
        <v>381.01509747096247</v>
      </c>
      <c r="S33" s="43">
        <f>SUM(R33:$R$138)</f>
        <v>106168.99532968085</v>
      </c>
      <c r="T33" s="43">
        <f t="shared" si="112"/>
        <v>5641492.6414839607</v>
      </c>
      <c r="U33" s="153">
        <f>SUM(P33:$P$138)</f>
        <v>21578194.360523928</v>
      </c>
      <c r="V33" s="129">
        <f t="shared" si="10"/>
        <v>16306150.077070862</v>
      </c>
      <c r="W33" s="43">
        <f t="shared" si="113"/>
        <v>653706.34490952641</v>
      </c>
      <c r="X33" s="26">
        <f t="shared" si="114"/>
        <v>6.320972936083658</v>
      </c>
      <c r="Y33" s="26">
        <f t="shared" si="115"/>
        <v>0.78376809680606152</v>
      </c>
      <c r="Z33" s="43">
        <f t="shared" si="11"/>
        <v>104065.33305960952</v>
      </c>
      <c r="AA33" s="149">
        <f t="shared" si="116"/>
        <v>2.522208001460842E-3</v>
      </c>
      <c r="AB33" s="150">
        <f t="shared" si="138"/>
        <v>20744138.537668355</v>
      </c>
      <c r="AC33" s="150">
        <f t="shared" si="117"/>
        <v>15652443.732161334</v>
      </c>
      <c r="AD33" s="26">
        <f t="shared" si="118"/>
        <v>6.1047410328897227</v>
      </c>
      <c r="AE33" s="26">
        <f t="shared" si="12"/>
        <v>515589.31808607525</v>
      </c>
      <c r="AF33" s="43">
        <f t="shared" si="119"/>
        <v>81568.03126664288</v>
      </c>
      <c r="AG33" s="43">
        <f t="shared" si="13"/>
        <v>536389.67912849446</v>
      </c>
      <c r="AH33" s="27">
        <f t="shared" si="14"/>
        <v>88701.524266841894</v>
      </c>
      <c r="AI33" s="28">
        <f t="shared" si="120"/>
        <v>576763.09583709086</v>
      </c>
      <c r="AJ33" s="20">
        <f t="shared" si="15"/>
        <v>95377.983082625695</v>
      </c>
      <c r="AK33" s="3">
        <f t="shared" si="16"/>
        <v>8266.0918671608943</v>
      </c>
      <c r="AL33" s="3"/>
      <c r="AM33" s="46">
        <f t="shared" si="121"/>
        <v>20744138.537668355</v>
      </c>
      <c r="AN33" s="46">
        <f t="shared" si="122"/>
        <v>19938662.018501565</v>
      </c>
      <c r="AO33" s="46">
        <f t="shared" si="122"/>
        <v>19160749.374707777</v>
      </c>
      <c r="AP33" s="3">
        <f t="shared" si="17"/>
        <v>18409439.460944436</v>
      </c>
      <c r="AQ33" s="3">
        <f t="shared" si="17"/>
        <v>17683822.618622076</v>
      </c>
      <c r="AR33" s="16">
        <f t="shared" si="17"/>
        <v>16983003.49179301</v>
      </c>
      <c r="AS33" s="16">
        <f t="shared" si="17"/>
        <v>16306150.077070862</v>
      </c>
      <c r="AT33" s="16">
        <f t="shared" si="17"/>
        <v>15652443.732161334</v>
      </c>
      <c r="AU33" s="16">
        <f t="shared" si="17"/>
        <v>15021136.802205658</v>
      </c>
      <c r="AV33" s="16">
        <f t="shared" si="17"/>
        <v>14411515.788955677</v>
      </c>
      <c r="AW33" s="16">
        <f t="shared" si="17"/>
        <v>13822910.320268864</v>
      </c>
      <c r="AX33" s="16">
        <f t="shared" si="17"/>
        <v>13254718.342243936</v>
      </c>
      <c r="AY33" s="16">
        <f t="shared" si="17"/>
        <v>12706363.492254766</v>
      </c>
      <c r="AZ33" s="16">
        <f t="shared" si="17"/>
        <v>12177298.640637327</v>
      </c>
      <c r="BA33" s="16">
        <f t="shared" si="17"/>
        <v>11666978.843601737</v>
      </c>
      <c r="BB33" s="16">
        <f t="shared" si="17"/>
        <v>11174833.676019788</v>
      </c>
      <c r="BC33" s="16">
        <f t="shared" si="17"/>
        <v>10700269.162389321</v>
      </c>
      <c r="BD33" s="16">
        <f t="shared" si="18"/>
        <v>10242688.479080243</v>
      </c>
      <c r="BE33" s="16">
        <f t="shared" si="18"/>
        <v>9801501.0660238042</v>
      </c>
      <c r="BF33" s="16">
        <f t="shared" si="18"/>
        <v>9376133.074879365</v>
      </c>
      <c r="BG33" s="16">
        <f t="shared" si="18"/>
        <v>8966033.4692568444</v>
      </c>
      <c r="BH33" s="172">
        <f t="shared" si="123"/>
        <v>805476.51916679565</v>
      </c>
      <c r="BI33" s="16">
        <f t="shared" si="19"/>
        <v>777912.64379378548</v>
      </c>
      <c r="BJ33" s="16">
        <f t="shared" si="19"/>
        <v>751309.91376334231</v>
      </c>
      <c r="BK33" s="16">
        <f t="shared" si="19"/>
        <v>725616.84232236387</v>
      </c>
      <c r="BL33" s="16">
        <f t="shared" si="19"/>
        <v>700819.12682907446</v>
      </c>
      <c r="BM33" s="16">
        <f t="shared" si="19"/>
        <v>676853.41472214996</v>
      </c>
      <c r="BN33" s="16">
        <f t="shared" si="19"/>
        <v>653706.34490952641</v>
      </c>
      <c r="BO33" s="16">
        <f t="shared" si="19"/>
        <v>631306.92995567387</v>
      </c>
      <c r="BP33" s="16">
        <f t="shared" si="19"/>
        <v>609621.01324998064</v>
      </c>
      <c r="BQ33" s="16">
        <f t="shared" si="19"/>
        <v>588605.46868681419</v>
      </c>
      <c r="BR33" s="16">
        <f t="shared" si="20"/>
        <v>568191.97802492685</v>
      </c>
      <c r="BS33" s="16">
        <f t="shared" si="20"/>
        <v>548354.84998917021</v>
      </c>
      <c r="BT33" s="16">
        <f t="shared" si="20"/>
        <v>529064.85161743569</v>
      </c>
      <c r="BU33" s="16">
        <f t="shared" si="20"/>
        <v>510319.79703559174</v>
      </c>
      <c r="BV33" s="16">
        <f t="shared" si="20"/>
        <v>492145.1675819463</v>
      </c>
      <c r="BW33" s="16">
        <f t="shared" si="20"/>
        <v>474564.51363046817</v>
      </c>
      <c r="BX33" s="16">
        <f t="shared" si="20"/>
        <v>457580.68330907432</v>
      </c>
      <c r="BY33" s="16">
        <f t="shared" si="20"/>
        <v>441187.41305644001</v>
      </c>
      <c r="BZ33" s="16">
        <f t="shared" si="20"/>
        <v>425367.99114443822</v>
      </c>
      <c r="CA33" s="16">
        <f t="shared" si="20"/>
        <v>410099.60562251828</v>
      </c>
      <c r="CB33" s="16">
        <f t="shared" si="20"/>
        <v>395363.07500712067</v>
      </c>
      <c r="CC33" s="18">
        <f t="shared" si="124"/>
        <v>5.5097676406361975</v>
      </c>
      <c r="CD33" s="18">
        <f t="shared" si="21"/>
        <v>4.6695627978424197</v>
      </c>
      <c r="CE33" s="18">
        <f t="shared" si="21"/>
        <v>3.7994963800465635</v>
      </c>
      <c r="CF33" s="18">
        <f t="shared" si="21"/>
        <v>2.8986226079619626</v>
      </c>
      <c r="CG33" s="18">
        <f t="shared" si="21"/>
        <v>1.9658032847713924</v>
      </c>
      <c r="CH33" s="18">
        <f t="shared" si="21"/>
        <v>0.99999999999999756</v>
      </c>
      <c r="CI33" s="18">
        <f t="shared" si="21"/>
        <v>0</v>
      </c>
      <c r="CJ33" s="18">
        <f t="shared" si="21"/>
        <v>-1.0354810218152162</v>
      </c>
      <c r="CK33" s="18">
        <f t="shared" si="21"/>
        <v>-2.1078887488057654</v>
      </c>
      <c r="CL33" s="18">
        <f t="shared" si="21"/>
        <v>-3.2188526762113447</v>
      </c>
      <c r="CM33" s="18">
        <f t="shared" si="21"/>
        <v>-4.3704238230076831</v>
      </c>
      <c r="CN33" s="18">
        <f t="shared" si="21"/>
        <v>-5.5647027374467291</v>
      </c>
      <c r="CO33" s="18">
        <f t="shared" si="21"/>
        <v>-6.8040554457756439</v>
      </c>
      <c r="CP33" s="18">
        <f t="shared" si="21"/>
        <v>-8.0907138237977723</v>
      </c>
      <c r="CQ33" s="18">
        <f t="shared" si="21"/>
        <v>-9.4264284992632064</v>
      </c>
      <c r="CR33" s="18">
        <f t="shared" si="21"/>
        <v>-10.812684584854368</v>
      </c>
      <c r="CS33" s="18">
        <f t="shared" si="21"/>
        <v>-12.251131044566037</v>
      </c>
      <c r="CT33" s="18">
        <f t="shared" si="125"/>
        <v>-13.743505409604547</v>
      </c>
      <c r="CU33" s="18">
        <f t="shared" si="125"/>
        <v>-15.291815901677321</v>
      </c>
      <c r="CV33" s="18">
        <f t="shared" si="125"/>
        <v>-16.898375192709462</v>
      </c>
      <c r="CW33" s="18">
        <f t="shared" si="22"/>
        <v>-18.565508697750335</v>
      </c>
      <c r="CX33" s="17">
        <f t="shared" si="23"/>
        <v>331.18691370678681</v>
      </c>
      <c r="CY33" s="17">
        <f t="shared" si="126"/>
        <v>301.64958009979046</v>
      </c>
      <c r="CZ33" s="17">
        <f t="shared" si="126"/>
        <v>291.42586734785783</v>
      </c>
      <c r="DA33" s="17">
        <f t="shared" si="126"/>
        <v>264.45784358403102</v>
      </c>
      <c r="DB33" s="17">
        <f t="shared" si="126"/>
        <v>271.13847535729514</v>
      </c>
      <c r="DC33" s="17">
        <f t="shared" si="126"/>
        <v>262.78849250463281</v>
      </c>
      <c r="DD33" s="17">
        <f t="shared" si="24"/>
        <v>298.49368988683381</v>
      </c>
      <c r="DE33" s="17">
        <f t="shared" si="24"/>
        <v>343.22643576547995</v>
      </c>
      <c r="DF33" s="3" t="e">
        <f>#REF!+$AG$35*0.004*(1+$R$28)*#REF!-S33*#REF!</f>
        <v>#REF!</v>
      </c>
      <c r="DG33" s="19">
        <f t="shared" si="25"/>
        <v>1078.94582902927</v>
      </c>
      <c r="DH33" s="19">
        <f t="shared" si="26"/>
        <v>935.37997319159251</v>
      </c>
      <c r="DI33" s="19">
        <f t="shared" si="27"/>
        <v>807.07507022191317</v>
      </c>
      <c r="DJ33" s="19">
        <f t="shared" si="28"/>
        <v>657.844831680065</v>
      </c>
      <c r="DK33" s="19">
        <f t="shared" si="29"/>
        <v>537.92775356872642</v>
      </c>
      <c r="DL33" s="19">
        <f t="shared" si="30"/>
        <v>398.50363769651608</v>
      </c>
      <c r="DM33" s="19">
        <f t="shared" si="31"/>
        <v>298.49368988683381</v>
      </c>
      <c r="DN33" s="19">
        <f t="shared" si="32"/>
        <v>202.69597854638789</v>
      </c>
      <c r="DO33" s="173">
        <f t="shared" si="127"/>
        <v>105787.9802322099</v>
      </c>
      <c r="DP33" s="25">
        <f t="shared" si="33"/>
        <v>105456.7933185031</v>
      </c>
      <c r="DQ33" s="26">
        <f t="shared" si="33"/>
        <v>105155.14373840331</v>
      </c>
      <c r="DR33" s="26">
        <f t="shared" si="33"/>
        <v>104863.71787105547</v>
      </c>
      <c r="DS33" s="26">
        <f t="shared" si="33"/>
        <v>104599.26002747144</v>
      </c>
      <c r="DT33" s="26">
        <f t="shared" si="33"/>
        <v>104328.12155211414</v>
      </c>
      <c r="DU33" s="26">
        <f t="shared" si="33"/>
        <v>104065.33305960952</v>
      </c>
      <c r="DV33" s="26">
        <f t="shared" si="33"/>
        <v>103766.83936972267</v>
      </c>
      <c r="DW33" s="26">
        <f t="shared" si="33"/>
        <v>103423.61293395719</v>
      </c>
      <c r="DX33" s="26">
        <f t="shared" si="33"/>
        <v>103016.32599848532</v>
      </c>
      <c r="DY33" s="26">
        <f t="shared" si="33"/>
        <v>102498.53793024956</v>
      </c>
      <c r="DZ33" s="26">
        <f t="shared" si="33"/>
        <v>101864.82425786875</v>
      </c>
      <c r="EA33" s="26">
        <f t="shared" si="33"/>
        <v>101105.27351641076</v>
      </c>
      <c r="EB33" s="26">
        <f t="shared" si="33"/>
        <v>100236.48487711092</v>
      </c>
      <c r="EC33" s="26">
        <f t="shared" si="33"/>
        <v>99303.129534979467</v>
      </c>
      <c r="ED33" s="26">
        <f t="shared" si="33"/>
        <v>98348.790857044893</v>
      </c>
      <c r="EE33" s="26">
        <f t="shared" si="33"/>
        <v>97396.800997133396</v>
      </c>
      <c r="EF33" s="26">
        <f t="shared" si="34"/>
        <v>96461.320321095467</v>
      </c>
      <c r="EG33" s="26">
        <f t="shared" si="34"/>
        <v>95545.664271464426</v>
      </c>
      <c r="EH33" s="26">
        <f t="shared" si="34"/>
        <v>94646.3672969162</v>
      </c>
      <c r="EI33" s="26">
        <f t="shared" si="34"/>
        <v>93762.872497552977</v>
      </c>
      <c r="EJ33" s="26">
        <f t="shared" si="128"/>
        <v>2.1386683926954541E-3</v>
      </c>
      <c r="EK33" s="26">
        <f t="shared" si="129"/>
        <v>1.7887101720157146E-3</v>
      </c>
      <c r="EL33" s="26">
        <f t="shared" si="36"/>
        <v>1.4505474489680033E-3</v>
      </c>
      <c r="EM33" s="26">
        <f t="shared" si="36"/>
        <v>1.1002842890067074E-3</v>
      </c>
      <c r="EN33" s="26">
        <f t="shared" si="36"/>
        <v>7.6186129547822432E-4</v>
      </c>
      <c r="EO33" s="26">
        <f t="shared" si="36"/>
        <v>3.8825022787614816E-4</v>
      </c>
      <c r="EP33" s="26">
        <f t="shared" si="36"/>
        <v>0</v>
      </c>
      <c r="EQ33" s="26">
        <f t="shared" si="36"/>
        <v>-4.7281864925481729E-4</v>
      </c>
      <c r="ER33" s="26">
        <f t="shared" si="36"/>
        <v>-1.052654209262276E-3</v>
      </c>
      <c r="ES33" s="26">
        <f t="shared" si="36"/>
        <v>-1.7821904772046112E-3</v>
      </c>
      <c r="ET33" s="26">
        <f t="shared" si="36"/>
        <v>-2.7575101197420031E-3</v>
      </c>
      <c r="EU33" s="26">
        <f t="shared" si="36"/>
        <v>-4.0129284928987641E-3</v>
      </c>
      <c r="EV33" s="26">
        <f t="shared" si="36"/>
        <v>-5.5948898025438391E-3</v>
      </c>
      <c r="EW33" s="26">
        <f t="shared" si="36"/>
        <v>-7.5028407769796059E-3</v>
      </c>
      <c r="EX33" s="26">
        <f t="shared" si="36"/>
        <v>-9.6764203700874588E-3</v>
      </c>
      <c r="EY33" s="26">
        <f t="shared" si="36"/>
        <v>-1.2045869504300859E-2</v>
      </c>
      <c r="EZ33" s="26">
        <f t="shared" si="36"/>
        <v>-1.4573456235633622E-2</v>
      </c>
      <c r="FA33" s="26">
        <f t="shared" si="37"/>
        <v>-1.7235334720533582E-2</v>
      </c>
      <c r="FB33" s="26">
        <f t="shared" si="37"/>
        <v>-2.002893721557001E-2</v>
      </c>
      <c r="FC33" s="26">
        <f t="shared" si="37"/>
        <v>-2.2967507487347188E-2</v>
      </c>
      <c r="FD33" s="26">
        <f t="shared" si="37"/>
        <v>-2.6058226509572218E-2</v>
      </c>
      <c r="FE33" s="26">
        <f t="shared" si="130"/>
        <v>5.3213447994412038</v>
      </c>
      <c r="FF33" s="26">
        <f t="shared" si="38"/>
        <v>4.5098966709640598</v>
      </c>
      <c r="FG33" s="26">
        <f t="shared" si="38"/>
        <v>3.6695851848582666</v>
      </c>
      <c r="FH33" s="26">
        <f t="shared" si="38"/>
        <v>2.7995200331337924</v>
      </c>
      <c r="FI33" s="26">
        <f t="shared" si="38"/>
        <v>1.8985779763916062</v>
      </c>
      <c r="FJ33" s="26">
        <f t="shared" si="38"/>
        <v>0.96580194572539224</v>
      </c>
      <c r="FK33" s="26">
        <f t="shared" si="38"/>
        <v>0</v>
      </c>
      <c r="FL33" s="26">
        <f t="shared" si="38"/>
        <v>-1.0000000000000038</v>
      </c>
      <c r="FM33" s="26">
        <f t="shared" si="38"/>
        <v>-2.0355727841303968</v>
      </c>
      <c r="FN33" s="26">
        <f t="shared" si="38"/>
        <v>-3.1082507880434425</v>
      </c>
      <c r="FO33" s="26">
        <f t="shared" si="38"/>
        <v>-4.2199212284764229</v>
      </c>
      <c r="FP33" s="26">
        <f t="shared" si="38"/>
        <v>-5.3725798904938147</v>
      </c>
      <c r="FQ33" s="26">
        <f t="shared" si="38"/>
        <v>-6.5684671376296002</v>
      </c>
      <c r="FR33" s="26">
        <f t="shared" si="38"/>
        <v>-7.8097399154625275</v>
      </c>
      <c r="FS33" s="26">
        <f t="shared" si="38"/>
        <v>-9.098148983441936</v>
      </c>
      <c r="FT33" s="26">
        <f t="shared" si="38"/>
        <v>-10.435197802480761</v>
      </c>
      <c r="FU33" s="26">
        <f t="shared" si="38"/>
        <v>-11.822516662983901</v>
      </c>
      <c r="FV33" s="26">
        <f t="shared" si="131"/>
        <v>-13.26180777824918</v>
      </c>
      <c r="FW33" s="26">
        <f t="shared" si="131"/>
        <v>-14.755013983059156</v>
      </c>
      <c r="FX33" s="26">
        <f t="shared" si="39"/>
        <v>15021136.802205658</v>
      </c>
      <c r="FY33" s="26">
        <f t="shared" si="40"/>
        <v>609621.01324998064</v>
      </c>
      <c r="FZ33" s="26">
        <f t="shared" si="132"/>
        <v>0.81157715880499659</v>
      </c>
      <c r="GA33" s="26">
        <f t="shared" si="133"/>
        <v>0.84033387312163998</v>
      </c>
      <c r="GB33" s="26">
        <f t="shared" si="42"/>
        <v>0.87008880481169804</v>
      </c>
      <c r="GC33" s="26">
        <f t="shared" si="42"/>
        <v>0.90089742517182314</v>
      </c>
      <c r="GD33" s="26">
        <f t="shared" si="42"/>
        <v>0.9327746916201981</v>
      </c>
      <c r="GE33" s="26">
        <f t="shared" si="42"/>
        <v>0.96580194572538947</v>
      </c>
      <c r="GF33" s="26">
        <f t="shared" si="42"/>
        <v>1</v>
      </c>
      <c r="GG33" s="26">
        <f t="shared" si="42"/>
        <v>1.0354810218152133</v>
      </c>
      <c r="GH33" s="26">
        <f t="shared" si="42"/>
        <v>1.0723159646753648</v>
      </c>
      <c r="GI33" s="26">
        <f t="shared" si="42"/>
        <v>1.1106018881678981</v>
      </c>
      <c r="GJ33" s="26">
        <f t="shared" si="42"/>
        <v>1.150502594531259</v>
      </c>
      <c r="GK33" s="26">
        <f t="shared" si="42"/>
        <v>1.1921228469529117</v>
      </c>
      <c r="GL33" s="26">
        <f t="shared" si="42"/>
        <v>1.2355883081460464</v>
      </c>
      <c r="GM33" s="26">
        <f t="shared" si="42"/>
        <v>1.2809739083352361</v>
      </c>
      <c r="GN33" s="26">
        <f t="shared" si="42"/>
        <v>1.3282795158212721</v>
      </c>
      <c r="GO33" s="26">
        <f t="shared" si="42"/>
        <v>1.3774867823736008</v>
      </c>
      <c r="GP33" s="26">
        <f t="shared" si="42"/>
        <v>1.4286143815821404</v>
      </c>
      <c r="GQ33" s="26">
        <f t="shared" si="134"/>
        <v>1.4816976313553609</v>
      </c>
      <c r="GR33" s="26">
        <f t="shared" si="134"/>
        <v>1.536801918618163</v>
      </c>
      <c r="GS33" s="26">
        <f t="shared" si="134"/>
        <v>1.5940184675798963</v>
      </c>
      <c r="GT33" s="26">
        <f t="shared" si="134"/>
        <v>1.6534329739765223</v>
      </c>
      <c r="GU33" s="26">
        <f t="shared" si="135"/>
        <v>5.5097676406361975</v>
      </c>
      <c r="GV33" s="26">
        <f t="shared" si="136"/>
        <v>4.6695627978424197</v>
      </c>
      <c r="GW33" s="26">
        <f t="shared" si="43"/>
        <v>3.7994963800465635</v>
      </c>
      <c r="GX33" s="26">
        <f t="shared" si="43"/>
        <v>2.8986226079619626</v>
      </c>
      <c r="GY33" s="26">
        <f t="shared" si="43"/>
        <v>1.9658032847713924</v>
      </c>
      <c r="GZ33" s="26">
        <f t="shared" si="43"/>
        <v>0.99999999999999756</v>
      </c>
      <c r="HA33" s="26">
        <f t="shared" si="43"/>
        <v>0</v>
      </c>
      <c r="HB33" s="26">
        <f t="shared" si="43"/>
        <v>-1.0354810218152162</v>
      </c>
      <c r="HC33" s="26">
        <f t="shared" si="43"/>
        <v>-2.1078887488057654</v>
      </c>
      <c r="HD33" s="26">
        <f t="shared" si="43"/>
        <v>-3.2188526762113447</v>
      </c>
      <c r="HE33" s="26">
        <f t="shared" si="43"/>
        <v>-4.3704238230076831</v>
      </c>
      <c r="HF33" s="26">
        <f t="shared" si="43"/>
        <v>-5.5647027374467291</v>
      </c>
      <c r="HG33" s="26">
        <f t="shared" si="43"/>
        <v>-6.8040554457756439</v>
      </c>
      <c r="HH33" s="26">
        <f t="shared" si="43"/>
        <v>-8.0907138237977723</v>
      </c>
      <c r="HI33" s="26">
        <f t="shared" si="43"/>
        <v>-9.4264284992632064</v>
      </c>
      <c r="HJ33" s="26">
        <f t="shared" si="43"/>
        <v>-10.812684584854368</v>
      </c>
      <c r="HK33" s="26">
        <f t="shared" si="43"/>
        <v>-12.251131044566037</v>
      </c>
      <c r="HL33" s="26">
        <f t="shared" si="137"/>
        <v>-13.743505409604547</v>
      </c>
      <c r="HM33" s="26">
        <f t="shared" si="137"/>
        <v>-15.291815901677321</v>
      </c>
      <c r="HN33" s="26">
        <f t="shared" si="137"/>
        <v>-16.898375192709462</v>
      </c>
      <c r="HO33" s="26">
        <f t="shared" si="137"/>
        <v>-18.565508697750335</v>
      </c>
      <c r="HP33" s="26">
        <f t="shared" si="44"/>
        <v>515036.44466806244</v>
      </c>
      <c r="HQ33" s="26">
        <f t="shared" si="45"/>
        <v>532814.456550312</v>
      </c>
      <c r="HR33" s="26">
        <f t="shared" si="46"/>
        <v>551268.16758802487</v>
      </c>
      <c r="HS33" s="26">
        <f t="shared" si="47"/>
        <v>570408.4420269815</v>
      </c>
      <c r="HT33" s="26">
        <f t="shared" si="48"/>
        <v>590267.57720393687</v>
      </c>
      <c r="HU33" s="26">
        <f t="shared" si="49"/>
        <v>610858.8794366119</v>
      </c>
      <c r="HV33" s="26">
        <f t="shared" si="50"/>
        <v>632215.9078880985</v>
      </c>
      <c r="HW33" s="26">
        <f t="shared" si="51"/>
        <v>654371.50572295918</v>
      </c>
      <c r="HX33" s="26">
        <f t="shared" si="52"/>
        <v>677375.87382666778</v>
      </c>
      <c r="HY33" s="26">
        <f t="shared" si="53"/>
        <v>701295.12613303273</v>
      </c>
      <c r="HZ33" s="26">
        <f t="shared" si="54"/>
        <v>726236.4988440763</v>
      </c>
      <c r="IA33" s="26">
        <f t="shared" si="55"/>
        <v>752312.16316436243</v>
      </c>
      <c r="IB33" s="26">
        <f t="shared" si="56"/>
        <v>779659.59506177192</v>
      </c>
      <c r="IC33" s="26">
        <f t="shared" si="57"/>
        <v>808398.99782158993</v>
      </c>
      <c r="ID33" s="26">
        <f t="shared" si="58"/>
        <v>838594.08631144115</v>
      </c>
      <c r="IE33" s="26">
        <f t="shared" si="59"/>
        <v>870273.76189200545</v>
      </c>
      <c r="IF33" s="26">
        <f t="shared" si="60"/>
        <v>903478.78626437031</v>
      </c>
      <c r="IG33" s="26">
        <f t="shared" si="61"/>
        <v>938254.01305685495</v>
      </c>
      <c r="IH33" s="26">
        <f t="shared" si="62"/>
        <v>974668.65749281098</v>
      </c>
      <c r="II33" s="26">
        <f t="shared" si="63"/>
        <v>-1721943096183.9099</v>
      </c>
      <c r="IJ33" s="26">
        <f t="shared" si="64"/>
        <v>534829.19771313493</v>
      </c>
      <c r="IK33" s="26">
        <f t="shared" si="65"/>
        <v>552276.96817371435</v>
      </c>
      <c r="IL33" s="26">
        <f t="shared" si="66"/>
        <v>570469.42551942251</v>
      </c>
      <c r="IM33" s="26">
        <f t="shared" si="67"/>
        <v>589422.98871185479</v>
      </c>
      <c r="IN33" s="26">
        <f t="shared" si="68"/>
        <v>609176.38916586293</v>
      </c>
      <c r="IO33" s="26">
        <f t="shared" si="69"/>
        <v>629749.2557836296</v>
      </c>
      <c r="IP33" s="26">
        <f t="shared" si="70"/>
        <v>651182.38512474147</v>
      </c>
      <c r="IQ33" s="26">
        <f t="shared" si="71"/>
        <v>673516.24745937274</v>
      </c>
      <c r="IR33" s="26">
        <f t="shared" si="72"/>
        <v>696809.59814199316</v>
      </c>
      <c r="IS33" s="26">
        <f t="shared" si="73"/>
        <v>721138.038167533</v>
      </c>
      <c r="IT33" s="26">
        <f t="shared" si="74"/>
        <v>746619.96848767472</v>
      </c>
      <c r="IU33" s="26">
        <f t="shared" si="75"/>
        <v>773379.5466160177</v>
      </c>
      <c r="IV33" s="26">
        <f t="shared" si="76"/>
        <v>801567.65884264838</v>
      </c>
      <c r="IW33" s="26">
        <f t="shared" si="77"/>
        <v>831318.22844401991</v>
      </c>
      <c r="IX33" s="26">
        <f t="shared" si="78"/>
        <v>862707.85575540899</v>
      </c>
      <c r="IY33" s="26">
        <f t="shared" si="79"/>
        <v>895778.02891001408</v>
      </c>
      <c r="IZ33" s="26">
        <f t="shared" si="80"/>
        <v>930583.14985230146</v>
      </c>
      <c r="JA33" s="26">
        <f t="shared" si="81"/>
        <v>967182.59949269088</v>
      </c>
      <c r="JB33" s="26">
        <f t="shared" si="82"/>
        <v>1005661.6886520165</v>
      </c>
      <c r="JC33" s="26">
        <f t="shared" si="83"/>
        <v>-1773601386138.4407</v>
      </c>
      <c r="JD33" s="26">
        <f t="shared" si="84"/>
        <v>156023.84130035155</v>
      </c>
      <c r="JE33" s="26">
        <f t="shared" si="85"/>
        <v>248049.02208612434</v>
      </c>
      <c r="JF33" s="26">
        <f t="shared" si="86"/>
        <v>343449.58140240458</v>
      </c>
      <c r="JG33" s="26">
        <f t="shared" si="87"/>
        <v>442360.83659025352</v>
      </c>
      <c r="JH33" s="26">
        <f t="shared" si="88"/>
        <v>544890.53473667172</v>
      </c>
      <c r="JI33" s="26">
        <f t="shared" si="89"/>
        <v>651182.38512474147</v>
      </c>
      <c r="JJ33" s="26">
        <f t="shared" si="90"/>
        <v>761385.84263900924</v>
      </c>
      <c r="JK33" s="26">
        <f t="shared" si="91"/>
        <v>875682.34147492307</v>
      </c>
      <c r="JL33" s="26">
        <f t="shared" si="92"/>
        <v>994285.75950940582</v>
      </c>
      <c r="JM33" s="26">
        <f t="shared" si="93"/>
        <v>1117488.5445412635</v>
      </c>
      <c r="JN33" s="26">
        <f t="shared" si="94"/>
        <v>1245593.1039222535</v>
      </c>
      <c r="JO33" s="26">
        <f t="shared" si="95"/>
        <v>1378951.1019037594</v>
      </c>
      <c r="JP33" s="26">
        <f t="shared" si="96"/>
        <v>1517885.8558884421</v>
      </c>
      <c r="JQ33" s="26">
        <f t="shared" si="97"/>
        <v>1662622.5222434807</v>
      </c>
      <c r="JR33" s="26">
        <f t="shared" si="98"/>
        <v>1813328.613864914</v>
      </c>
      <c r="JS33" s="26">
        <f t="shared" si="99"/>
        <v>1970198.4616728583</v>
      </c>
      <c r="JT33" s="26">
        <f t="shared" si="100"/>
        <v>2133438.8912536819</v>
      </c>
      <c r="JU33" s="26">
        <f t="shared" si="101"/>
        <v>2303305.6285538897</v>
      </c>
      <c r="JV33" s="26">
        <f t="shared" si="102"/>
        <v>-1773599952163.9341</v>
      </c>
      <c r="JW33" s="26">
        <f t="shared" si="103"/>
        <v>1731469.1649776204</v>
      </c>
      <c r="JX33" s="26" t="e">
        <f>AH33+$AG$38*0.004*(1+$R$28)*#REF!-S33*#REF!</f>
        <v>#REF!</v>
      </c>
      <c r="JY33" s="34">
        <f t="shared" si="104"/>
        <v>5.0371798152898675E-2</v>
      </c>
      <c r="JZ33" s="4">
        <f t="shared" si="105"/>
        <v>47939.398877871223</v>
      </c>
      <c r="KA33" s="165"/>
      <c r="KB33" s="163">
        <v>6</v>
      </c>
      <c r="KC33" s="163">
        <f>((1+0.035)^(-1))*(1-((1+0.035)^(-m-n+6)))/(1-((1+0.035)^(-1)))</f>
        <v>5.3285530197785027</v>
      </c>
      <c r="KD33" s="163">
        <f>((1+0.035)^(-1))*(1-((1+0.035)^(-m-(n/2)+6/2)))/(1-((1+0.035)^(-1)))</f>
        <v>4.9253008092277426</v>
      </c>
      <c r="KE33" s="61">
        <f>IF(KB33&lt;=n,VLOOKUP(A28+x,A28:KF139,268)*(1-txpen_rachat),0)</f>
        <v>515169.12918763777</v>
      </c>
      <c r="KF33" s="164">
        <f>IF(KB33&lt;=n,VLOOKUP(A28+x,A28:KF139,268),0)</f>
        <v>542283.29388172401</v>
      </c>
    </row>
    <row r="34" spans="1:293" ht="15.75" x14ac:dyDescent="0.3">
      <c r="A34" s="34">
        <v>33</v>
      </c>
      <c r="B34" s="34">
        <v>6</v>
      </c>
      <c r="C34" s="2">
        <v>992105</v>
      </c>
      <c r="D34" s="1">
        <f t="shared" si="106"/>
        <v>332</v>
      </c>
      <c r="E34" s="145">
        <f t="shared" si="107"/>
        <v>0.9996653580014212</v>
      </c>
      <c r="F34" s="146">
        <f t="shared" si="108"/>
        <v>3.3464199857879962E-4</v>
      </c>
      <c r="G34" s="158">
        <f t="shared" si="3"/>
        <v>4.1830249822349952E-4</v>
      </c>
      <c r="H34" s="43">
        <f t="shared" si="109"/>
        <v>414.17648847045677</v>
      </c>
      <c r="I34" s="43">
        <f t="shared" si="139"/>
        <v>990136.30143122352</v>
      </c>
      <c r="J34" s="43">
        <f t="shared" si="110"/>
        <v>991939</v>
      </c>
      <c r="K34" s="147">
        <f>SUM(J34:$J$138)</f>
        <v>67538822.5</v>
      </c>
      <c r="L34" s="147">
        <f t="shared" si="111"/>
        <v>68.076284768245301</v>
      </c>
      <c r="M34" s="43">
        <f t="shared" si="4"/>
        <v>1239923.75</v>
      </c>
      <c r="N34" s="148">
        <f t="shared" si="5"/>
        <v>84423528.125</v>
      </c>
      <c r="O34" s="147">
        <f t="shared" si="6"/>
        <v>85.09535596030662</v>
      </c>
      <c r="P34" s="157">
        <f t="shared" si="7"/>
        <v>805476.51916679565</v>
      </c>
      <c r="Q34" s="43">
        <f t="shared" si="8"/>
        <v>1240131.25</v>
      </c>
      <c r="R34" s="43">
        <f t="shared" si="9"/>
        <v>331.18691370678681</v>
      </c>
      <c r="S34" s="43">
        <f>SUM(R34:$R$138)</f>
        <v>105787.9802322099</v>
      </c>
      <c r="T34" s="43">
        <f t="shared" si="112"/>
        <v>5535323.6461542798</v>
      </c>
      <c r="U34" s="153">
        <f>SUM(P34:$P$138)</f>
        <v>20744138.537668355</v>
      </c>
      <c r="V34" s="129">
        <f t="shared" si="10"/>
        <v>15652443.732161334</v>
      </c>
      <c r="W34" s="43">
        <f t="shared" si="113"/>
        <v>631306.92995567387</v>
      </c>
      <c r="X34" s="26">
        <f t="shared" si="114"/>
        <v>6.3213447994411966</v>
      </c>
      <c r="Y34" s="26">
        <f t="shared" si="115"/>
        <v>0.78376826007133393</v>
      </c>
      <c r="Z34" s="43">
        <f t="shared" si="11"/>
        <v>103766.83936972267</v>
      </c>
      <c r="AA34" s="149">
        <f t="shared" si="116"/>
        <v>2.5092486427511808E-3</v>
      </c>
      <c r="AB34" s="150">
        <f t="shared" si="138"/>
        <v>19938662.018501565</v>
      </c>
      <c r="AC34" s="150">
        <f t="shared" si="117"/>
        <v>15021136.802205658</v>
      </c>
      <c r="AD34" s="26">
        <f t="shared" si="118"/>
        <v>6.1051130595125409</v>
      </c>
      <c r="AE34" s="26">
        <f t="shared" si="12"/>
        <v>515545.94687755668</v>
      </c>
      <c r="AF34" s="43">
        <f t="shared" si="119"/>
        <v>81556.371821883629</v>
      </c>
      <c r="AG34" s="43">
        <f t="shared" si="13"/>
        <v>536345.32050581137</v>
      </c>
      <c r="AH34" s="27">
        <f t="shared" si="14"/>
        <v>88689.515038739861</v>
      </c>
      <c r="AI34" s="28">
        <f t="shared" si="120"/>
        <v>576715.39839334565</v>
      </c>
      <c r="AJ34" s="20">
        <f t="shared" si="15"/>
        <v>95365.069934128886</v>
      </c>
      <c r="AK34" s="3">
        <f t="shared" si="16"/>
        <v>8264.972727624503</v>
      </c>
      <c r="AL34" s="3"/>
      <c r="AM34" s="46">
        <f t="shared" si="121"/>
        <v>19938662.018501565</v>
      </c>
      <c r="AN34" s="46">
        <f t="shared" si="122"/>
        <v>19160749.374707777</v>
      </c>
      <c r="AO34" s="46">
        <f t="shared" si="122"/>
        <v>18409439.460944436</v>
      </c>
      <c r="AP34" s="3">
        <f t="shared" si="17"/>
        <v>17683822.618622076</v>
      </c>
      <c r="AQ34" s="3">
        <f t="shared" si="17"/>
        <v>16983003.49179301</v>
      </c>
      <c r="AR34" s="16">
        <f t="shared" si="17"/>
        <v>16306150.077070862</v>
      </c>
      <c r="AS34" s="16">
        <f t="shared" si="17"/>
        <v>15652443.732161334</v>
      </c>
      <c r="AT34" s="16">
        <f t="shared" si="17"/>
        <v>15021136.802205658</v>
      </c>
      <c r="AU34" s="16">
        <f t="shared" si="17"/>
        <v>14411515.788955677</v>
      </c>
      <c r="AV34" s="16">
        <f t="shared" si="17"/>
        <v>13822910.320268864</v>
      </c>
      <c r="AW34" s="16">
        <f t="shared" si="17"/>
        <v>13254718.342243936</v>
      </c>
      <c r="AX34" s="16">
        <f t="shared" si="17"/>
        <v>12706363.492254766</v>
      </c>
      <c r="AY34" s="16">
        <f t="shared" si="17"/>
        <v>12177298.640637327</v>
      </c>
      <c r="AZ34" s="16">
        <f t="shared" si="17"/>
        <v>11666978.843601737</v>
      </c>
      <c r="BA34" s="16">
        <f t="shared" si="17"/>
        <v>11174833.676019788</v>
      </c>
      <c r="BB34" s="16">
        <f t="shared" si="17"/>
        <v>10700269.162389321</v>
      </c>
      <c r="BC34" s="16">
        <f t="shared" si="17"/>
        <v>10242688.479080243</v>
      </c>
      <c r="BD34" s="16">
        <f t="shared" si="18"/>
        <v>9801501.0660238042</v>
      </c>
      <c r="BE34" s="16">
        <f t="shared" si="18"/>
        <v>9376133.074879365</v>
      </c>
      <c r="BF34" s="16">
        <f t="shared" si="18"/>
        <v>8966033.4692568444</v>
      </c>
      <c r="BG34" s="16">
        <f t="shared" si="18"/>
        <v>8570670.3942497224</v>
      </c>
      <c r="BH34" s="172">
        <f t="shared" si="123"/>
        <v>777912.64379378548</v>
      </c>
      <c r="BI34" s="16">
        <f t="shared" si="19"/>
        <v>751309.91376334231</v>
      </c>
      <c r="BJ34" s="16">
        <f t="shared" si="19"/>
        <v>725616.84232236387</v>
      </c>
      <c r="BK34" s="16">
        <f t="shared" si="19"/>
        <v>700819.12682907446</v>
      </c>
      <c r="BL34" s="16">
        <f t="shared" si="19"/>
        <v>676853.41472214996</v>
      </c>
      <c r="BM34" s="16">
        <f t="shared" si="19"/>
        <v>653706.34490952641</v>
      </c>
      <c r="BN34" s="16">
        <f t="shared" si="19"/>
        <v>631306.92995567387</v>
      </c>
      <c r="BO34" s="16">
        <f t="shared" si="19"/>
        <v>609621.01324998064</v>
      </c>
      <c r="BP34" s="16">
        <f t="shared" si="19"/>
        <v>588605.46868681419</v>
      </c>
      <c r="BQ34" s="16">
        <f t="shared" si="19"/>
        <v>568191.97802492685</v>
      </c>
      <c r="BR34" s="16">
        <f t="shared" si="20"/>
        <v>548354.84998917021</v>
      </c>
      <c r="BS34" s="16">
        <f t="shared" si="20"/>
        <v>529064.85161743569</v>
      </c>
      <c r="BT34" s="16">
        <f t="shared" si="20"/>
        <v>510319.79703559174</v>
      </c>
      <c r="BU34" s="16">
        <f t="shared" si="20"/>
        <v>492145.1675819463</v>
      </c>
      <c r="BV34" s="16">
        <f t="shared" si="20"/>
        <v>474564.51363046817</v>
      </c>
      <c r="BW34" s="16">
        <f t="shared" si="20"/>
        <v>457580.68330907432</v>
      </c>
      <c r="BX34" s="16">
        <f t="shared" si="20"/>
        <v>441187.41305644001</v>
      </c>
      <c r="BY34" s="16">
        <f t="shared" si="20"/>
        <v>425367.99114443822</v>
      </c>
      <c r="BZ34" s="16">
        <f t="shared" si="20"/>
        <v>410099.60562251828</v>
      </c>
      <c r="CA34" s="16">
        <f t="shared" si="20"/>
        <v>395363.07500712067</v>
      </c>
      <c r="CB34" s="16">
        <f t="shared" si="20"/>
        <v>381134.01728635549</v>
      </c>
      <c r="CC34" s="18">
        <f t="shared" si="124"/>
        <v>5.5098966709640624</v>
      </c>
      <c r="CD34" s="18">
        <f t="shared" si="21"/>
        <v>4.6695851848582643</v>
      </c>
      <c r="CE34" s="18">
        <f t="shared" si="21"/>
        <v>3.7995200331337884</v>
      </c>
      <c r="CF34" s="18">
        <f t="shared" si="21"/>
        <v>2.8985779763915933</v>
      </c>
      <c r="CG34" s="18">
        <f t="shared" si="21"/>
        <v>1.9658019457253899</v>
      </c>
      <c r="CH34" s="18">
        <f t="shared" si="21"/>
        <v>1.0000000000000029</v>
      </c>
      <c r="CI34" s="18">
        <f t="shared" si="21"/>
        <v>0</v>
      </c>
      <c r="CJ34" s="18">
        <f t="shared" si="21"/>
        <v>-1.0355727841303972</v>
      </c>
      <c r="CK34" s="18">
        <f t="shared" si="21"/>
        <v>-2.1082507880434438</v>
      </c>
      <c r="CL34" s="18">
        <f t="shared" si="21"/>
        <v>-3.2199212284764207</v>
      </c>
      <c r="CM34" s="18">
        <f t="shared" si="21"/>
        <v>-4.3725798904938147</v>
      </c>
      <c r="CN34" s="18">
        <f t="shared" si="21"/>
        <v>-5.568467137629594</v>
      </c>
      <c r="CO34" s="18">
        <f t="shared" si="21"/>
        <v>-6.809739915462532</v>
      </c>
      <c r="CP34" s="18">
        <f t="shared" si="21"/>
        <v>-8.0981489834419307</v>
      </c>
      <c r="CQ34" s="18">
        <f t="shared" si="21"/>
        <v>-9.435197802480765</v>
      </c>
      <c r="CR34" s="18">
        <f t="shared" si="21"/>
        <v>-10.822516662983894</v>
      </c>
      <c r="CS34" s="18">
        <f t="shared" si="21"/>
        <v>-12.261807778249182</v>
      </c>
      <c r="CT34" s="18">
        <f t="shared" si="125"/>
        <v>-13.755013983059152</v>
      </c>
      <c r="CU34" s="18">
        <f t="shared" si="125"/>
        <v>-15.304356725129562</v>
      </c>
      <c r="CV34" s="18">
        <f t="shared" si="125"/>
        <v>-16.91207572377381</v>
      </c>
      <c r="CW34" s="18">
        <f t="shared" si="22"/>
        <v>-18.580795774497606</v>
      </c>
      <c r="CX34" s="17">
        <f t="shared" si="23"/>
        <v>301.64958009979046</v>
      </c>
      <c r="CY34" s="17">
        <f t="shared" si="126"/>
        <v>291.42586734785783</v>
      </c>
      <c r="CZ34" s="17">
        <f t="shared" si="126"/>
        <v>264.45784358403102</v>
      </c>
      <c r="DA34" s="17">
        <f t="shared" si="126"/>
        <v>271.13847535729514</v>
      </c>
      <c r="DB34" s="17">
        <f t="shared" si="126"/>
        <v>262.78849250463281</v>
      </c>
      <c r="DC34" s="17">
        <f t="shared" si="126"/>
        <v>298.49368988683381</v>
      </c>
      <c r="DD34" s="17">
        <f t="shared" si="24"/>
        <v>343.22643576547995</v>
      </c>
      <c r="DE34" s="17">
        <f t="shared" si="24"/>
        <v>407.28693547186185</v>
      </c>
      <c r="DF34" s="3" t="e">
        <f>#REF!+$AG$35*0.004*(1+$R$28)*#REF!-S34*#REF!</f>
        <v>#REF!</v>
      </c>
      <c r="DG34" s="19">
        <f t="shared" si="25"/>
        <v>1056.1377735320596</v>
      </c>
      <c r="DH34" s="19">
        <f t="shared" si="26"/>
        <v>930.8474573693195</v>
      </c>
      <c r="DI34" s="19">
        <f t="shared" si="27"/>
        <v>784.73856333249103</v>
      </c>
      <c r="DJ34" s="19">
        <f t="shared" si="28"/>
        <v>668.0502491215766</v>
      </c>
      <c r="DK34" s="19">
        <f t="shared" si="29"/>
        <v>531.9721899942773</v>
      </c>
      <c r="DL34" s="19">
        <f t="shared" si="30"/>
        <v>435.42696440870589</v>
      </c>
      <c r="DM34" s="19">
        <f t="shared" si="31"/>
        <v>343.22643576547995</v>
      </c>
      <c r="DN34" s="19">
        <f t="shared" si="32"/>
        <v>265.4825631351552</v>
      </c>
      <c r="DO34" s="173">
        <f t="shared" si="127"/>
        <v>105456.7933185031</v>
      </c>
      <c r="DP34" s="25">
        <f t="shared" si="33"/>
        <v>105155.14373840331</v>
      </c>
      <c r="DQ34" s="26">
        <f t="shared" si="33"/>
        <v>104863.71787105547</v>
      </c>
      <c r="DR34" s="26">
        <f t="shared" si="33"/>
        <v>104599.26002747144</v>
      </c>
      <c r="DS34" s="26">
        <f t="shared" si="33"/>
        <v>104328.12155211414</v>
      </c>
      <c r="DT34" s="26">
        <f t="shared" si="33"/>
        <v>104065.33305960952</v>
      </c>
      <c r="DU34" s="26">
        <f t="shared" si="33"/>
        <v>103766.83936972267</v>
      </c>
      <c r="DV34" s="26">
        <f t="shared" si="33"/>
        <v>103423.61293395719</v>
      </c>
      <c r="DW34" s="26">
        <f t="shared" si="33"/>
        <v>103016.32599848532</v>
      </c>
      <c r="DX34" s="26">
        <f t="shared" si="33"/>
        <v>102498.53793024956</v>
      </c>
      <c r="DY34" s="26">
        <f t="shared" si="33"/>
        <v>101864.82425786875</v>
      </c>
      <c r="DZ34" s="26">
        <f t="shared" si="33"/>
        <v>101105.27351641076</v>
      </c>
      <c r="EA34" s="26">
        <f t="shared" si="33"/>
        <v>100236.48487711092</v>
      </c>
      <c r="EB34" s="26">
        <f t="shared" si="33"/>
        <v>99303.129534979467</v>
      </c>
      <c r="EC34" s="26">
        <f t="shared" si="33"/>
        <v>98348.790857044893</v>
      </c>
      <c r="ED34" s="26">
        <f t="shared" si="33"/>
        <v>97396.800997133396</v>
      </c>
      <c r="EE34" s="26">
        <f t="shared" si="33"/>
        <v>96461.320321095467</v>
      </c>
      <c r="EF34" s="26">
        <f t="shared" si="34"/>
        <v>95545.664271464426</v>
      </c>
      <c r="EG34" s="26">
        <f t="shared" si="34"/>
        <v>94646.3672969162</v>
      </c>
      <c r="EH34" s="26">
        <f t="shared" si="34"/>
        <v>93762.872497552977</v>
      </c>
      <c r="EI34" s="26">
        <f t="shared" si="34"/>
        <v>92888.672315653326</v>
      </c>
      <c r="EJ34" s="26">
        <f t="shared" si="128"/>
        <v>2.1724212381209391E-3</v>
      </c>
      <c r="EK34" s="26">
        <f t="shared" si="129"/>
        <v>1.8478451345418302E-3</v>
      </c>
      <c r="EL34" s="26">
        <f t="shared" si="36"/>
        <v>1.5116497266273489E-3</v>
      </c>
      <c r="EM34" s="26">
        <f t="shared" si="36"/>
        <v>1.1877824475412559E-3</v>
      </c>
      <c r="EN34" s="26">
        <f t="shared" si="36"/>
        <v>8.2925219875248576E-4</v>
      </c>
      <c r="EO34" s="26">
        <f t="shared" si="36"/>
        <v>4.5661739741589797E-4</v>
      </c>
      <c r="EP34" s="26">
        <f t="shared" si="36"/>
        <v>0</v>
      </c>
      <c r="EQ34" s="26">
        <f t="shared" si="36"/>
        <v>-5.6301608426469283E-4</v>
      </c>
      <c r="ER34" s="26">
        <f t="shared" si="36"/>
        <v>-1.2750703334642034E-3</v>
      </c>
      <c r="ES34" s="26">
        <f t="shared" si="36"/>
        <v>-2.2321706193069017E-3</v>
      </c>
      <c r="ET34" s="26">
        <f t="shared" si="36"/>
        <v>-3.4685844611230948E-3</v>
      </c>
      <c r="EU34" s="26">
        <f t="shared" si="36"/>
        <v>-5.0306986850006787E-3</v>
      </c>
      <c r="EV34" s="26">
        <f t="shared" si="36"/>
        <v>-6.9179258047978994E-3</v>
      </c>
      <c r="EW34" s="26">
        <f t="shared" si="36"/>
        <v>-9.0699048345323011E-3</v>
      </c>
      <c r="EX34" s="26">
        <f t="shared" si="36"/>
        <v>-1.1416885074758626E-2</v>
      </c>
      <c r="EY34" s="26">
        <f t="shared" si="36"/>
        <v>-1.3921126054804661E-2</v>
      </c>
      <c r="EZ34" s="26">
        <f t="shared" si="36"/>
        <v>-1.6558765804346797E-2</v>
      </c>
      <c r="FA34" s="26">
        <f t="shared" si="37"/>
        <v>-1.9327206723146823E-2</v>
      </c>
      <c r="FB34" s="26">
        <f t="shared" si="37"/>
        <v>-2.2239650923247981E-2</v>
      </c>
      <c r="FC34" s="26">
        <f t="shared" si="37"/>
        <v>-2.5303240248193432E-2</v>
      </c>
      <c r="FD34" s="26">
        <f t="shared" si="37"/>
        <v>-2.8541580023533578E-2</v>
      </c>
      <c r="FE34" s="26">
        <f t="shared" si="130"/>
        <v>5.321436289187603</v>
      </c>
      <c r="FF34" s="26">
        <f t="shared" si="38"/>
        <v>4.509860174434051</v>
      </c>
      <c r="FG34" s="26">
        <f t="shared" si="38"/>
        <v>3.6695479778203501</v>
      </c>
      <c r="FH34" s="26">
        <f t="shared" si="38"/>
        <v>2.7993909048458949</v>
      </c>
      <c r="FI34" s="26">
        <f t="shared" si="38"/>
        <v>1.8985104409833047</v>
      </c>
      <c r="FJ34" s="26">
        <f t="shared" si="38"/>
        <v>0.96573474446396823</v>
      </c>
      <c r="FK34" s="26">
        <f t="shared" si="38"/>
        <v>0</v>
      </c>
      <c r="FL34" s="26">
        <f t="shared" si="38"/>
        <v>-0.99999999999999944</v>
      </c>
      <c r="FM34" s="26">
        <f t="shared" si="38"/>
        <v>-2.0357039573724167</v>
      </c>
      <c r="FN34" s="26">
        <f t="shared" si="38"/>
        <v>-3.108840899341645</v>
      </c>
      <c r="FO34" s="26">
        <f t="shared" si="38"/>
        <v>-4.2213054375220862</v>
      </c>
      <c r="FP34" s="26">
        <f t="shared" si="38"/>
        <v>-5.3752165785995105</v>
      </c>
      <c r="FQ34" s="26">
        <f t="shared" si="38"/>
        <v>-6.5726589054313882</v>
      </c>
      <c r="FR34" s="26">
        <f t="shared" si="38"/>
        <v>-7.8153833046535564</v>
      </c>
      <c r="FS34" s="26">
        <f t="shared" si="38"/>
        <v>-9.1049109567026978</v>
      </c>
      <c r="FT34" s="26">
        <f t="shared" si="38"/>
        <v>-10.442854118249123</v>
      </c>
      <c r="FU34" s="26">
        <f t="shared" si="38"/>
        <v>-11.830880894859343</v>
      </c>
      <c r="FV34" s="26">
        <f t="shared" si="131"/>
        <v>-13.270870974890707</v>
      </c>
      <c r="FW34" s="26">
        <f t="shared" si="131"/>
        <v>-14.764957707670451</v>
      </c>
      <c r="FX34" s="26">
        <f t="shared" si="39"/>
        <v>14411515.788955677</v>
      </c>
      <c r="FY34" s="26">
        <f t="shared" si="40"/>
        <v>588605.46868681419</v>
      </c>
      <c r="FZ34" s="26">
        <f t="shared" si="132"/>
        <v>0.8115396182235407</v>
      </c>
      <c r="GA34" s="26">
        <f t="shared" si="133"/>
        <v>0.84027498957578162</v>
      </c>
      <c r="GB34" s="26">
        <f t="shared" si="42"/>
        <v>0.87002794468655442</v>
      </c>
      <c r="GC34" s="26">
        <f t="shared" si="42"/>
        <v>0.90081292845428551</v>
      </c>
      <c r="GD34" s="26">
        <f t="shared" si="42"/>
        <v>0.93270849525790889</v>
      </c>
      <c r="GE34" s="26">
        <f t="shared" si="42"/>
        <v>0.96573474446396468</v>
      </c>
      <c r="GF34" s="26">
        <f t="shared" si="42"/>
        <v>1</v>
      </c>
      <c r="GG34" s="26">
        <f t="shared" si="42"/>
        <v>1.0355727841303934</v>
      </c>
      <c r="GH34" s="26">
        <f t="shared" si="42"/>
        <v>1.0725468306710217</v>
      </c>
      <c r="GI34" s="26">
        <f t="shared" si="42"/>
        <v>1.1110803291347737</v>
      </c>
      <c r="GJ34" s="26">
        <f t="shared" si="42"/>
        <v>1.1512744529717243</v>
      </c>
      <c r="GK34" s="26">
        <f t="shared" si="42"/>
        <v>1.1932505590300846</v>
      </c>
      <c r="GL34" s="26">
        <f t="shared" si="42"/>
        <v>1.2370810100311354</v>
      </c>
      <c r="GM34" s="26">
        <f t="shared" si="42"/>
        <v>1.282765678788375</v>
      </c>
      <c r="GN34" s="26">
        <f t="shared" si="42"/>
        <v>1.3302868457780583</v>
      </c>
      <c r="GO34" s="26">
        <f t="shared" si="42"/>
        <v>1.3796625447347732</v>
      </c>
      <c r="GP34" s="26">
        <f t="shared" si="42"/>
        <v>1.4309268833898312</v>
      </c>
      <c r="GQ34" s="26">
        <f t="shared" si="134"/>
        <v>1.4841430081684424</v>
      </c>
      <c r="GR34" s="26">
        <f t="shared" si="134"/>
        <v>1.5393990174591117</v>
      </c>
      <c r="GS34" s="26">
        <f t="shared" si="134"/>
        <v>1.59677767061151</v>
      </c>
      <c r="GT34" s="26">
        <f t="shared" si="134"/>
        <v>1.6563909315954792</v>
      </c>
      <c r="GU34" s="26">
        <f t="shared" si="135"/>
        <v>5.5098966709640624</v>
      </c>
      <c r="GV34" s="26">
        <f t="shared" si="136"/>
        <v>4.6695851848582643</v>
      </c>
      <c r="GW34" s="26">
        <f t="shared" si="43"/>
        <v>3.7995200331337884</v>
      </c>
      <c r="GX34" s="26">
        <f t="shared" si="43"/>
        <v>2.8985779763915933</v>
      </c>
      <c r="GY34" s="26">
        <f t="shared" si="43"/>
        <v>1.9658019457253899</v>
      </c>
      <c r="GZ34" s="26">
        <f t="shared" si="43"/>
        <v>1.0000000000000029</v>
      </c>
      <c r="HA34" s="26">
        <f t="shared" si="43"/>
        <v>0</v>
      </c>
      <c r="HB34" s="26">
        <f t="shared" si="43"/>
        <v>-1.0355727841303972</v>
      </c>
      <c r="HC34" s="26">
        <f t="shared" si="43"/>
        <v>-2.1082507880434438</v>
      </c>
      <c r="HD34" s="26">
        <f t="shared" si="43"/>
        <v>-3.2199212284764207</v>
      </c>
      <c r="HE34" s="26">
        <f t="shared" si="43"/>
        <v>-4.3725798904938147</v>
      </c>
      <c r="HF34" s="26">
        <f t="shared" si="43"/>
        <v>-5.568467137629594</v>
      </c>
      <c r="HG34" s="26">
        <f t="shared" si="43"/>
        <v>-6.809739915462532</v>
      </c>
      <c r="HH34" s="26">
        <f t="shared" si="43"/>
        <v>-8.0981489834419307</v>
      </c>
      <c r="HI34" s="26">
        <f t="shared" si="43"/>
        <v>-9.435197802480765</v>
      </c>
      <c r="HJ34" s="26">
        <f t="shared" si="43"/>
        <v>-10.822516662983894</v>
      </c>
      <c r="HK34" s="26">
        <f t="shared" si="43"/>
        <v>-12.261807778249182</v>
      </c>
      <c r="HL34" s="26">
        <f t="shared" si="137"/>
        <v>-13.755013983059152</v>
      </c>
      <c r="HM34" s="26">
        <f t="shared" si="137"/>
        <v>-15.304356725129562</v>
      </c>
      <c r="HN34" s="26">
        <f t="shared" si="137"/>
        <v>-16.91207572377381</v>
      </c>
      <c r="HO34" s="26">
        <f t="shared" si="137"/>
        <v>-18.580795774497606</v>
      </c>
      <c r="HP34" s="26">
        <f t="shared" si="44"/>
        <v>515023.5879482826</v>
      </c>
      <c r="HQ34" s="26">
        <f t="shared" si="45"/>
        <v>532815.27968020283</v>
      </c>
      <c r="HR34" s="26">
        <f t="shared" si="46"/>
        <v>551268.95834351727</v>
      </c>
      <c r="HS34" s="26">
        <f t="shared" si="47"/>
        <v>570418.57350875891</v>
      </c>
      <c r="HT34" s="26">
        <f t="shared" si="48"/>
        <v>590271.59337010013</v>
      </c>
      <c r="HU34" s="26">
        <f t="shared" si="49"/>
        <v>610862.79805870436</v>
      </c>
      <c r="HV34" s="26">
        <f t="shared" si="50"/>
        <v>632215.9078880985</v>
      </c>
      <c r="HW34" s="26">
        <f t="shared" si="51"/>
        <v>654376.85498653061</v>
      </c>
      <c r="HX34" s="26">
        <f t="shared" si="52"/>
        <v>677404.62776200625</v>
      </c>
      <c r="HY34" s="26">
        <f t="shared" si="53"/>
        <v>701391.82756069792</v>
      </c>
      <c r="HZ34" s="26">
        <f t="shared" si="54"/>
        <v>726442.9019442749</v>
      </c>
      <c r="IA34" s="26">
        <f t="shared" si="55"/>
        <v>752685.35788421857</v>
      </c>
      <c r="IB34" s="26">
        <f t="shared" si="56"/>
        <v>780235.3991963634</v>
      </c>
      <c r="IC34" s="26">
        <f t="shared" si="57"/>
        <v>809161.504594962</v>
      </c>
      <c r="ID34" s="26">
        <f t="shared" si="58"/>
        <v>839499.59326197056</v>
      </c>
      <c r="IE34" s="26">
        <f t="shared" si="59"/>
        <v>871293.37373010884</v>
      </c>
      <c r="IF34" s="26">
        <f t="shared" si="60"/>
        <v>904588.9169242857</v>
      </c>
      <c r="IG34" s="26">
        <f t="shared" si="61"/>
        <v>939453.39347722277</v>
      </c>
      <c r="IH34" s="26">
        <f t="shared" si="62"/>
        <v>975979.55780806276</v>
      </c>
      <c r="II34" s="26">
        <f t="shared" si="63"/>
        <v>-1652059425617.1968</v>
      </c>
      <c r="IJ34" s="26">
        <f t="shared" si="64"/>
        <v>534816.05696678895</v>
      </c>
      <c r="IK34" s="26">
        <f t="shared" si="65"/>
        <v>552277.83267225057</v>
      </c>
      <c r="IL34" s="26">
        <f t="shared" si="66"/>
        <v>570470.25657693669</v>
      </c>
      <c r="IM34" s="26">
        <f t="shared" si="67"/>
        <v>589433.39484750375</v>
      </c>
      <c r="IN34" s="26">
        <f t="shared" si="68"/>
        <v>609180.52499907278</v>
      </c>
      <c r="IO34" s="26">
        <f t="shared" si="69"/>
        <v>629753.29196438484</v>
      </c>
      <c r="IP34" s="26">
        <f t="shared" si="70"/>
        <v>651182.38512474147</v>
      </c>
      <c r="IQ34" s="26">
        <f t="shared" si="71"/>
        <v>673521.7140967244</v>
      </c>
      <c r="IR34" s="26">
        <f t="shared" si="72"/>
        <v>696839.06225441815</v>
      </c>
      <c r="IS34" s="26">
        <f t="shared" si="73"/>
        <v>721237.24362505681</v>
      </c>
      <c r="IT34" s="26">
        <f t="shared" si="74"/>
        <v>746831.87122837559</v>
      </c>
      <c r="IU34" s="26">
        <f t="shared" si="75"/>
        <v>773762.92111974163</v>
      </c>
      <c r="IV34" s="26">
        <f t="shared" si="76"/>
        <v>802159.49919020629</v>
      </c>
      <c r="IW34" s="26">
        <f t="shared" si="77"/>
        <v>832102.38566715783</v>
      </c>
      <c r="IX34" s="26">
        <f t="shared" si="78"/>
        <v>863639.55664324504</v>
      </c>
      <c r="IY34" s="26">
        <f t="shared" si="79"/>
        <v>896827.67992949858</v>
      </c>
      <c r="IZ34" s="26">
        <f t="shared" si="80"/>
        <v>931726.58443201426</v>
      </c>
      <c r="JA34" s="26">
        <f t="shared" si="81"/>
        <v>968418.61529311235</v>
      </c>
      <c r="JB34" s="26">
        <f t="shared" si="82"/>
        <v>1007013.3535891988</v>
      </c>
      <c r="JC34" s="26">
        <f t="shared" si="83"/>
        <v>-1701621205452.3496</v>
      </c>
      <c r="JD34" s="26">
        <f t="shared" si="84"/>
        <v>156078.88417898194</v>
      </c>
      <c r="JE34" s="26">
        <f t="shared" si="85"/>
        <v>248093.47527566395</v>
      </c>
      <c r="JF34" s="26">
        <f t="shared" si="86"/>
        <v>343498.58460012346</v>
      </c>
      <c r="JG34" s="26">
        <f t="shared" si="87"/>
        <v>442388.69381716423</v>
      </c>
      <c r="JH34" s="26">
        <f t="shared" si="88"/>
        <v>544906.58014552854</v>
      </c>
      <c r="JI34" s="26">
        <f t="shared" si="89"/>
        <v>651182.38512474147</v>
      </c>
      <c r="JJ34" s="26">
        <f t="shared" si="90"/>
        <v>761386.65967928653</v>
      </c>
      <c r="JK34" s="26">
        <f t="shared" si="91"/>
        <v>875717.20930941636</v>
      </c>
      <c r="JL34" s="26">
        <f t="shared" si="92"/>
        <v>994436.97217701247</v>
      </c>
      <c r="JM34" s="26">
        <f t="shared" si="93"/>
        <v>1117830.8971020293</v>
      </c>
      <c r="JN34" s="26">
        <f t="shared" si="94"/>
        <v>1246229.0476189698</v>
      </c>
      <c r="JO34" s="26">
        <f t="shared" si="95"/>
        <v>1379943.5393588166</v>
      </c>
      <c r="JP34" s="26">
        <f t="shared" si="96"/>
        <v>1519203.6987314168</v>
      </c>
      <c r="JQ34" s="26">
        <f t="shared" si="97"/>
        <v>1664185.0655442341</v>
      </c>
      <c r="JR34" s="26">
        <f t="shared" si="98"/>
        <v>1815082.6323884602</v>
      </c>
      <c r="JS34" s="26">
        <f t="shared" si="99"/>
        <v>1972100.6553713295</v>
      </c>
      <c r="JT34" s="26">
        <f t="shared" si="100"/>
        <v>2135486.3227780671</v>
      </c>
      <c r="JU34" s="26">
        <f t="shared" si="101"/>
        <v>2305537.6982192378</v>
      </c>
      <c r="JV34" s="26">
        <f t="shared" si="102"/>
        <v>-1701619770518.3345</v>
      </c>
      <c r="JW34" s="26">
        <f t="shared" si="103"/>
        <v>1732598.3086227977</v>
      </c>
      <c r="JX34" s="26" t="e">
        <f>AH34+$AG$38*0.004*(1+$R$28)*#REF!-S34*#REF!</f>
        <v>#REF!</v>
      </c>
      <c r="JY34" s="34">
        <f t="shared" si="104"/>
        <v>5.0334641998578802E-2</v>
      </c>
      <c r="JZ34" s="4">
        <f t="shared" si="105"/>
        <v>47981.025523347722</v>
      </c>
      <c r="KA34" s="165"/>
      <c r="KB34" s="163">
        <v>7</v>
      </c>
      <c r="KC34" s="163">
        <f>((1+0.035)^(-1))*(1-((1+0.035)^(-m-n+7)))/(1-((1+0.035)^(-1)))</f>
        <v>4.5150523754707477</v>
      </c>
      <c r="KD34" s="163">
        <f>((1+0.035)^(-1))*(1-((1+0.035)^(-m-(n/2)+7/2)))/(1-((1+0.035)^(-1)))</f>
        <v>4.5150523754707477</v>
      </c>
      <c r="KE34" s="61">
        <f>IF(KB34&lt;=n,VLOOKUP(A28+x,A28:KF139,269)*(1-txpen_rachat),0)</f>
        <v>618623.26586850442</v>
      </c>
      <c r="KF34" s="174">
        <f>IF(KB34&lt;=n,VLOOKUP(A28+x,A28:KF139,269),0)</f>
        <v>651182.38512474147</v>
      </c>
    </row>
    <row r="35" spans="1:293" ht="15" customHeight="1" x14ac:dyDescent="0.3">
      <c r="A35" s="34">
        <v>34</v>
      </c>
      <c r="B35" s="34">
        <v>7</v>
      </c>
      <c r="C35" s="2">
        <v>991773</v>
      </c>
      <c r="D35" s="1">
        <f t="shared" si="106"/>
        <v>313</v>
      </c>
      <c r="E35" s="145">
        <f t="shared" si="107"/>
        <v>0.99968440358832111</v>
      </c>
      <c r="F35" s="146">
        <f t="shared" si="108"/>
        <v>3.1559641167888675E-4</v>
      </c>
      <c r="G35" s="158">
        <f t="shared" si="3"/>
        <v>3.9449551459860843E-4</v>
      </c>
      <c r="H35" s="43">
        <f t="shared" si="109"/>
        <v>390.44093898891964</v>
      </c>
      <c r="I35" s="43">
        <f t="shared" si="139"/>
        <v>989722.12494275311</v>
      </c>
      <c r="J35" s="43">
        <f t="shared" si="110"/>
        <v>991616.5</v>
      </c>
      <c r="K35" s="147">
        <f>SUM(J35:$J$138)</f>
        <v>66546883.5</v>
      </c>
      <c r="L35" s="147">
        <f t="shared" si="111"/>
        <v>67.098906201318243</v>
      </c>
      <c r="M35" s="43">
        <f t="shared" si="4"/>
        <v>1239520.625</v>
      </c>
      <c r="N35" s="148">
        <f t="shared" si="5"/>
        <v>83183604.375</v>
      </c>
      <c r="O35" s="147">
        <f t="shared" si="6"/>
        <v>83.873632751647804</v>
      </c>
      <c r="P35" s="157">
        <f t="shared" si="7"/>
        <v>777912.64379378548</v>
      </c>
      <c r="Q35" s="43">
        <f t="shared" si="8"/>
        <v>1239716.25</v>
      </c>
      <c r="R35" s="43">
        <f t="shared" si="9"/>
        <v>301.64958009979046</v>
      </c>
      <c r="S35" s="43">
        <f>SUM(R35:$R$138)</f>
        <v>105456.7933185031</v>
      </c>
      <c r="T35" s="43">
        <f t="shared" si="112"/>
        <v>5429535.6659220699</v>
      </c>
      <c r="U35" s="153">
        <f>SUM(P35:$P$138)</f>
        <v>19938662.018501565</v>
      </c>
      <c r="V35" s="129">
        <f t="shared" si="10"/>
        <v>15021136.802205658</v>
      </c>
      <c r="W35" s="43">
        <f t="shared" si="113"/>
        <v>609621.01324998064</v>
      </c>
      <c r="X35" s="26">
        <f t="shared" si="114"/>
        <v>6.3214362891876057</v>
      </c>
      <c r="Y35" s="26">
        <f t="shared" si="115"/>
        <v>0.78366255917493899</v>
      </c>
      <c r="Z35" s="43">
        <f t="shared" si="11"/>
        <v>103423.61293395719</v>
      </c>
      <c r="AA35" s="149">
        <f t="shared" si="116"/>
        <v>2.6136358635724614E-3</v>
      </c>
      <c r="AB35" s="150">
        <f t="shared" si="138"/>
        <v>19160749.374707777</v>
      </c>
      <c r="AC35" s="150">
        <f t="shared" si="117"/>
        <v>14411515.788955677</v>
      </c>
      <c r="AD35" s="26">
        <f t="shared" si="118"/>
        <v>6.1050988483625419</v>
      </c>
      <c r="AE35" s="26">
        <f t="shared" si="12"/>
        <v>515541.44218012184</v>
      </c>
      <c r="AF35" s="43">
        <f t="shared" si="119"/>
        <v>81554.47885505404</v>
      </c>
      <c r="AG35" s="43">
        <f t="shared" si="13"/>
        <v>536340.75785267225</v>
      </c>
      <c r="AH35" s="27">
        <f t="shared" si="14"/>
        <v>88687.565282905387</v>
      </c>
      <c r="AI35" s="28">
        <f t="shared" si="120"/>
        <v>576710.49231470143</v>
      </c>
      <c r="AJ35" s="20">
        <f t="shared" si="15"/>
        <v>95362.973422478914</v>
      </c>
      <c r="AK35" s="3">
        <f t="shared" si="16"/>
        <v>8264.7910299481737</v>
      </c>
      <c r="AL35" s="3"/>
      <c r="AM35" s="46">
        <f t="shared" si="121"/>
        <v>19160749.374707777</v>
      </c>
      <c r="AN35" s="46">
        <f t="shared" si="122"/>
        <v>18409439.460944436</v>
      </c>
      <c r="AO35" s="46">
        <f t="shared" si="122"/>
        <v>17683822.618622076</v>
      </c>
      <c r="AP35" s="3">
        <f t="shared" si="17"/>
        <v>16983003.49179301</v>
      </c>
      <c r="AQ35" s="3">
        <f t="shared" si="17"/>
        <v>16306150.077070862</v>
      </c>
      <c r="AR35" s="16">
        <f t="shared" si="17"/>
        <v>15652443.732161334</v>
      </c>
      <c r="AS35" s="16">
        <f t="shared" si="17"/>
        <v>15021136.802205658</v>
      </c>
      <c r="AT35" s="16">
        <f t="shared" si="17"/>
        <v>14411515.788955677</v>
      </c>
      <c r="AU35" s="16">
        <f t="shared" si="17"/>
        <v>13822910.320268864</v>
      </c>
      <c r="AV35" s="16">
        <f t="shared" si="17"/>
        <v>13254718.342243936</v>
      </c>
      <c r="AW35" s="16">
        <f t="shared" si="17"/>
        <v>12706363.492254766</v>
      </c>
      <c r="AX35" s="16">
        <f t="shared" si="17"/>
        <v>12177298.640637327</v>
      </c>
      <c r="AY35" s="16">
        <f t="shared" si="17"/>
        <v>11666978.843601737</v>
      </c>
      <c r="AZ35" s="16">
        <f t="shared" si="17"/>
        <v>11174833.676019788</v>
      </c>
      <c r="BA35" s="16">
        <f t="shared" si="17"/>
        <v>10700269.162389321</v>
      </c>
      <c r="BB35" s="16">
        <f t="shared" si="17"/>
        <v>10242688.479080243</v>
      </c>
      <c r="BC35" s="16">
        <f t="shared" si="17"/>
        <v>9801501.0660238042</v>
      </c>
      <c r="BD35" s="16">
        <f t="shared" si="18"/>
        <v>9376133.074879365</v>
      </c>
      <c r="BE35" s="16">
        <f t="shared" si="18"/>
        <v>8966033.4692568444</v>
      </c>
      <c r="BF35" s="16">
        <f t="shared" si="18"/>
        <v>8570670.3942497224</v>
      </c>
      <c r="BG35" s="16">
        <f t="shared" si="18"/>
        <v>8189536.3769633677</v>
      </c>
      <c r="BH35" s="172">
        <f t="shared" si="123"/>
        <v>751309.91376334231</v>
      </c>
      <c r="BI35" s="16">
        <f t="shared" si="19"/>
        <v>725616.84232236387</v>
      </c>
      <c r="BJ35" s="16">
        <f t="shared" si="19"/>
        <v>700819.12682907446</v>
      </c>
      <c r="BK35" s="16">
        <f t="shared" si="19"/>
        <v>676853.41472214996</v>
      </c>
      <c r="BL35" s="16">
        <f t="shared" si="19"/>
        <v>653706.34490952641</v>
      </c>
      <c r="BM35" s="16">
        <f t="shared" si="19"/>
        <v>631306.92995567387</v>
      </c>
      <c r="BN35" s="16">
        <f t="shared" si="19"/>
        <v>609621.01324998064</v>
      </c>
      <c r="BO35" s="16">
        <f t="shared" si="19"/>
        <v>588605.46868681419</v>
      </c>
      <c r="BP35" s="16">
        <f t="shared" si="19"/>
        <v>568191.97802492685</v>
      </c>
      <c r="BQ35" s="16">
        <f t="shared" si="19"/>
        <v>548354.84998917021</v>
      </c>
      <c r="BR35" s="16">
        <f t="shared" si="20"/>
        <v>529064.85161743569</v>
      </c>
      <c r="BS35" s="16">
        <f t="shared" si="20"/>
        <v>510319.79703559174</v>
      </c>
      <c r="BT35" s="16">
        <f t="shared" si="20"/>
        <v>492145.1675819463</v>
      </c>
      <c r="BU35" s="16">
        <f t="shared" si="20"/>
        <v>474564.51363046817</v>
      </c>
      <c r="BV35" s="16">
        <f t="shared" si="20"/>
        <v>457580.68330907432</v>
      </c>
      <c r="BW35" s="16">
        <f t="shared" si="20"/>
        <v>441187.41305644001</v>
      </c>
      <c r="BX35" s="16">
        <f t="shared" si="20"/>
        <v>425367.99114443822</v>
      </c>
      <c r="BY35" s="16">
        <f t="shared" si="20"/>
        <v>410099.60562251828</v>
      </c>
      <c r="BZ35" s="16">
        <f t="shared" si="20"/>
        <v>395363.07500712067</v>
      </c>
      <c r="CA35" s="16">
        <f t="shared" si="20"/>
        <v>381134.01728635549</v>
      </c>
      <c r="CB35" s="16">
        <f t="shared" si="20"/>
        <v>367394.72658443713</v>
      </c>
      <c r="CC35" s="18">
        <f t="shared" si="124"/>
        <v>5.5098601744340492</v>
      </c>
      <c r="CD35" s="18">
        <f t="shared" si="21"/>
        <v>4.6695479778203461</v>
      </c>
      <c r="CE35" s="18">
        <f t="shared" si="21"/>
        <v>3.799390904845882</v>
      </c>
      <c r="CF35" s="18">
        <f t="shared" si="21"/>
        <v>2.8985104409833022</v>
      </c>
      <c r="CG35" s="18">
        <f t="shared" si="21"/>
        <v>1.9657347444639712</v>
      </c>
      <c r="CH35" s="18">
        <f t="shared" si="21"/>
        <v>1.0000000000000038</v>
      </c>
      <c r="CI35" s="18">
        <f t="shared" si="21"/>
        <v>0</v>
      </c>
      <c r="CJ35" s="18">
        <f t="shared" si="21"/>
        <v>-1.035703957372418</v>
      </c>
      <c r="CK35" s="18">
        <f t="shared" si="21"/>
        <v>-2.1088408993416428</v>
      </c>
      <c r="CL35" s="18">
        <f t="shared" si="21"/>
        <v>-3.2213054375220858</v>
      </c>
      <c r="CM35" s="18">
        <f t="shared" si="21"/>
        <v>-4.3752165785995052</v>
      </c>
      <c r="CN35" s="18">
        <f t="shared" si="21"/>
        <v>-5.5726589054313918</v>
      </c>
      <c r="CO35" s="18">
        <f t="shared" si="21"/>
        <v>-6.8153833046535501</v>
      </c>
      <c r="CP35" s="18">
        <f t="shared" si="21"/>
        <v>-8.1049109567027013</v>
      </c>
      <c r="CQ35" s="18">
        <f t="shared" si="21"/>
        <v>-9.4428541182491141</v>
      </c>
      <c r="CR35" s="18">
        <f t="shared" si="21"/>
        <v>-10.830880894859344</v>
      </c>
      <c r="CS35" s="18">
        <f t="shared" si="21"/>
        <v>-12.270870974890705</v>
      </c>
      <c r="CT35" s="18">
        <f t="shared" si="125"/>
        <v>-13.764957707670444</v>
      </c>
      <c r="CU35" s="18">
        <f t="shared" si="125"/>
        <v>-15.315298053162294</v>
      </c>
      <c r="CV35" s="18">
        <f t="shared" si="125"/>
        <v>-16.924404842902121</v>
      </c>
      <c r="CW35" s="18">
        <f t="shared" si="22"/>
        <v>-18.594715522331281</v>
      </c>
      <c r="CX35" s="17">
        <f t="shared" si="23"/>
        <v>291.42586734785783</v>
      </c>
      <c r="CY35" s="17">
        <f t="shared" si="126"/>
        <v>264.45784358403102</v>
      </c>
      <c r="CZ35" s="17">
        <f t="shared" si="126"/>
        <v>271.13847535729514</v>
      </c>
      <c r="DA35" s="17">
        <f t="shared" si="126"/>
        <v>262.78849250463281</v>
      </c>
      <c r="DB35" s="17">
        <f t="shared" si="126"/>
        <v>298.49368988683381</v>
      </c>
      <c r="DC35" s="17">
        <f t="shared" si="126"/>
        <v>343.22643576547995</v>
      </c>
      <c r="DD35" s="17">
        <f t="shared" si="24"/>
        <v>407.28693547186185</v>
      </c>
      <c r="DE35" s="17">
        <f t="shared" si="24"/>
        <v>517.78806823576224</v>
      </c>
      <c r="DF35" s="3" t="e">
        <f>#REF!+$AG$35*0.004*(1+$R$28)*#REF!-S35*#REF!</f>
        <v>#REF!</v>
      </c>
      <c r="DG35" s="19">
        <f t="shared" si="25"/>
        <v>1052.6405872423343</v>
      </c>
      <c r="DH35" s="19">
        <f t="shared" si="26"/>
        <v>909.57923386240441</v>
      </c>
      <c r="DI35" s="19">
        <f t="shared" si="27"/>
        <v>796.04331719367633</v>
      </c>
      <c r="DJ35" s="19">
        <f t="shared" si="28"/>
        <v>663.2321959006</v>
      </c>
      <c r="DK35" s="19">
        <f t="shared" si="29"/>
        <v>570.06976904707881</v>
      </c>
      <c r="DL35" s="19">
        <f t="shared" si="30"/>
        <v>481.38143349601097</v>
      </c>
      <c r="DM35" s="19">
        <f t="shared" si="31"/>
        <v>407.28693547186185</v>
      </c>
      <c r="DN35" s="19">
        <f t="shared" si="32"/>
        <v>374.70039035547433</v>
      </c>
      <c r="DO35" s="173">
        <f t="shared" si="127"/>
        <v>105155.14373840331</v>
      </c>
      <c r="DP35" s="25">
        <f t="shared" si="33"/>
        <v>104863.71787105547</v>
      </c>
      <c r="DQ35" s="26">
        <f t="shared" si="33"/>
        <v>104599.26002747144</v>
      </c>
      <c r="DR35" s="26">
        <f t="shared" si="33"/>
        <v>104328.12155211414</v>
      </c>
      <c r="DS35" s="26">
        <f t="shared" si="33"/>
        <v>104065.33305960952</v>
      </c>
      <c r="DT35" s="26">
        <f t="shared" si="33"/>
        <v>103766.83936972267</v>
      </c>
      <c r="DU35" s="26">
        <f t="shared" si="33"/>
        <v>103423.61293395719</v>
      </c>
      <c r="DV35" s="26">
        <f t="shared" si="33"/>
        <v>103016.32599848532</v>
      </c>
      <c r="DW35" s="26">
        <f t="shared" si="33"/>
        <v>102498.53793024956</v>
      </c>
      <c r="DX35" s="26">
        <f t="shared" si="33"/>
        <v>101864.82425786875</v>
      </c>
      <c r="DY35" s="26">
        <f t="shared" si="33"/>
        <v>101105.27351641076</v>
      </c>
      <c r="DZ35" s="26">
        <f t="shared" si="33"/>
        <v>100236.48487711092</v>
      </c>
      <c r="EA35" s="26">
        <f t="shared" si="33"/>
        <v>99303.129534979467</v>
      </c>
      <c r="EB35" s="26">
        <f t="shared" si="33"/>
        <v>98348.790857044893</v>
      </c>
      <c r="EC35" s="26">
        <f t="shared" si="33"/>
        <v>97396.800997133396</v>
      </c>
      <c r="ED35" s="26">
        <f t="shared" si="33"/>
        <v>96461.320321095467</v>
      </c>
      <c r="EE35" s="26">
        <f t="shared" si="33"/>
        <v>95545.664271464426</v>
      </c>
      <c r="EF35" s="26">
        <f t="shared" si="34"/>
        <v>94646.3672969162</v>
      </c>
      <c r="EG35" s="26">
        <f t="shared" si="34"/>
        <v>93762.872497552977</v>
      </c>
      <c r="EH35" s="26">
        <f t="shared" si="34"/>
        <v>92888.672315653326</v>
      </c>
      <c r="EI35" s="26">
        <f t="shared" si="34"/>
        <v>92023.212339849706</v>
      </c>
      <c r="EJ35" s="26">
        <f t="shared" si="128"/>
        <v>2.3046824921726422E-3</v>
      </c>
      <c r="EK35" s="26">
        <f t="shared" si="129"/>
        <v>1.9846630523199685E-3</v>
      </c>
      <c r="EL35" s="26">
        <f t="shared" si="36"/>
        <v>1.6775328305230111E-3</v>
      </c>
      <c r="EM35" s="26">
        <f t="shared" si="36"/>
        <v>1.3363434363823851E-3</v>
      </c>
      <c r="EN35" s="26">
        <f t="shared" si="36"/>
        <v>9.8166421459644927E-4</v>
      </c>
      <c r="EO35" s="26">
        <f t="shared" si="36"/>
        <v>5.436760147549427E-4</v>
      </c>
      <c r="EP35" s="26">
        <f t="shared" si="36"/>
        <v>0</v>
      </c>
      <c r="EQ35" s="26">
        <f t="shared" si="36"/>
        <v>-6.9195234692693804E-4</v>
      </c>
      <c r="ER35" s="26">
        <f t="shared" si="36"/>
        <v>-1.6281028938902979E-3</v>
      </c>
      <c r="ES35" s="26">
        <f t="shared" si="36"/>
        <v>-2.8426641546422512E-3</v>
      </c>
      <c r="ET35" s="26">
        <f t="shared" si="36"/>
        <v>-4.3819569764630955E-3</v>
      </c>
      <c r="EU35" s="26">
        <f t="shared" si="36"/>
        <v>-6.2453545313351519E-3</v>
      </c>
      <c r="EV35" s="26">
        <f t="shared" si="36"/>
        <v>-8.3724959024242176E-3</v>
      </c>
      <c r="EW35" s="26">
        <f t="shared" si="36"/>
        <v>-1.0693640023965088E-2</v>
      </c>
      <c r="EX35" s="26">
        <f t="shared" si="36"/>
        <v>-1.3171036620776597E-2</v>
      </c>
      <c r="EY35" s="26">
        <f t="shared" si="36"/>
        <v>-1.5780805178979701E-2</v>
      </c>
      <c r="EZ35" s="26">
        <f t="shared" si="36"/>
        <v>-1.8520313767139394E-2</v>
      </c>
      <c r="FA35" s="26">
        <f t="shared" si="37"/>
        <v>-2.1402716600318134E-2</v>
      </c>
      <c r="FB35" s="26">
        <f t="shared" si="37"/>
        <v>-2.4435110527785686E-2</v>
      </c>
      <c r="FC35" s="26">
        <f t="shared" si="37"/>
        <v>-2.7641040002967521E-2</v>
      </c>
      <c r="FD35" s="26">
        <f t="shared" si="37"/>
        <v>-3.1030387126385086E-2</v>
      </c>
      <c r="FE35" s="26">
        <f t="shared" si="130"/>
        <v>5.3212710211196264</v>
      </c>
      <c r="FF35" s="26">
        <f t="shared" si="38"/>
        <v>4.5096897409289154</v>
      </c>
      <c r="FG35" s="26">
        <f t="shared" si="38"/>
        <v>3.6692601619939853</v>
      </c>
      <c r="FH35" s="26">
        <f t="shared" si="38"/>
        <v>2.7991796257583141</v>
      </c>
      <c r="FI35" s="26">
        <f t="shared" si="38"/>
        <v>1.898295699389918</v>
      </c>
      <c r="FJ35" s="26">
        <f t="shared" si="38"/>
        <v>0.96564917051169352</v>
      </c>
      <c r="FK35" s="26">
        <f t="shared" si="38"/>
        <v>0</v>
      </c>
      <c r="FL35" s="26">
        <f t="shared" si="38"/>
        <v>-0.99999999999999878</v>
      </c>
      <c r="FM35" s="26">
        <f t="shared" si="38"/>
        <v>-2.0359271011407909</v>
      </c>
      <c r="FN35" s="26">
        <f t="shared" si="38"/>
        <v>-3.1095782169786363</v>
      </c>
      <c r="FO35" s="26">
        <f t="shared" si="38"/>
        <v>-4.2229551660594948</v>
      </c>
      <c r="FP35" s="26">
        <f t="shared" si="38"/>
        <v>-5.3780726542390536</v>
      </c>
      <c r="FQ35" s="26">
        <f t="shared" si="38"/>
        <v>-6.5766816909706929</v>
      </c>
      <c r="FR35" s="26">
        <f t="shared" si="38"/>
        <v>-7.8203205675344982</v>
      </c>
      <c r="FS35" s="26">
        <f t="shared" si="38"/>
        <v>-9.110584126339937</v>
      </c>
      <c r="FT35" s="26">
        <f t="shared" si="38"/>
        <v>-10.449107536851068</v>
      </c>
      <c r="FU35" s="26">
        <f t="shared" si="38"/>
        <v>-11.837709510132122</v>
      </c>
      <c r="FV35" s="26">
        <f t="shared" si="131"/>
        <v>-13.278438323374543</v>
      </c>
      <c r="FW35" s="26">
        <f t="shared" si="131"/>
        <v>-14.773371020044699</v>
      </c>
      <c r="FX35" s="26">
        <f t="shared" si="39"/>
        <v>13822910.320268864</v>
      </c>
      <c r="FY35" s="26">
        <f t="shared" si="40"/>
        <v>568191.97802492685</v>
      </c>
      <c r="FZ35" s="26">
        <f t="shared" si="132"/>
        <v>0.81141084668557595</v>
      </c>
      <c r="GA35" s="26">
        <f t="shared" si="133"/>
        <v>0.84014176310856536</v>
      </c>
      <c r="GB35" s="26">
        <f t="shared" si="42"/>
        <v>0.86986925714809082</v>
      </c>
      <c r="GC35" s="26">
        <f t="shared" si="42"/>
        <v>0.90066918477501012</v>
      </c>
      <c r="GD35" s="26">
        <f t="shared" si="42"/>
        <v>0.93256095492595037</v>
      </c>
      <c r="GE35" s="26">
        <f t="shared" si="42"/>
        <v>0.96564917051169408</v>
      </c>
      <c r="GF35" s="26">
        <f t="shared" si="42"/>
        <v>1</v>
      </c>
      <c r="GG35" s="26">
        <f t="shared" si="42"/>
        <v>1.0357039573724185</v>
      </c>
      <c r="GH35" s="26">
        <f t="shared" si="42"/>
        <v>1.0729137982008543</v>
      </c>
      <c r="GI35" s="26">
        <f t="shared" si="42"/>
        <v>1.1117272205434499</v>
      </c>
      <c r="GJ35" s="26">
        <f t="shared" si="42"/>
        <v>1.1522614125400163</v>
      </c>
      <c r="GK35" s="26">
        <f t="shared" si="42"/>
        <v>1.1945862511923346</v>
      </c>
      <c r="GL35" s="26">
        <f t="shared" si="42"/>
        <v>1.2387016136828644</v>
      </c>
      <c r="GM35" s="26">
        <f t="shared" si="42"/>
        <v>1.2845903891682</v>
      </c>
      <c r="GN35" s="26">
        <f t="shared" si="42"/>
        <v>1.3322699919091869</v>
      </c>
      <c r="GO35" s="26">
        <f t="shared" si="42"/>
        <v>1.3817733580082743</v>
      </c>
      <c r="GP35" s="26">
        <f t="shared" si="42"/>
        <v>1.4331614647585869</v>
      </c>
      <c r="GQ35" s="26">
        <f t="shared" si="134"/>
        <v>1.4865193842959081</v>
      </c>
      <c r="GR35" s="26">
        <f t="shared" si="134"/>
        <v>1.5419270331175998</v>
      </c>
      <c r="GS35" s="26">
        <f t="shared" si="134"/>
        <v>1.5994925291382667</v>
      </c>
      <c r="GT35" s="26">
        <f t="shared" si="134"/>
        <v>1.6593080116240413</v>
      </c>
      <c r="GU35" s="26">
        <f t="shared" si="135"/>
        <v>5.5098601744340492</v>
      </c>
      <c r="GV35" s="26">
        <f t="shared" si="136"/>
        <v>4.6695479778203461</v>
      </c>
      <c r="GW35" s="26">
        <f t="shared" si="43"/>
        <v>3.799390904845882</v>
      </c>
      <c r="GX35" s="26">
        <f t="shared" si="43"/>
        <v>2.8985104409833022</v>
      </c>
      <c r="GY35" s="26">
        <f t="shared" si="43"/>
        <v>1.9657347444639712</v>
      </c>
      <c r="GZ35" s="26">
        <f t="shared" si="43"/>
        <v>1.0000000000000038</v>
      </c>
      <c r="HA35" s="26">
        <f t="shared" si="43"/>
        <v>0</v>
      </c>
      <c r="HB35" s="26">
        <f t="shared" si="43"/>
        <v>-1.035703957372418</v>
      </c>
      <c r="HC35" s="26">
        <f t="shared" si="43"/>
        <v>-2.1088408993416428</v>
      </c>
      <c r="HD35" s="26">
        <f t="shared" si="43"/>
        <v>-3.2213054375220858</v>
      </c>
      <c r="HE35" s="26">
        <f t="shared" si="43"/>
        <v>-4.3752165785995052</v>
      </c>
      <c r="HF35" s="26">
        <f t="shared" si="43"/>
        <v>-5.5726589054313918</v>
      </c>
      <c r="HG35" s="26">
        <f t="shared" si="43"/>
        <v>-6.8153833046535501</v>
      </c>
      <c r="HH35" s="26">
        <f t="shared" si="43"/>
        <v>-8.1049109567027013</v>
      </c>
      <c r="HI35" s="26">
        <f t="shared" si="43"/>
        <v>-9.4428541182491141</v>
      </c>
      <c r="HJ35" s="26">
        <f t="shared" si="43"/>
        <v>-10.830880894859344</v>
      </c>
      <c r="HK35" s="26">
        <f t="shared" si="43"/>
        <v>-12.270870974890705</v>
      </c>
      <c r="HL35" s="26">
        <f t="shared" si="137"/>
        <v>-13.764957707670444</v>
      </c>
      <c r="HM35" s="26">
        <f t="shared" si="137"/>
        <v>-15.315298053162294</v>
      </c>
      <c r="HN35" s="26">
        <f t="shared" si="137"/>
        <v>-16.924404842902121</v>
      </c>
      <c r="HO35" s="26">
        <f t="shared" si="137"/>
        <v>-18.594715522331281</v>
      </c>
      <c r="HP35" s="26">
        <f t="shared" si="44"/>
        <v>515035.35257295764</v>
      </c>
      <c r="HQ35" s="26">
        <f t="shared" si="45"/>
        <v>532827.38692937547</v>
      </c>
      <c r="HR35" s="26">
        <f t="shared" si="46"/>
        <v>551293.26888804312</v>
      </c>
      <c r="HS35" s="26">
        <f t="shared" si="47"/>
        <v>570434.83052022336</v>
      </c>
      <c r="HT35" s="26">
        <f t="shared" si="48"/>
        <v>590288.03280726552</v>
      </c>
      <c r="HU35" s="26">
        <f t="shared" si="49"/>
        <v>610867.78802426218</v>
      </c>
      <c r="HV35" s="26">
        <f t="shared" si="50"/>
        <v>632215.9078880985</v>
      </c>
      <c r="HW35" s="26">
        <f t="shared" si="51"/>
        <v>654384.50170123915</v>
      </c>
      <c r="HX35" s="26">
        <f t="shared" si="52"/>
        <v>677452.04006781906</v>
      </c>
      <c r="HY35" s="26">
        <f t="shared" si="53"/>
        <v>701515.51398645097</v>
      </c>
      <c r="HZ35" s="26">
        <f t="shared" si="54"/>
        <v>726692.80561766168</v>
      </c>
      <c r="IA35" s="26">
        <f t="shared" si="55"/>
        <v>753096.25877107412</v>
      </c>
      <c r="IB35" s="26">
        <f t="shared" si="56"/>
        <v>780798.95490389748</v>
      </c>
      <c r="IC35" s="26">
        <f t="shared" si="57"/>
        <v>809843.59266948747</v>
      </c>
      <c r="ID35" s="26">
        <f t="shared" si="58"/>
        <v>840276.72883143846</v>
      </c>
      <c r="IE35" s="26">
        <f t="shared" si="59"/>
        <v>872145.61243356904</v>
      </c>
      <c r="IF35" s="26">
        <f t="shared" si="60"/>
        <v>905515.44233730657</v>
      </c>
      <c r="IG35" s="26">
        <f t="shared" si="61"/>
        <v>940474.32588528155</v>
      </c>
      <c r="IH35" s="26">
        <f t="shared" si="62"/>
        <v>977107.97490521311</v>
      </c>
      <c r="II35" s="26">
        <f t="shared" si="63"/>
        <v>-1584584863923.7825</v>
      </c>
      <c r="IJ35" s="26">
        <f t="shared" si="64"/>
        <v>534828.14577118505</v>
      </c>
      <c r="IK35" s="26">
        <f t="shared" si="65"/>
        <v>552290.2754256021</v>
      </c>
      <c r="IL35" s="26">
        <f t="shared" si="66"/>
        <v>570495.2059268232</v>
      </c>
      <c r="IM35" s="26">
        <f t="shared" si="67"/>
        <v>589450.09524751501</v>
      </c>
      <c r="IN35" s="26">
        <f t="shared" si="68"/>
        <v>609197.41657036124</v>
      </c>
      <c r="IO35" s="26">
        <f t="shared" si="69"/>
        <v>629758.43162890943</v>
      </c>
      <c r="IP35" s="26">
        <f t="shared" si="70"/>
        <v>651182.38512474147</v>
      </c>
      <c r="IQ35" s="26">
        <f t="shared" si="71"/>
        <v>673529.52859598876</v>
      </c>
      <c r="IR35" s="26">
        <f t="shared" si="72"/>
        <v>696887.6484559488</v>
      </c>
      <c r="IS35" s="26">
        <f t="shared" si="73"/>
        <v>721364.12635058607</v>
      </c>
      <c r="IT35" s="26">
        <f t="shared" si="74"/>
        <v>747088.42520114186</v>
      </c>
      <c r="IU35" s="26">
        <f t="shared" si="75"/>
        <v>774185.01762371883</v>
      </c>
      <c r="IV35" s="26">
        <f t="shared" si="76"/>
        <v>802738.73260402435</v>
      </c>
      <c r="IW35" s="26">
        <f t="shared" si="77"/>
        <v>832803.82252081763</v>
      </c>
      <c r="IX35" s="26">
        <f t="shared" si="78"/>
        <v>864439.15828094352</v>
      </c>
      <c r="IY35" s="26">
        <f t="shared" si="79"/>
        <v>897705.01860730641</v>
      </c>
      <c r="IZ35" s="26">
        <f t="shared" si="80"/>
        <v>932680.90560742584</v>
      </c>
      <c r="JA35" s="26">
        <f t="shared" si="81"/>
        <v>969470.74071930489</v>
      </c>
      <c r="JB35" s="26">
        <f t="shared" si="82"/>
        <v>1008176.8774541946</v>
      </c>
      <c r="JC35" s="26">
        <f t="shared" si="83"/>
        <v>-1632122406905.9946</v>
      </c>
      <c r="JD35" s="26">
        <f t="shared" si="84"/>
        <v>156103.58830557152</v>
      </c>
      <c r="JE35" s="26">
        <f t="shared" si="85"/>
        <v>248136.78862076619</v>
      </c>
      <c r="JF35" s="26">
        <f t="shared" si="86"/>
        <v>343526.66654510319</v>
      </c>
      <c r="JG35" s="26">
        <f t="shared" si="87"/>
        <v>442415.11989730119</v>
      </c>
      <c r="JH35" s="26">
        <f t="shared" si="88"/>
        <v>544913.66956588754</v>
      </c>
      <c r="JI35" s="26">
        <f t="shared" si="89"/>
        <v>651182.38512474147</v>
      </c>
      <c r="JJ35" s="26">
        <f t="shared" si="90"/>
        <v>761403.5844269814</v>
      </c>
      <c r="JK35" s="26">
        <f t="shared" si="91"/>
        <v>875811.75278935884</v>
      </c>
      <c r="JL35" s="26">
        <f t="shared" si="92"/>
        <v>994675.01972946501</v>
      </c>
      <c r="JM35" s="26">
        <f t="shared" si="93"/>
        <v>1118302.634786604</v>
      </c>
      <c r="JN35" s="26">
        <f t="shared" si="94"/>
        <v>1246995.9365134235</v>
      </c>
      <c r="JO35" s="26">
        <f t="shared" si="95"/>
        <v>1380988.3074556442</v>
      </c>
      <c r="JP35" s="26">
        <f t="shared" si="96"/>
        <v>1520463.0641842345</v>
      </c>
      <c r="JQ35" s="26">
        <f t="shared" si="97"/>
        <v>1665615.8691396127</v>
      </c>
      <c r="JR35" s="26">
        <f t="shared" si="98"/>
        <v>1816648.5310645732</v>
      </c>
      <c r="JS35" s="26">
        <f t="shared" si="99"/>
        <v>1973800.0337780649</v>
      </c>
      <c r="JT35" s="26">
        <f t="shared" si="100"/>
        <v>2137355.3022341579</v>
      </c>
      <c r="JU35" s="26">
        <f t="shared" si="101"/>
        <v>2307599.6966990065</v>
      </c>
      <c r="JV35" s="26">
        <f t="shared" si="102"/>
        <v>-1632120970958.8928</v>
      </c>
      <c r="JW35" s="26">
        <f t="shared" si="103"/>
        <v>1733767.8024273422</v>
      </c>
      <c r="JX35" s="26" t="e">
        <f>AH35+$AG$38*0.004*(1+$R$28)*#REF!-S35*#REF!</f>
        <v>#REF!</v>
      </c>
      <c r="JY35" s="34">
        <f t="shared" si="104"/>
        <v>5.031559641167889E-2</v>
      </c>
      <c r="JZ35" s="4">
        <f t="shared" si="105"/>
        <v>48007.081914401671</v>
      </c>
      <c r="KA35" s="165"/>
      <c r="KB35" s="163">
        <v>8</v>
      </c>
      <c r="KC35" s="163">
        <f>((1+0.035)^(-1))*(1-((1+0.035)^(-m-n+8)))/(1-((1+0.035)^(-1)))</f>
        <v>3.6730792086122257</v>
      </c>
      <c r="KD35" s="163">
        <f>((1+0.035)^(-1))*(1-((1+0.035)^(-m-(n/2)+8/2)))/(1-((1+0.035)^(-1)))</f>
        <v>4.0976863375507113</v>
      </c>
      <c r="KE35" s="61">
        <f>IF(KB35&lt;=n,VLOOKUP(A28+x,A28:KF139,270)*(1-txpen_rachat),0)</f>
        <v>0</v>
      </c>
      <c r="KF35" s="167">
        <f>IF(KB35&lt;=n,VLOOKUP(A28+x,A28:KF139,270),0)</f>
        <v>0</v>
      </c>
    </row>
    <row r="36" spans="1:293" ht="15" customHeight="1" x14ac:dyDescent="0.3">
      <c r="A36" s="34">
        <v>35</v>
      </c>
      <c r="B36" s="34">
        <v>8</v>
      </c>
      <c r="C36" s="2">
        <v>991460</v>
      </c>
      <c r="D36" s="1">
        <f t="shared" si="106"/>
        <v>313</v>
      </c>
      <c r="E36" s="145">
        <f t="shared" si="107"/>
        <v>0.99968430395578234</v>
      </c>
      <c r="F36" s="146">
        <f t="shared" si="108"/>
        <v>3.1569604421766151E-4</v>
      </c>
      <c r="G36" s="158">
        <f t="shared" si="3"/>
        <v>3.9462005527207689E-4</v>
      </c>
      <c r="H36" s="43">
        <f t="shared" si="109"/>
        <v>390.4101238239823</v>
      </c>
      <c r="I36" s="43">
        <f t="shared" si="139"/>
        <v>989331.68400376418</v>
      </c>
      <c r="J36" s="43">
        <f t="shared" si="110"/>
        <v>991303.5</v>
      </c>
      <c r="K36" s="147">
        <f>SUM(J36:$J$138)</f>
        <v>65555267</v>
      </c>
      <c r="L36" s="147">
        <f t="shared" si="111"/>
        <v>66.119931212555215</v>
      </c>
      <c r="M36" s="43">
        <f t="shared" si="4"/>
        <v>1239129.375</v>
      </c>
      <c r="N36" s="148">
        <f t="shared" si="5"/>
        <v>81944083.75</v>
      </c>
      <c r="O36" s="147">
        <f t="shared" si="6"/>
        <v>82.649914015694023</v>
      </c>
      <c r="P36" s="157">
        <f t="shared" si="7"/>
        <v>751309.91376334231</v>
      </c>
      <c r="Q36" s="43">
        <f t="shared" si="8"/>
        <v>1239325</v>
      </c>
      <c r="R36" s="43">
        <f t="shared" si="9"/>
        <v>291.42586734785783</v>
      </c>
      <c r="S36" s="43">
        <f>SUM(R36:$R$138)</f>
        <v>105155.14373840331</v>
      </c>
      <c r="T36" s="43">
        <f t="shared" si="112"/>
        <v>5324078.8726035682</v>
      </c>
      <c r="U36" s="153">
        <f>SUM(P36:$P$138)</f>
        <v>19160749.374707777</v>
      </c>
      <c r="V36" s="129">
        <f t="shared" si="10"/>
        <v>14411515.788955677</v>
      </c>
      <c r="W36" s="43">
        <f t="shared" si="113"/>
        <v>588605.46868681419</v>
      </c>
      <c r="X36" s="26">
        <f t="shared" si="114"/>
        <v>6.3212710211196246</v>
      </c>
      <c r="Y36" s="26">
        <f t="shared" si="115"/>
        <v>0.78343897492110171</v>
      </c>
      <c r="Z36" s="43">
        <f t="shared" si="11"/>
        <v>103016.32599848532</v>
      </c>
      <c r="AA36" s="149">
        <f t="shared" si="116"/>
        <v>2.8467849295433331E-3</v>
      </c>
      <c r="AB36" s="150">
        <f t="shared" si="138"/>
        <v>18409439.460944436</v>
      </c>
      <c r="AC36" s="150">
        <f t="shared" si="117"/>
        <v>13822910.320268864</v>
      </c>
      <c r="AD36" s="26">
        <f t="shared" si="118"/>
        <v>6.1047099960407278</v>
      </c>
      <c r="AE36" s="26">
        <f t="shared" si="12"/>
        <v>515573.75109828205</v>
      </c>
      <c r="AF36" s="43">
        <f t="shared" si="119"/>
        <v>81561.722219428513</v>
      </c>
      <c r="AG36" s="43">
        <f t="shared" si="13"/>
        <v>536373.89661016292</v>
      </c>
      <c r="AH36" s="27">
        <f t="shared" si="14"/>
        <v>88695.0259482111</v>
      </c>
      <c r="AI36" s="28">
        <f t="shared" si="120"/>
        <v>576746.12538727198</v>
      </c>
      <c r="AJ36" s="20">
        <f t="shared" si="15"/>
        <v>95370.995643237751</v>
      </c>
      <c r="AK36" s="3">
        <f t="shared" si="16"/>
        <v>8265.4862890806053</v>
      </c>
      <c r="AL36" s="3"/>
      <c r="AM36" s="46">
        <f t="shared" si="121"/>
        <v>18409439.460944436</v>
      </c>
      <c r="AN36" s="46">
        <f t="shared" si="122"/>
        <v>17683822.618622076</v>
      </c>
      <c r="AO36" s="46">
        <f t="shared" si="122"/>
        <v>16983003.49179301</v>
      </c>
      <c r="AP36" s="3">
        <f t="shared" si="17"/>
        <v>16306150.077070862</v>
      </c>
      <c r="AQ36" s="3">
        <f t="shared" si="17"/>
        <v>15652443.732161334</v>
      </c>
      <c r="AR36" s="16">
        <f t="shared" si="17"/>
        <v>15021136.802205658</v>
      </c>
      <c r="AS36" s="16">
        <f t="shared" si="17"/>
        <v>14411515.788955677</v>
      </c>
      <c r="AT36" s="16">
        <f t="shared" si="17"/>
        <v>13822910.320268864</v>
      </c>
      <c r="AU36" s="16">
        <f t="shared" si="17"/>
        <v>13254718.342243936</v>
      </c>
      <c r="AV36" s="16">
        <f t="shared" si="17"/>
        <v>12706363.492254766</v>
      </c>
      <c r="AW36" s="16">
        <f t="shared" si="17"/>
        <v>12177298.640637327</v>
      </c>
      <c r="AX36" s="16">
        <f t="shared" si="17"/>
        <v>11666978.843601737</v>
      </c>
      <c r="AY36" s="16">
        <f t="shared" si="17"/>
        <v>11174833.676019788</v>
      </c>
      <c r="AZ36" s="16">
        <f t="shared" si="17"/>
        <v>10700269.162389321</v>
      </c>
      <c r="BA36" s="16">
        <f t="shared" si="17"/>
        <v>10242688.479080243</v>
      </c>
      <c r="BB36" s="16">
        <f t="shared" si="17"/>
        <v>9801501.0660238042</v>
      </c>
      <c r="BC36" s="16">
        <f t="shared" si="17"/>
        <v>9376133.074879365</v>
      </c>
      <c r="BD36" s="16">
        <f t="shared" si="18"/>
        <v>8966033.4692568444</v>
      </c>
      <c r="BE36" s="16">
        <f t="shared" si="18"/>
        <v>8570670.3942497224</v>
      </c>
      <c r="BF36" s="16">
        <f t="shared" si="18"/>
        <v>8189536.3769633677</v>
      </c>
      <c r="BG36" s="16">
        <f t="shared" si="18"/>
        <v>7822141.6503789313</v>
      </c>
      <c r="BH36" s="172">
        <f t="shared" si="123"/>
        <v>725616.84232236387</v>
      </c>
      <c r="BI36" s="16">
        <f t="shared" si="19"/>
        <v>700819.12682907446</v>
      </c>
      <c r="BJ36" s="16">
        <f t="shared" si="19"/>
        <v>676853.41472214996</v>
      </c>
      <c r="BK36" s="16">
        <f t="shared" si="19"/>
        <v>653706.34490952641</v>
      </c>
      <c r="BL36" s="16">
        <f t="shared" si="19"/>
        <v>631306.92995567387</v>
      </c>
      <c r="BM36" s="16">
        <f t="shared" si="19"/>
        <v>609621.01324998064</v>
      </c>
      <c r="BN36" s="16">
        <f t="shared" si="19"/>
        <v>588605.46868681419</v>
      </c>
      <c r="BO36" s="16">
        <f t="shared" si="19"/>
        <v>568191.97802492685</v>
      </c>
      <c r="BP36" s="16">
        <f t="shared" si="19"/>
        <v>548354.84998917021</v>
      </c>
      <c r="BQ36" s="16">
        <f t="shared" si="19"/>
        <v>529064.85161743569</v>
      </c>
      <c r="BR36" s="16">
        <f t="shared" si="20"/>
        <v>510319.79703559174</v>
      </c>
      <c r="BS36" s="16">
        <f t="shared" si="20"/>
        <v>492145.1675819463</v>
      </c>
      <c r="BT36" s="16">
        <f t="shared" si="20"/>
        <v>474564.51363046817</v>
      </c>
      <c r="BU36" s="16">
        <f t="shared" si="20"/>
        <v>457580.68330907432</v>
      </c>
      <c r="BV36" s="16">
        <f t="shared" si="20"/>
        <v>441187.41305644001</v>
      </c>
      <c r="BW36" s="16">
        <f t="shared" si="20"/>
        <v>425367.99114443822</v>
      </c>
      <c r="BX36" s="16">
        <f t="shared" si="20"/>
        <v>410099.60562251828</v>
      </c>
      <c r="BY36" s="16">
        <f t="shared" si="20"/>
        <v>395363.07500712067</v>
      </c>
      <c r="BZ36" s="16">
        <f t="shared" si="20"/>
        <v>381134.01728635549</v>
      </c>
      <c r="CA36" s="16">
        <f t="shared" si="20"/>
        <v>367394.72658443713</v>
      </c>
      <c r="CB36" s="16">
        <f t="shared" si="20"/>
        <v>354129.98544085148</v>
      </c>
      <c r="CC36" s="18">
        <f t="shared" si="124"/>
        <v>5.509689740928911</v>
      </c>
      <c r="CD36" s="18">
        <f t="shared" si="21"/>
        <v>4.6692601619939724</v>
      </c>
      <c r="CE36" s="18">
        <f t="shared" si="21"/>
        <v>3.7991796257583119</v>
      </c>
      <c r="CF36" s="18">
        <f t="shared" si="21"/>
        <v>2.8982956993899212</v>
      </c>
      <c r="CG36" s="18">
        <f t="shared" si="21"/>
        <v>1.9656491705116972</v>
      </c>
      <c r="CH36" s="18">
        <f t="shared" si="21"/>
        <v>0.99999999999999944</v>
      </c>
      <c r="CI36" s="18">
        <f t="shared" si="21"/>
        <v>0</v>
      </c>
      <c r="CJ36" s="18">
        <f t="shared" si="21"/>
        <v>-1.0359271011407891</v>
      </c>
      <c r="CK36" s="18">
        <f t="shared" si="21"/>
        <v>-2.1095782169786363</v>
      </c>
      <c r="CL36" s="18">
        <f t="shared" si="21"/>
        <v>-3.2229551660594895</v>
      </c>
      <c r="CM36" s="18">
        <f t="shared" si="21"/>
        <v>-4.378072654239058</v>
      </c>
      <c r="CN36" s="18">
        <f t="shared" si="21"/>
        <v>-5.5766816909706867</v>
      </c>
      <c r="CO36" s="18">
        <f t="shared" si="21"/>
        <v>-6.8203205675345018</v>
      </c>
      <c r="CP36" s="18">
        <f t="shared" si="21"/>
        <v>-8.1105841263399281</v>
      </c>
      <c r="CQ36" s="18">
        <f t="shared" si="21"/>
        <v>-9.4491075368510717</v>
      </c>
      <c r="CR36" s="18">
        <f t="shared" si="21"/>
        <v>-10.83770951013212</v>
      </c>
      <c r="CS36" s="18">
        <f t="shared" si="21"/>
        <v>-12.278438323374537</v>
      </c>
      <c r="CT36" s="18">
        <f t="shared" si="125"/>
        <v>-13.773371020044696</v>
      </c>
      <c r="CU36" s="18">
        <f t="shared" si="125"/>
        <v>-15.324912313763853</v>
      </c>
      <c r="CV36" s="18">
        <f t="shared" si="125"/>
        <v>-16.93540751070724</v>
      </c>
      <c r="CW36" s="18">
        <f t="shared" si="22"/>
        <v>-18.607218844723715</v>
      </c>
      <c r="CX36" s="17">
        <f t="shared" si="23"/>
        <v>264.45784358403102</v>
      </c>
      <c r="CY36" s="17">
        <f t="shared" si="126"/>
        <v>271.13847535729514</v>
      </c>
      <c r="CZ36" s="17">
        <f t="shared" si="126"/>
        <v>262.78849250463281</v>
      </c>
      <c r="DA36" s="17">
        <f t="shared" si="126"/>
        <v>298.49368988683381</v>
      </c>
      <c r="DB36" s="17">
        <f t="shared" si="126"/>
        <v>343.22643576547995</v>
      </c>
      <c r="DC36" s="17">
        <f t="shared" si="126"/>
        <v>407.28693547186185</v>
      </c>
      <c r="DD36" s="17">
        <f t="shared" si="24"/>
        <v>517.78806823576224</v>
      </c>
      <c r="DE36" s="17">
        <f t="shared" si="24"/>
        <v>633.7136723808095</v>
      </c>
      <c r="DF36" s="3" t="e">
        <f>#REF!+$AG$35*0.004*(1+$R$28)*#REF!-S36*#REF!</f>
        <v>#REF!</v>
      </c>
      <c r="DG36" s="19">
        <f t="shared" si="25"/>
        <v>1032.3913278032592</v>
      </c>
      <c r="DH36" s="19">
        <f t="shared" si="26"/>
        <v>921.93396358410371</v>
      </c>
      <c r="DI36" s="19">
        <f t="shared" si="27"/>
        <v>792.31327236844459</v>
      </c>
      <c r="DJ36" s="19">
        <f t="shared" si="28"/>
        <v>702.45442440813247</v>
      </c>
      <c r="DK36" s="19">
        <f t="shared" si="29"/>
        <v>617.1960941748099</v>
      </c>
      <c r="DL36" s="19">
        <f t="shared" si="30"/>
        <v>546.66565193834606</v>
      </c>
      <c r="DM36" s="19">
        <f t="shared" si="31"/>
        <v>517.78806823576224</v>
      </c>
      <c r="DN36" s="19">
        <f t="shared" si="32"/>
        <v>489.32748267096048</v>
      </c>
      <c r="DO36" s="173">
        <f t="shared" si="127"/>
        <v>104863.71787105547</v>
      </c>
      <c r="DP36" s="25">
        <f t="shared" si="33"/>
        <v>104599.26002747144</v>
      </c>
      <c r="DQ36" s="26">
        <f t="shared" si="33"/>
        <v>104328.12155211414</v>
      </c>
      <c r="DR36" s="26">
        <f t="shared" si="33"/>
        <v>104065.33305960952</v>
      </c>
      <c r="DS36" s="26">
        <f t="shared" si="33"/>
        <v>103766.83936972267</v>
      </c>
      <c r="DT36" s="26">
        <f t="shared" si="33"/>
        <v>103423.61293395719</v>
      </c>
      <c r="DU36" s="26">
        <f t="shared" si="33"/>
        <v>103016.32599848532</v>
      </c>
      <c r="DV36" s="26">
        <f t="shared" si="33"/>
        <v>102498.53793024956</v>
      </c>
      <c r="DW36" s="26">
        <f t="shared" si="33"/>
        <v>101864.82425786875</v>
      </c>
      <c r="DX36" s="26">
        <f t="shared" si="33"/>
        <v>101105.27351641076</v>
      </c>
      <c r="DY36" s="26">
        <f t="shared" si="33"/>
        <v>100236.48487711092</v>
      </c>
      <c r="DZ36" s="26">
        <f t="shared" si="33"/>
        <v>99303.129534979467</v>
      </c>
      <c r="EA36" s="26">
        <f t="shared" si="33"/>
        <v>98348.790857044893</v>
      </c>
      <c r="EB36" s="26">
        <f t="shared" si="33"/>
        <v>97396.800997133396</v>
      </c>
      <c r="EC36" s="26">
        <f t="shared" si="33"/>
        <v>96461.320321095467</v>
      </c>
      <c r="ED36" s="26">
        <f t="shared" si="33"/>
        <v>95545.664271464426</v>
      </c>
      <c r="EE36" s="26">
        <f t="shared" si="33"/>
        <v>94646.3672969162</v>
      </c>
      <c r="EF36" s="26">
        <f t="shared" si="34"/>
        <v>93762.872497552977</v>
      </c>
      <c r="EG36" s="26">
        <f t="shared" si="34"/>
        <v>92888.672315653326</v>
      </c>
      <c r="EH36" s="26">
        <f t="shared" si="34"/>
        <v>92023.212339849706</v>
      </c>
      <c r="EI36" s="26">
        <f t="shared" si="34"/>
        <v>91167.860609376687</v>
      </c>
      <c r="EJ36" s="26">
        <f t="shared" si="128"/>
        <v>2.5459605742577649E-3</v>
      </c>
      <c r="EK36" s="26">
        <f t="shared" si="129"/>
        <v>2.2586912491219463E-3</v>
      </c>
      <c r="EL36" s="26">
        <f t="shared" si="36"/>
        <v>1.9380792430031787E-3</v>
      </c>
      <c r="EM36" s="26">
        <f t="shared" si="36"/>
        <v>1.6047068676828902E-3</v>
      </c>
      <c r="EN36" s="26">
        <f t="shared" si="36"/>
        <v>1.1888248578073521E-3</v>
      </c>
      <c r="EO36" s="26">
        <f t="shared" si="36"/>
        <v>6.6809858357828574E-4</v>
      </c>
      <c r="EP36" s="26">
        <f t="shared" si="36"/>
        <v>0</v>
      </c>
      <c r="EQ36" s="26">
        <f t="shared" si="36"/>
        <v>-9.1129070501070838E-4</v>
      </c>
      <c r="ER36" s="26">
        <f t="shared" si="36"/>
        <v>-2.0999207732717478E-3</v>
      </c>
      <c r="ES36" s="26">
        <f t="shared" si="36"/>
        <v>-3.6121327588331956E-3</v>
      </c>
      <c r="ET36" s="26">
        <f t="shared" si="36"/>
        <v>-5.4472531489514588E-3</v>
      </c>
      <c r="EU36" s="26">
        <f t="shared" si="36"/>
        <v>-7.5449211088465589E-3</v>
      </c>
      <c r="EV36" s="26">
        <f t="shared" si="36"/>
        <v>-9.8354070044835342E-3</v>
      </c>
      <c r="EW36" s="26">
        <f t="shared" si="36"/>
        <v>-1.2280948926238216E-2</v>
      </c>
      <c r="EX36" s="26">
        <f t="shared" si="36"/>
        <v>-1.4857644355668163E-2</v>
      </c>
      <c r="EY36" s="26">
        <f t="shared" si="36"/>
        <v>-1.7562820622495201E-2</v>
      </c>
      <c r="EZ36" s="26">
        <f t="shared" si="36"/>
        <v>-2.0409575105208373E-2</v>
      </c>
      <c r="FA36" s="26">
        <f t="shared" si="37"/>
        <v>-2.3404951260978749E-2</v>
      </c>
      <c r="FB36" s="26">
        <f t="shared" si="37"/>
        <v>-2.6572421309806193E-2</v>
      </c>
      <c r="FC36" s="26">
        <f t="shared" si="37"/>
        <v>-2.9921805794098963E-2</v>
      </c>
      <c r="FD36" s="26">
        <f t="shared" si="37"/>
        <v>-3.3457955768299727E-2</v>
      </c>
      <c r="FE36" s="26">
        <f t="shared" si="130"/>
        <v>5.3208691876503549</v>
      </c>
      <c r="FF36" s="26">
        <f t="shared" si="38"/>
        <v>4.5091423029823705</v>
      </c>
      <c r="FG36" s="26">
        <f t="shared" si="38"/>
        <v>3.6687999244583476</v>
      </c>
      <c r="FH36" s="26">
        <f t="shared" si="38"/>
        <v>2.7987083590961306</v>
      </c>
      <c r="FI36" s="26">
        <f t="shared" si="38"/>
        <v>1.8980093914396365</v>
      </c>
      <c r="FJ36" s="26">
        <f t="shared" si="38"/>
        <v>0.96552686979877855</v>
      </c>
      <c r="FK36" s="26">
        <f t="shared" si="38"/>
        <v>0</v>
      </c>
      <c r="FL36" s="26">
        <f t="shared" si="38"/>
        <v>-1.0000000000000018</v>
      </c>
      <c r="FM36" s="26">
        <f t="shared" si="38"/>
        <v>-2.0361757136572232</v>
      </c>
      <c r="FN36" s="26">
        <f t="shared" si="38"/>
        <v>-3.1104158112198141</v>
      </c>
      <c r="FO36" s="26">
        <f t="shared" si="38"/>
        <v>-4.2246675304206613</v>
      </c>
      <c r="FP36" s="26">
        <f t="shared" si="38"/>
        <v>-5.3806819992967805</v>
      </c>
      <c r="FQ36" s="26">
        <f t="shared" si="38"/>
        <v>-6.580014030107332</v>
      </c>
      <c r="FR36" s="26">
        <f t="shared" si="38"/>
        <v>-7.8242416513250159</v>
      </c>
      <c r="FS36" s="26">
        <f t="shared" si="38"/>
        <v>-9.1149682317219938</v>
      </c>
      <c r="FT36" s="26">
        <f t="shared" si="38"/>
        <v>-10.453953607147531</v>
      </c>
      <c r="FU36" s="26">
        <f t="shared" si="38"/>
        <v>-11.843163915360106</v>
      </c>
      <c r="FV36" s="26">
        <f t="shared" si="131"/>
        <v>-13.284599038300545</v>
      </c>
      <c r="FW36" s="26">
        <f t="shared" si="131"/>
        <v>-14.780559298838449</v>
      </c>
      <c r="FX36" s="26">
        <f t="shared" si="39"/>
        <v>13254718.342243936</v>
      </c>
      <c r="FY36" s="26">
        <f t="shared" si="40"/>
        <v>548354.84998917021</v>
      </c>
      <c r="FZ36" s="26">
        <f t="shared" si="132"/>
        <v>0.81117944672144093</v>
      </c>
      <c r="GA36" s="26">
        <f t="shared" si="133"/>
        <v>0.83988214098838587</v>
      </c>
      <c r="GB36" s="26">
        <f t="shared" si="42"/>
        <v>0.86962029870003421</v>
      </c>
      <c r="GC36" s="26">
        <f t="shared" si="42"/>
        <v>0.90041265970621376</v>
      </c>
      <c r="GD36" s="26">
        <f t="shared" si="42"/>
        <v>0.93236022092794402</v>
      </c>
      <c r="GE36" s="26">
        <f t="shared" si="42"/>
        <v>0.96552686979877966</v>
      </c>
      <c r="GF36" s="26">
        <f t="shared" si="42"/>
        <v>1</v>
      </c>
      <c r="GG36" s="26">
        <f t="shared" si="42"/>
        <v>1.0359271011407905</v>
      </c>
      <c r="GH36" s="26">
        <f t="shared" si="42"/>
        <v>1.0734025033214147</v>
      </c>
      <c r="GI36" s="26">
        <f t="shared" si="42"/>
        <v>1.1125393548396825</v>
      </c>
      <c r="GJ36" s="26">
        <f t="shared" si="42"/>
        <v>1.1534051238183936</v>
      </c>
      <c r="GK36" s="26">
        <f t="shared" si="42"/>
        <v>1.1959996916739133</v>
      </c>
      <c r="GL36" s="26">
        <f t="shared" si="42"/>
        <v>1.2403065374271682</v>
      </c>
      <c r="GM36" s="26">
        <f t="shared" si="42"/>
        <v>1.2863424750149226</v>
      </c>
      <c r="GN36" s="26">
        <f t="shared" si="42"/>
        <v>1.3341393051290775</v>
      </c>
      <c r="GO36" s="26">
        <f t="shared" si="42"/>
        <v>1.3837559029845923</v>
      </c>
      <c r="GP36" s="26">
        <f t="shared" si="42"/>
        <v>1.4352744080144375</v>
      </c>
      <c r="GQ36" s="26">
        <f t="shared" si="134"/>
        <v>1.4887719817441554</v>
      </c>
      <c r="GR36" s="26">
        <f t="shared" si="134"/>
        <v>1.5443530149254041</v>
      </c>
      <c r="GS36" s="26">
        <f t="shared" si="134"/>
        <v>1.6021064704953976</v>
      </c>
      <c r="GT36" s="26">
        <f t="shared" si="134"/>
        <v>1.6621169990845803</v>
      </c>
      <c r="GU36" s="26">
        <f t="shared" si="135"/>
        <v>5.509689740928911</v>
      </c>
      <c r="GV36" s="26">
        <f t="shared" si="136"/>
        <v>4.6692601619939724</v>
      </c>
      <c r="GW36" s="26">
        <f t="shared" si="43"/>
        <v>3.7991796257583119</v>
      </c>
      <c r="GX36" s="26">
        <f t="shared" si="43"/>
        <v>2.8982956993899212</v>
      </c>
      <c r="GY36" s="26">
        <f t="shared" si="43"/>
        <v>1.9656491705116972</v>
      </c>
      <c r="GZ36" s="26">
        <f t="shared" si="43"/>
        <v>0.99999999999999944</v>
      </c>
      <c r="HA36" s="26">
        <f t="shared" si="43"/>
        <v>0</v>
      </c>
      <c r="HB36" s="26">
        <f t="shared" si="43"/>
        <v>-1.0359271011407891</v>
      </c>
      <c r="HC36" s="26">
        <f t="shared" si="43"/>
        <v>-2.1095782169786363</v>
      </c>
      <c r="HD36" s="26">
        <f t="shared" si="43"/>
        <v>-3.2229551660594895</v>
      </c>
      <c r="HE36" s="26">
        <f t="shared" si="43"/>
        <v>-4.378072654239058</v>
      </c>
      <c r="HF36" s="26">
        <f t="shared" si="43"/>
        <v>-5.5766816909706867</v>
      </c>
      <c r="HG36" s="26">
        <f t="shared" si="43"/>
        <v>-6.8203205675345018</v>
      </c>
      <c r="HH36" s="26">
        <f t="shared" si="43"/>
        <v>-8.1105841263399281</v>
      </c>
      <c r="HI36" s="26">
        <f t="shared" si="43"/>
        <v>-9.4491075368510717</v>
      </c>
      <c r="HJ36" s="26">
        <f t="shared" si="43"/>
        <v>-10.83770951013212</v>
      </c>
      <c r="HK36" s="26">
        <f t="shared" si="43"/>
        <v>-12.278438323374537</v>
      </c>
      <c r="HL36" s="26">
        <f t="shared" si="137"/>
        <v>-13.773371020044696</v>
      </c>
      <c r="HM36" s="26">
        <f t="shared" si="137"/>
        <v>-15.324912313763853</v>
      </c>
      <c r="HN36" s="26">
        <f t="shared" si="137"/>
        <v>-16.93540751070724</v>
      </c>
      <c r="HO36" s="26">
        <f t="shared" si="137"/>
        <v>-18.607218844723715</v>
      </c>
      <c r="HP36" s="26">
        <f t="shared" si="44"/>
        <v>515068.71956233773</v>
      </c>
      <c r="HQ36" s="26">
        <f t="shared" si="45"/>
        <v>532876.087144405</v>
      </c>
      <c r="HR36" s="26">
        <f t="shared" si="46"/>
        <v>551332.42260387889</v>
      </c>
      <c r="HS36" s="26">
        <f t="shared" si="47"/>
        <v>570474.82920955366</v>
      </c>
      <c r="HT36" s="26">
        <f t="shared" si="48"/>
        <v>590309.71643470018</v>
      </c>
      <c r="HU36" s="26">
        <f t="shared" si="49"/>
        <v>610874.91959092335</v>
      </c>
      <c r="HV36" s="26">
        <f t="shared" si="50"/>
        <v>632215.9078880985</v>
      </c>
      <c r="HW36" s="26">
        <f t="shared" si="51"/>
        <v>654397.50981714332</v>
      </c>
      <c r="HX36" s="26">
        <f t="shared" si="52"/>
        <v>677509.51886098459</v>
      </c>
      <c r="HY36" s="26">
        <f t="shared" si="53"/>
        <v>701660.52611408022</v>
      </c>
      <c r="HZ36" s="26">
        <f t="shared" si="54"/>
        <v>726959.15084160818</v>
      </c>
      <c r="IA36" s="26">
        <f t="shared" si="55"/>
        <v>753482.92158675741</v>
      </c>
      <c r="IB36" s="26">
        <f t="shared" si="56"/>
        <v>781281.08600954397</v>
      </c>
      <c r="IC36" s="26">
        <f t="shared" si="57"/>
        <v>810402.95401610981</v>
      </c>
      <c r="ID36" s="26">
        <f t="shared" si="58"/>
        <v>840896.91525321477</v>
      </c>
      <c r="IE36" s="26">
        <f t="shared" si="59"/>
        <v>872826.26779148518</v>
      </c>
      <c r="IF36" s="26">
        <f t="shared" si="60"/>
        <v>906274.635046807</v>
      </c>
      <c r="IG36" s="26">
        <f t="shared" si="61"/>
        <v>941324.02001329698</v>
      </c>
      <c r="IH36" s="26">
        <f t="shared" si="62"/>
        <v>978087.59707175265</v>
      </c>
      <c r="II36" s="26">
        <f t="shared" si="63"/>
        <v>-1519450394889.3499</v>
      </c>
      <c r="IJ36" s="26">
        <f t="shared" si="64"/>
        <v>534862.37946979504</v>
      </c>
      <c r="IK36" s="26">
        <f t="shared" si="65"/>
        <v>552340.22227029479</v>
      </c>
      <c r="IL36" s="26">
        <f t="shared" si="66"/>
        <v>570535.38616050896</v>
      </c>
      <c r="IM36" s="26">
        <f t="shared" si="67"/>
        <v>589491.1529679955</v>
      </c>
      <c r="IN36" s="26">
        <f t="shared" si="68"/>
        <v>609219.69843491458</v>
      </c>
      <c r="IO36" s="26">
        <f t="shared" si="69"/>
        <v>629765.77714257047</v>
      </c>
      <c r="IP36" s="26">
        <f t="shared" si="70"/>
        <v>651182.38512474147</v>
      </c>
      <c r="IQ36" s="26">
        <f t="shared" si="71"/>
        <v>673542.82213655324</v>
      </c>
      <c r="IR36" s="26">
        <f t="shared" si="72"/>
        <v>696946.54115645401</v>
      </c>
      <c r="IS36" s="26">
        <f t="shared" si="73"/>
        <v>721512.87589717493</v>
      </c>
      <c r="IT36" s="26">
        <f t="shared" si="74"/>
        <v>747361.84351147979</v>
      </c>
      <c r="IU36" s="26">
        <f t="shared" si="75"/>
        <v>774582.19452477153</v>
      </c>
      <c r="IV36" s="26">
        <f t="shared" si="76"/>
        <v>803234.25245153508</v>
      </c>
      <c r="IW36" s="26">
        <f t="shared" si="77"/>
        <v>833379.03019744006</v>
      </c>
      <c r="IX36" s="26">
        <f t="shared" si="78"/>
        <v>865077.2576787197</v>
      </c>
      <c r="IY36" s="26">
        <f t="shared" si="79"/>
        <v>898405.71221154381</v>
      </c>
      <c r="IZ36" s="26">
        <f t="shared" si="80"/>
        <v>933462.87409821118</v>
      </c>
      <c r="JA36" s="26">
        <f t="shared" si="81"/>
        <v>970346.4037523407</v>
      </c>
      <c r="JB36" s="26">
        <f t="shared" si="82"/>
        <v>1009186.9904127965</v>
      </c>
      <c r="JC36" s="26">
        <f t="shared" si="83"/>
        <v>-1565033903798.6204</v>
      </c>
      <c r="JD36" s="26">
        <f t="shared" si="84"/>
        <v>156143.11902827694</v>
      </c>
      <c r="JE36" s="26">
        <f t="shared" si="85"/>
        <v>248166.55037074175</v>
      </c>
      <c r="JF36" s="26">
        <f t="shared" si="86"/>
        <v>343564.32075080893</v>
      </c>
      <c r="JG36" s="26">
        <f t="shared" si="87"/>
        <v>442429.99721290433</v>
      </c>
      <c r="JH36" s="26">
        <f t="shared" si="88"/>
        <v>544913.5544142432</v>
      </c>
      <c r="JI36" s="26">
        <f t="shared" si="89"/>
        <v>651182.38512474147</v>
      </c>
      <c r="JJ36" s="26">
        <f t="shared" si="90"/>
        <v>761443.53925286187</v>
      </c>
      <c r="JK36" s="26">
        <f t="shared" si="91"/>
        <v>875948.94188635272</v>
      </c>
      <c r="JL36" s="26">
        <f t="shared" si="92"/>
        <v>994987.78549106768</v>
      </c>
      <c r="JM36" s="26">
        <f t="shared" si="93"/>
        <v>1118851.0394897712</v>
      </c>
      <c r="JN36" s="26">
        <f t="shared" si="94"/>
        <v>1247776.0314520008</v>
      </c>
      <c r="JO36" s="26">
        <f t="shared" si="95"/>
        <v>1381953.6123265638</v>
      </c>
      <c r="JP36" s="26">
        <f t="shared" si="96"/>
        <v>1521580.1209424711</v>
      </c>
      <c r="JQ36" s="26">
        <f t="shared" si="97"/>
        <v>1666855.0349795225</v>
      </c>
      <c r="JR36" s="26">
        <f t="shared" si="98"/>
        <v>1818009.4534301849</v>
      </c>
      <c r="JS36" s="26">
        <f t="shared" si="99"/>
        <v>1975315.6574692163</v>
      </c>
      <c r="JT36" s="26">
        <f t="shared" si="100"/>
        <v>2139047.549265061</v>
      </c>
      <c r="JU36" s="26">
        <f t="shared" si="101"/>
        <v>2309539.8633523718</v>
      </c>
      <c r="JV36" s="26">
        <f t="shared" si="102"/>
        <v>-1565032466791.6501</v>
      </c>
      <c r="JW36" s="26">
        <f t="shared" si="103"/>
        <v>1735006.9967955016</v>
      </c>
      <c r="JX36" s="26" t="e">
        <f>AH36+$AG$38*0.004*(1+$R$28)*#REF!-S36*#REF!</f>
        <v>#REF!</v>
      </c>
      <c r="JY36" s="34">
        <f t="shared" si="104"/>
        <v>5.0315696044217664E-2</v>
      </c>
      <c r="JZ36" s="4">
        <f t="shared" si="105"/>
        <v>48015.268232853035</v>
      </c>
      <c r="KA36" s="165"/>
      <c r="KB36" s="163">
        <v>9</v>
      </c>
      <c r="KC36" s="163">
        <f>((1+0.035)^(-1))*(1-((1+0.035)^(-m-n+9)))/(1-((1+0.035)^(-1)))</f>
        <v>2.8016369809136528</v>
      </c>
      <c r="KD36" s="163">
        <f>((1+0.035)^(-1))*(1-((1+0.035)^(-m-(n/2)+9/2)))/(1-((1+0.035)^(-1)))</f>
        <v>3.6730792086122257</v>
      </c>
      <c r="KE36" s="61">
        <f>IF(KB36&lt;=n,VLOOKUP(A28+x,A28:KF139,271)*(1-txpen_rachat),0)</f>
        <v>0</v>
      </c>
      <c r="KF36" s="164">
        <f>IF(KB36&lt;=n,VLOOKUP(A28+x,A28:KF139,271),0)</f>
        <v>0</v>
      </c>
    </row>
    <row r="37" spans="1:293" ht="15.75" x14ac:dyDescent="0.3">
      <c r="A37" s="34">
        <v>36</v>
      </c>
      <c r="B37" s="34">
        <v>9</v>
      </c>
      <c r="C37" s="2">
        <v>991147</v>
      </c>
      <c r="D37" s="1">
        <f t="shared" si="106"/>
        <v>294</v>
      </c>
      <c r="E37" s="145">
        <f t="shared" si="107"/>
        <v>0.99970337396975428</v>
      </c>
      <c r="F37" s="146">
        <f t="shared" si="108"/>
        <v>2.9662603024571688E-4</v>
      </c>
      <c r="G37" s="158">
        <f t="shared" si="3"/>
        <v>3.707825378071461E-4</v>
      </c>
      <c r="H37" s="43">
        <f t="shared" si="109"/>
        <v>366.68215527143616</v>
      </c>
      <c r="I37" s="43">
        <f t="shared" si="139"/>
        <v>988941.27387994016</v>
      </c>
      <c r="J37" s="43">
        <f t="shared" si="110"/>
        <v>991000</v>
      </c>
      <c r="K37" s="147">
        <f>SUM(J37:$J$138)</f>
        <v>64563963.5</v>
      </c>
      <c r="L37" s="147">
        <f t="shared" si="111"/>
        <v>65.140653707270459</v>
      </c>
      <c r="M37" s="43">
        <f t="shared" si="4"/>
        <v>1238750</v>
      </c>
      <c r="N37" s="148">
        <f t="shared" si="5"/>
        <v>80704954.375</v>
      </c>
      <c r="O37" s="147">
        <f t="shared" si="6"/>
        <v>81.425817134088078</v>
      </c>
      <c r="P37" s="157">
        <f t="shared" si="7"/>
        <v>725616.84232236387</v>
      </c>
      <c r="Q37" s="43">
        <f t="shared" si="8"/>
        <v>1238933.75</v>
      </c>
      <c r="R37" s="43">
        <f t="shared" si="9"/>
        <v>264.45784358403102</v>
      </c>
      <c r="S37" s="43">
        <f>SUM(R37:$R$138)</f>
        <v>104863.71787105547</v>
      </c>
      <c r="T37" s="43">
        <f t="shared" si="112"/>
        <v>5218923.7288651643</v>
      </c>
      <c r="U37" s="153">
        <f>SUM(P37:$P$138)</f>
        <v>18409439.460944436</v>
      </c>
      <c r="V37" s="129">
        <f t="shared" si="10"/>
        <v>13822910.320268864</v>
      </c>
      <c r="W37" s="43">
        <f t="shared" si="113"/>
        <v>568191.97802492685</v>
      </c>
      <c r="X37" s="26">
        <f t="shared" si="114"/>
        <v>6.3208691876503504</v>
      </c>
      <c r="Y37" s="26">
        <f t="shared" si="115"/>
        <v>0.78304684357436793</v>
      </c>
      <c r="Z37" s="43">
        <f t="shared" si="11"/>
        <v>102498.53793024956</v>
      </c>
      <c r="AA37" s="149">
        <f t="shared" si="116"/>
        <v>3.2595438843950604E-3</v>
      </c>
      <c r="AB37" s="150">
        <f t="shared" si="138"/>
        <v>17683822.618622076</v>
      </c>
      <c r="AC37" s="150">
        <f t="shared" si="117"/>
        <v>13254718.342243936</v>
      </c>
      <c r="AD37" s="26">
        <f t="shared" si="118"/>
        <v>6.103916031224724</v>
      </c>
      <c r="AE37" s="26">
        <f t="shared" si="12"/>
        <v>515643.47335549846</v>
      </c>
      <c r="AF37" s="43">
        <f t="shared" si="119"/>
        <v>81577.937787884832</v>
      </c>
      <c r="AG37" s="43">
        <f t="shared" si="13"/>
        <v>536445.37152875459</v>
      </c>
      <c r="AH37" s="27">
        <f t="shared" si="14"/>
        <v>88711.727983721095</v>
      </c>
      <c r="AI37" s="28">
        <f t="shared" si="120"/>
        <v>576822.98013844586</v>
      </c>
      <c r="AJ37" s="20">
        <f t="shared" si="15"/>
        <v>95388.95482120548</v>
      </c>
      <c r="AK37" s="3">
        <f t="shared" si="16"/>
        <v>8267.0427511711423</v>
      </c>
      <c r="AL37" s="3"/>
      <c r="AM37" s="46">
        <f t="shared" si="121"/>
        <v>17683822.618622076</v>
      </c>
      <c r="AN37" s="46">
        <f t="shared" si="122"/>
        <v>16983003.49179301</v>
      </c>
      <c r="AO37" s="46">
        <f t="shared" si="122"/>
        <v>16306150.077070862</v>
      </c>
      <c r="AP37" s="3">
        <f t="shared" si="17"/>
        <v>15652443.732161334</v>
      </c>
      <c r="AQ37" s="3">
        <f t="shared" si="17"/>
        <v>15021136.802205658</v>
      </c>
      <c r="AR37" s="16">
        <f t="shared" si="17"/>
        <v>14411515.788955677</v>
      </c>
      <c r="AS37" s="16">
        <f t="shared" si="17"/>
        <v>13822910.320268864</v>
      </c>
      <c r="AT37" s="16">
        <f t="shared" si="17"/>
        <v>13254718.342243936</v>
      </c>
      <c r="AU37" s="16">
        <f t="shared" si="17"/>
        <v>12706363.492254766</v>
      </c>
      <c r="AV37" s="16">
        <f t="shared" si="17"/>
        <v>12177298.640637327</v>
      </c>
      <c r="AW37" s="16">
        <f t="shared" si="17"/>
        <v>11666978.843601737</v>
      </c>
      <c r="AX37" s="16">
        <f t="shared" si="17"/>
        <v>11174833.676019788</v>
      </c>
      <c r="AY37" s="16">
        <f t="shared" si="17"/>
        <v>10700269.162389321</v>
      </c>
      <c r="AZ37" s="16">
        <f t="shared" si="17"/>
        <v>10242688.479080243</v>
      </c>
      <c r="BA37" s="16">
        <f t="shared" si="17"/>
        <v>9801501.0660238042</v>
      </c>
      <c r="BB37" s="16">
        <f t="shared" si="17"/>
        <v>9376133.074879365</v>
      </c>
      <c r="BC37" s="16">
        <f t="shared" si="17"/>
        <v>8966033.4692568444</v>
      </c>
      <c r="BD37" s="16">
        <f t="shared" si="18"/>
        <v>8570670.3942497224</v>
      </c>
      <c r="BE37" s="16">
        <f t="shared" si="18"/>
        <v>8189536.3769633677</v>
      </c>
      <c r="BF37" s="16">
        <f t="shared" si="18"/>
        <v>7822141.6503789313</v>
      </c>
      <c r="BG37" s="16">
        <f t="shared" si="18"/>
        <v>7468011.6649380811</v>
      </c>
      <c r="BH37" s="172">
        <f t="shared" si="123"/>
        <v>700819.12682907446</v>
      </c>
      <c r="BI37" s="16">
        <f t="shared" si="19"/>
        <v>676853.41472214996</v>
      </c>
      <c r="BJ37" s="16">
        <f t="shared" si="19"/>
        <v>653706.34490952641</v>
      </c>
      <c r="BK37" s="16">
        <f t="shared" si="19"/>
        <v>631306.92995567387</v>
      </c>
      <c r="BL37" s="16">
        <f t="shared" si="19"/>
        <v>609621.01324998064</v>
      </c>
      <c r="BM37" s="16">
        <f t="shared" si="19"/>
        <v>588605.46868681419</v>
      </c>
      <c r="BN37" s="16">
        <f t="shared" si="19"/>
        <v>568191.97802492685</v>
      </c>
      <c r="BO37" s="16">
        <f t="shared" si="19"/>
        <v>548354.84998917021</v>
      </c>
      <c r="BP37" s="16">
        <f t="shared" si="19"/>
        <v>529064.85161743569</v>
      </c>
      <c r="BQ37" s="16">
        <f t="shared" si="19"/>
        <v>510319.79703559174</v>
      </c>
      <c r="BR37" s="16">
        <f t="shared" si="20"/>
        <v>492145.1675819463</v>
      </c>
      <c r="BS37" s="16">
        <f t="shared" si="20"/>
        <v>474564.51363046817</v>
      </c>
      <c r="BT37" s="16">
        <f t="shared" si="20"/>
        <v>457580.68330907432</v>
      </c>
      <c r="BU37" s="16">
        <f t="shared" si="20"/>
        <v>441187.41305644001</v>
      </c>
      <c r="BV37" s="16">
        <f t="shared" si="20"/>
        <v>425367.99114443822</v>
      </c>
      <c r="BW37" s="16">
        <f t="shared" si="20"/>
        <v>410099.60562251828</v>
      </c>
      <c r="BX37" s="16">
        <f t="shared" si="20"/>
        <v>395363.07500712067</v>
      </c>
      <c r="BY37" s="16">
        <f t="shared" si="20"/>
        <v>381134.01728635549</v>
      </c>
      <c r="BZ37" s="16">
        <f t="shared" si="20"/>
        <v>367394.72658443713</v>
      </c>
      <c r="CA37" s="16">
        <f t="shared" si="20"/>
        <v>354129.98544085148</v>
      </c>
      <c r="CB37" s="16">
        <f t="shared" si="20"/>
        <v>341321.86509012192</v>
      </c>
      <c r="CC37" s="18">
        <f t="shared" si="124"/>
        <v>5.5091423029823572</v>
      </c>
      <c r="CD37" s="18">
        <f t="shared" si="21"/>
        <v>4.6687999244583454</v>
      </c>
      <c r="CE37" s="18">
        <f t="shared" si="21"/>
        <v>3.7987083590961337</v>
      </c>
      <c r="CF37" s="18">
        <f t="shared" si="21"/>
        <v>2.8980093914396403</v>
      </c>
      <c r="CG37" s="18">
        <f t="shared" si="21"/>
        <v>1.965526869798778</v>
      </c>
      <c r="CH37" s="18">
        <f t="shared" si="21"/>
        <v>0.99999999999999878</v>
      </c>
      <c r="CI37" s="18">
        <f t="shared" si="21"/>
        <v>0</v>
      </c>
      <c r="CJ37" s="18">
        <f t="shared" si="21"/>
        <v>-1.0361757136572229</v>
      </c>
      <c r="CK37" s="18">
        <f t="shared" si="21"/>
        <v>-2.1104158112198084</v>
      </c>
      <c r="CL37" s="18">
        <f t="shared" si="21"/>
        <v>-3.2246675304206653</v>
      </c>
      <c r="CM37" s="18">
        <f t="shared" si="21"/>
        <v>-4.3806819992967743</v>
      </c>
      <c r="CN37" s="18">
        <f t="shared" si="21"/>
        <v>-5.5800140301073347</v>
      </c>
      <c r="CO37" s="18">
        <f t="shared" si="21"/>
        <v>-6.824241651325007</v>
      </c>
      <c r="CP37" s="18">
        <f t="shared" si="21"/>
        <v>-8.1149682317219956</v>
      </c>
      <c r="CQ37" s="18">
        <f t="shared" si="21"/>
        <v>-9.453953607147529</v>
      </c>
      <c r="CR37" s="18">
        <f t="shared" si="21"/>
        <v>-10.843163915360101</v>
      </c>
      <c r="CS37" s="18">
        <f t="shared" si="21"/>
        <v>-12.284599038300541</v>
      </c>
      <c r="CT37" s="18">
        <f t="shared" si="125"/>
        <v>-13.780559298838451</v>
      </c>
      <c r="CU37" s="18">
        <f t="shared" si="125"/>
        <v>-15.333301040211845</v>
      </c>
      <c r="CV37" s="18">
        <f t="shared" si="125"/>
        <v>-16.945101845639137</v>
      </c>
      <c r="CW37" s="18">
        <f t="shared" si="22"/>
        <v>-18.618492705273507</v>
      </c>
      <c r="CX37" s="17">
        <f t="shared" si="23"/>
        <v>271.13847535729514</v>
      </c>
      <c r="CY37" s="17">
        <f t="shared" si="126"/>
        <v>262.78849250463281</v>
      </c>
      <c r="CZ37" s="17">
        <f t="shared" si="126"/>
        <v>298.49368988683381</v>
      </c>
      <c r="DA37" s="17">
        <f t="shared" si="126"/>
        <v>343.22643576547995</v>
      </c>
      <c r="DB37" s="17">
        <f t="shared" si="126"/>
        <v>407.28693547186185</v>
      </c>
      <c r="DC37" s="17">
        <f t="shared" si="126"/>
        <v>517.78806823576224</v>
      </c>
      <c r="DD37" s="17">
        <f t="shared" si="24"/>
        <v>633.7136723808095</v>
      </c>
      <c r="DE37" s="17">
        <f t="shared" si="24"/>
        <v>759.55074145799949</v>
      </c>
      <c r="DF37" s="3" t="e">
        <f>#REF!+$AG$35*0.004*(1+$R$28)*#REF!-S37*#REF!</f>
        <v>#REF!</v>
      </c>
      <c r="DG37" s="19">
        <f t="shared" si="25"/>
        <v>1045.7393822915915</v>
      </c>
      <c r="DH37" s="19">
        <f t="shared" si="26"/>
        <v>919.23489684282731</v>
      </c>
      <c r="DI37" s="19">
        <f t="shared" si="27"/>
        <v>832.6027722646578</v>
      </c>
      <c r="DJ37" s="19">
        <f t="shared" si="28"/>
        <v>750.69470931108037</v>
      </c>
      <c r="DK37" s="19">
        <f t="shared" si="29"/>
        <v>683.64554307683545</v>
      </c>
      <c r="DL37" s="19">
        <f t="shared" si="30"/>
        <v>658.39088158385232</v>
      </c>
      <c r="DM37" s="19">
        <f t="shared" si="31"/>
        <v>633.7136723808095</v>
      </c>
      <c r="DN37" s="19">
        <f t="shared" si="32"/>
        <v>613.86152099482877</v>
      </c>
      <c r="DO37" s="173">
        <f t="shared" si="127"/>
        <v>104599.26002747144</v>
      </c>
      <c r="DP37" s="25">
        <f t="shared" si="33"/>
        <v>104328.12155211414</v>
      </c>
      <c r="DQ37" s="26">
        <f t="shared" si="33"/>
        <v>104065.33305960952</v>
      </c>
      <c r="DR37" s="26">
        <f t="shared" si="33"/>
        <v>103766.83936972267</v>
      </c>
      <c r="DS37" s="26">
        <f t="shared" si="33"/>
        <v>103423.61293395719</v>
      </c>
      <c r="DT37" s="26">
        <f t="shared" si="33"/>
        <v>103016.32599848532</v>
      </c>
      <c r="DU37" s="26">
        <f t="shared" si="33"/>
        <v>102498.53793024956</v>
      </c>
      <c r="DV37" s="26">
        <f t="shared" si="33"/>
        <v>101864.82425786875</v>
      </c>
      <c r="DW37" s="26">
        <f t="shared" si="33"/>
        <v>101105.27351641076</v>
      </c>
      <c r="DX37" s="26">
        <f t="shared" si="33"/>
        <v>100236.48487711092</v>
      </c>
      <c r="DY37" s="26">
        <f t="shared" si="33"/>
        <v>99303.129534979467</v>
      </c>
      <c r="DZ37" s="26">
        <f t="shared" si="33"/>
        <v>98348.790857044893</v>
      </c>
      <c r="EA37" s="26">
        <f t="shared" si="33"/>
        <v>97396.800997133396</v>
      </c>
      <c r="EB37" s="26">
        <f t="shared" si="33"/>
        <v>96461.320321095467</v>
      </c>
      <c r="EC37" s="26">
        <f t="shared" si="33"/>
        <v>95545.664271464426</v>
      </c>
      <c r="ED37" s="26">
        <f t="shared" si="33"/>
        <v>94646.3672969162</v>
      </c>
      <c r="EE37" s="26">
        <f t="shared" si="33"/>
        <v>93762.872497552977</v>
      </c>
      <c r="EF37" s="26">
        <f t="shared" si="34"/>
        <v>92888.672315653326</v>
      </c>
      <c r="EG37" s="26">
        <f t="shared" si="34"/>
        <v>92023.212339849706</v>
      </c>
      <c r="EH37" s="26">
        <f t="shared" si="34"/>
        <v>91167.860609376687</v>
      </c>
      <c r="EI37" s="26">
        <f t="shared" si="34"/>
        <v>90320.703290559817</v>
      </c>
      <c r="EJ37" s="26">
        <f t="shared" si="128"/>
        <v>2.9975239213672769E-3</v>
      </c>
      <c r="EK37" s="26">
        <f t="shared" si="129"/>
        <v>2.7030721601894172E-3</v>
      </c>
      <c r="EL37" s="26">
        <f t="shared" si="36"/>
        <v>2.3967873978289252E-3</v>
      </c>
      <c r="EM37" s="26">
        <f t="shared" si="36"/>
        <v>2.0090092145229042E-3</v>
      </c>
      <c r="EN37" s="26">
        <f t="shared" si="36"/>
        <v>1.5174591813624056E-3</v>
      </c>
      <c r="EO37" s="26">
        <f t="shared" si="36"/>
        <v>8.7968613236121614E-4</v>
      </c>
      <c r="EP37" s="26">
        <f t="shared" si="36"/>
        <v>0</v>
      </c>
      <c r="EQ37" s="26">
        <f t="shared" si="36"/>
        <v>-1.1556634766580851E-3</v>
      </c>
      <c r="ER37" s="26">
        <f t="shared" si="36"/>
        <v>-2.6334473166746324E-3</v>
      </c>
      <c r="ES37" s="26">
        <f t="shared" si="36"/>
        <v>-4.4326186565340469E-3</v>
      </c>
      <c r="ET37" s="26">
        <f t="shared" si="36"/>
        <v>-6.4928167657727276E-3</v>
      </c>
      <c r="EU37" s="26">
        <f t="shared" si="36"/>
        <v>-8.7443265436318966E-3</v>
      </c>
      <c r="EV37" s="26">
        <f t="shared" si="36"/>
        <v>-1.1149371289500384E-2</v>
      </c>
      <c r="EW37" s="26">
        <f t="shared" si="36"/>
        <v>-1.3684020510308084E-2</v>
      </c>
      <c r="EX37" s="26">
        <f t="shared" si="36"/>
        <v>-1.6345549744066681E-2</v>
      </c>
      <c r="EY37" s="26">
        <f t="shared" si="36"/>
        <v>-1.9146984112345118E-2</v>
      </c>
      <c r="EZ37" s="26">
        <f t="shared" si="36"/>
        <v>-2.2095299194390489E-2</v>
      </c>
      <c r="FA37" s="26">
        <f t="shared" si="37"/>
        <v>-2.521387537910608E-2</v>
      </c>
      <c r="FB37" s="26">
        <f t="shared" si="37"/>
        <v>-2.8512454949437986E-2</v>
      </c>
      <c r="FC37" s="26">
        <f t="shared" si="37"/>
        <v>-3.1995814493843179E-2</v>
      </c>
      <c r="FD37" s="26">
        <f t="shared" si="37"/>
        <v>-3.5678448658641684E-2</v>
      </c>
      <c r="FE37" s="26">
        <f t="shared" si="130"/>
        <v>5.3198963995433024</v>
      </c>
      <c r="FF37" s="26">
        <f t="shared" si="38"/>
        <v>4.5082608264295256</v>
      </c>
      <c r="FG37" s="26">
        <f t="shared" si="38"/>
        <v>3.6678937088322821</v>
      </c>
      <c r="FH37" s="26">
        <f t="shared" si="38"/>
        <v>2.7980343255312401</v>
      </c>
      <c r="FI37" s="26">
        <f t="shared" si="38"/>
        <v>1.8975681965827942</v>
      </c>
      <c r="FJ37" s="26">
        <f t="shared" si="38"/>
        <v>0.96531889058484455</v>
      </c>
      <c r="FK37" s="26">
        <f t="shared" si="38"/>
        <v>0</v>
      </c>
      <c r="FL37" s="26">
        <f t="shared" si="38"/>
        <v>-1</v>
      </c>
      <c r="FM37" s="26">
        <f t="shared" si="38"/>
        <v>-2.0364605554739934</v>
      </c>
      <c r="FN37" s="26">
        <f t="shared" si="38"/>
        <v>-3.1112637759014148</v>
      </c>
      <c r="FO37" s="26">
        <f t="shared" si="38"/>
        <v>-4.2261609037903023</v>
      </c>
      <c r="FP37" s="26">
        <f t="shared" si="38"/>
        <v>-5.3827226994130077</v>
      </c>
      <c r="FQ37" s="26">
        <f t="shared" si="38"/>
        <v>-6.5825109604314473</v>
      </c>
      <c r="FR37" s="26">
        <f t="shared" si="38"/>
        <v>-7.8270983578091569</v>
      </c>
      <c r="FS37" s="26">
        <f t="shared" si="38"/>
        <v>-9.1181878940382148</v>
      </c>
      <c r="FT37" s="26">
        <f t="shared" si="38"/>
        <v>-10.457666416130792</v>
      </c>
      <c r="FU37" s="26">
        <f t="shared" si="38"/>
        <v>-11.847459320549476</v>
      </c>
      <c r="FV37" s="26">
        <f t="shared" si="131"/>
        <v>-13.289766159799299</v>
      </c>
      <c r="FW37" s="26">
        <f t="shared" si="131"/>
        <v>-14.786757399514425</v>
      </c>
      <c r="FX37" s="26">
        <f t="shared" si="39"/>
        <v>12706363.492254766</v>
      </c>
      <c r="FY37" s="26">
        <f t="shared" si="40"/>
        <v>529064.85161743569</v>
      </c>
      <c r="FZ37" s="26">
        <f t="shared" si="132"/>
        <v>0.81075409656093111</v>
      </c>
      <c r="GA37" s="26">
        <f t="shared" si="133"/>
        <v>0.83946090197117662</v>
      </c>
      <c r="GB37" s="26">
        <f t="shared" si="42"/>
        <v>0.8691853497361498</v>
      </c>
      <c r="GC37" s="26">
        <f t="shared" si="42"/>
        <v>0.90002493409160178</v>
      </c>
      <c r="GD37" s="26">
        <f t="shared" si="42"/>
        <v>0.93204132678401386</v>
      </c>
      <c r="GE37" s="26">
        <f t="shared" si="42"/>
        <v>0.96531889058484277</v>
      </c>
      <c r="GF37" s="26">
        <f t="shared" si="42"/>
        <v>1</v>
      </c>
      <c r="GG37" s="26">
        <f t="shared" si="42"/>
        <v>1.0361757136572212</v>
      </c>
      <c r="GH37" s="26">
        <f t="shared" si="42"/>
        <v>1.073955255745819</v>
      </c>
      <c r="GI37" s="26">
        <f t="shared" si="42"/>
        <v>1.1134037545192448</v>
      </c>
      <c r="GJ37" s="26">
        <f t="shared" si="42"/>
        <v>1.154521095506476</v>
      </c>
      <c r="GK37" s="26">
        <f t="shared" si="42"/>
        <v>1.1972913306943218</v>
      </c>
      <c r="GL37" s="26">
        <f t="shared" si="42"/>
        <v>1.2417306908935659</v>
      </c>
      <c r="GM37" s="26">
        <f t="shared" si="42"/>
        <v>1.287869873912834</v>
      </c>
      <c r="GN37" s="26">
        <f t="shared" si="42"/>
        <v>1.3357657131093139</v>
      </c>
      <c r="GO37" s="26">
        <f t="shared" si="42"/>
        <v>1.3854974992293136</v>
      </c>
      <c r="GP37" s="26">
        <f t="shared" si="42"/>
        <v>1.4371397177510659</v>
      </c>
      <c r="GQ37" s="26">
        <f t="shared" si="134"/>
        <v>1.4907931390391482</v>
      </c>
      <c r="GR37" s="26">
        <f t="shared" si="134"/>
        <v>1.5465436406974153</v>
      </c>
      <c r="GS37" s="26">
        <f t="shared" si="134"/>
        <v>1.6044729375785352</v>
      </c>
      <c r="GT37" s="26">
        <f t="shared" si="134"/>
        <v>1.6646808661815515</v>
      </c>
      <c r="GU37" s="26">
        <f t="shared" si="135"/>
        <v>5.5091423029823572</v>
      </c>
      <c r="GV37" s="26">
        <f t="shared" si="136"/>
        <v>4.6687999244583454</v>
      </c>
      <c r="GW37" s="26">
        <f t="shared" si="43"/>
        <v>3.7987083590961337</v>
      </c>
      <c r="GX37" s="26">
        <f t="shared" si="43"/>
        <v>2.8980093914396403</v>
      </c>
      <c r="GY37" s="26">
        <f t="shared" si="43"/>
        <v>1.965526869798778</v>
      </c>
      <c r="GZ37" s="26">
        <f t="shared" si="43"/>
        <v>0.99999999999999878</v>
      </c>
      <c r="HA37" s="26">
        <f t="shared" si="43"/>
        <v>0</v>
      </c>
      <c r="HB37" s="26">
        <f t="shared" si="43"/>
        <v>-1.0361757136572229</v>
      </c>
      <c r="HC37" s="26">
        <f t="shared" si="43"/>
        <v>-2.1104158112198084</v>
      </c>
      <c r="HD37" s="26">
        <f t="shared" si="43"/>
        <v>-3.2246675304206653</v>
      </c>
      <c r="HE37" s="26">
        <f t="shared" si="43"/>
        <v>-4.3806819992967743</v>
      </c>
      <c r="HF37" s="26">
        <f t="shared" si="43"/>
        <v>-5.5800140301073347</v>
      </c>
      <c r="HG37" s="26">
        <f t="shared" si="43"/>
        <v>-6.824241651325007</v>
      </c>
      <c r="HH37" s="26">
        <f t="shared" si="43"/>
        <v>-8.1149682317219956</v>
      </c>
      <c r="HI37" s="26">
        <f t="shared" si="43"/>
        <v>-9.453953607147529</v>
      </c>
      <c r="HJ37" s="26">
        <f t="shared" si="43"/>
        <v>-10.843163915360101</v>
      </c>
      <c r="HK37" s="26">
        <f t="shared" si="43"/>
        <v>-12.284599038300541</v>
      </c>
      <c r="HL37" s="26">
        <f t="shared" si="137"/>
        <v>-13.780559298838451</v>
      </c>
      <c r="HM37" s="26">
        <f t="shared" si="137"/>
        <v>-15.333301040211845</v>
      </c>
      <c r="HN37" s="26">
        <f t="shared" si="137"/>
        <v>-16.945101845639137</v>
      </c>
      <c r="HO37" s="26">
        <f t="shared" si="137"/>
        <v>-18.618492705273507</v>
      </c>
      <c r="HP37" s="26">
        <f t="shared" si="44"/>
        <v>515157.3572960954</v>
      </c>
      <c r="HQ37" s="26">
        <f t="shared" si="45"/>
        <v>532954.3170147005</v>
      </c>
      <c r="HR37" s="26">
        <f t="shared" si="46"/>
        <v>551412.73799289286</v>
      </c>
      <c r="HS37" s="26">
        <f t="shared" si="47"/>
        <v>570530.82353333</v>
      </c>
      <c r="HT37" s="26">
        <f t="shared" si="48"/>
        <v>590342.57276452752</v>
      </c>
      <c r="HU37" s="26">
        <f t="shared" si="49"/>
        <v>610887.04721956037</v>
      </c>
      <c r="HV37" s="26">
        <f t="shared" si="50"/>
        <v>632215.9078880985</v>
      </c>
      <c r="HW37" s="26">
        <f t="shared" si="51"/>
        <v>654412.00262799975</v>
      </c>
      <c r="HX37" s="26">
        <f t="shared" si="52"/>
        <v>677574.95584961982</v>
      </c>
      <c r="HY37" s="26">
        <f t="shared" si="53"/>
        <v>701809.79430136469</v>
      </c>
      <c r="HZ37" s="26">
        <f t="shared" si="54"/>
        <v>727198.3432171687</v>
      </c>
      <c r="IA37" s="26">
        <f t="shared" si="55"/>
        <v>753796.17631166335</v>
      </c>
      <c r="IB37" s="26">
        <f t="shared" si="56"/>
        <v>781655.26504653937</v>
      </c>
      <c r="IC37" s="26">
        <f t="shared" si="57"/>
        <v>810825.10396468849</v>
      </c>
      <c r="ID37" s="26">
        <f t="shared" si="58"/>
        <v>841367.15992681205</v>
      </c>
      <c r="IE37" s="26">
        <f t="shared" si="59"/>
        <v>873360.73145076423</v>
      </c>
      <c r="IF37" s="26">
        <f t="shared" si="60"/>
        <v>906884.24506653904</v>
      </c>
      <c r="IG37" s="26">
        <f t="shared" si="61"/>
        <v>942044.36292782484</v>
      </c>
      <c r="IH37" s="26">
        <f t="shared" si="62"/>
        <v>978938.03799662821</v>
      </c>
      <c r="II37" s="26">
        <f t="shared" si="63"/>
        <v>-1456589947414.1509</v>
      </c>
      <c r="IJ37" s="26">
        <f t="shared" si="64"/>
        <v>534953.24495815928</v>
      </c>
      <c r="IK37" s="26">
        <f t="shared" si="65"/>
        <v>552420.45623329689</v>
      </c>
      <c r="IL37" s="26">
        <f t="shared" si="66"/>
        <v>570617.7806822944</v>
      </c>
      <c r="IM37" s="26">
        <f t="shared" si="67"/>
        <v>589548.63922474766</v>
      </c>
      <c r="IN37" s="26">
        <f t="shared" si="68"/>
        <v>609253.46574888204</v>
      </c>
      <c r="IO37" s="26">
        <f t="shared" si="69"/>
        <v>629778.26860006654</v>
      </c>
      <c r="IP37" s="26">
        <f t="shared" si="70"/>
        <v>651182.38512474147</v>
      </c>
      <c r="IQ37" s="26">
        <f t="shared" si="71"/>
        <v>673557.63294931303</v>
      </c>
      <c r="IR37" s="26">
        <f t="shared" si="72"/>
        <v>697013.58857562311</v>
      </c>
      <c r="IS37" s="26">
        <f t="shared" si="73"/>
        <v>721665.98591331497</v>
      </c>
      <c r="IT37" s="26">
        <f t="shared" si="74"/>
        <v>747607.37362910365</v>
      </c>
      <c r="IU37" s="26">
        <f t="shared" si="75"/>
        <v>774903.94745226647</v>
      </c>
      <c r="IV37" s="26">
        <f t="shared" si="76"/>
        <v>803618.80296239001</v>
      </c>
      <c r="IW37" s="26">
        <f t="shared" si="77"/>
        <v>833813.12247462571</v>
      </c>
      <c r="IX37" s="26">
        <f t="shared" si="78"/>
        <v>865561.0729510712</v>
      </c>
      <c r="IY37" s="26">
        <f t="shared" si="79"/>
        <v>898955.90512311179</v>
      </c>
      <c r="IZ37" s="26">
        <f t="shared" si="80"/>
        <v>934090.7724185352</v>
      </c>
      <c r="JA37" s="26">
        <f t="shared" si="81"/>
        <v>971088.76542372222</v>
      </c>
      <c r="JB37" s="26">
        <f t="shared" si="82"/>
        <v>1010063.9062038483</v>
      </c>
      <c r="JC37" s="26">
        <f t="shared" si="83"/>
        <v>-1500287642897.4841</v>
      </c>
      <c r="JD37" s="26">
        <f t="shared" si="84"/>
        <v>156184.42670703266</v>
      </c>
      <c r="JE37" s="26">
        <f t="shared" si="85"/>
        <v>248225.48675440508</v>
      </c>
      <c r="JF37" s="26">
        <f t="shared" si="86"/>
        <v>343597.6982177631</v>
      </c>
      <c r="JG37" s="26">
        <f t="shared" si="87"/>
        <v>442441.31371462904</v>
      </c>
      <c r="JH37" s="26">
        <f t="shared" si="88"/>
        <v>544909.34383622941</v>
      </c>
      <c r="JI37" s="26">
        <f t="shared" si="89"/>
        <v>651182.38512474147</v>
      </c>
      <c r="JJ37" s="26">
        <f t="shared" si="90"/>
        <v>761496.75163380313</v>
      </c>
      <c r="JK37" s="26">
        <f t="shared" si="91"/>
        <v>876122.30927844951</v>
      </c>
      <c r="JL37" s="26">
        <f t="shared" si="92"/>
        <v>995340.05194097525</v>
      </c>
      <c r="JM37" s="26">
        <f t="shared" si="93"/>
        <v>1119391.1446417177</v>
      </c>
      <c r="JN37" s="26">
        <f t="shared" si="94"/>
        <v>1248473.7383546021</v>
      </c>
      <c r="JO37" s="26">
        <f t="shared" si="95"/>
        <v>1382784.8542389364</v>
      </c>
      <c r="JP37" s="26">
        <f t="shared" si="96"/>
        <v>1522521.7507935693</v>
      </c>
      <c r="JQ37" s="26">
        <f t="shared" si="97"/>
        <v>1667907.9503568825</v>
      </c>
      <c r="JR37" s="26">
        <f t="shared" si="98"/>
        <v>1819203.5676577631</v>
      </c>
      <c r="JS37" s="26">
        <f t="shared" si="99"/>
        <v>1976671.4839539712</v>
      </c>
      <c r="JT37" s="26">
        <f t="shared" si="100"/>
        <v>2140630.0157604404</v>
      </c>
      <c r="JU37" s="26">
        <f t="shared" si="101"/>
        <v>2311384.6785668549</v>
      </c>
      <c r="JV37" s="26">
        <f t="shared" si="102"/>
        <v>-1500286204784.9104</v>
      </c>
      <c r="JW37" s="26">
        <f t="shared" si="103"/>
        <v>1736315.8833269426</v>
      </c>
      <c r="JX37" s="26" t="e">
        <f>AH37+$AG$38*0.004*(1+$R$28)*#REF!-S37*#REF!</f>
        <v>#REF!</v>
      </c>
      <c r="JY37" s="34">
        <f t="shared" si="104"/>
        <v>5.029662603024572E-2</v>
      </c>
      <c r="JZ37" s="4">
        <f t="shared" si="105"/>
        <v>48062.492533371493</v>
      </c>
      <c r="KA37" s="165"/>
      <c r="KB37" s="163">
        <v>10</v>
      </c>
      <c r="KC37" s="163">
        <f>((1+0.035)^(-1))*(1-((1+0.035)^(-m-n+10)))/(1-((1+0.035)^(-1)))</f>
        <v>1.8996942752456316</v>
      </c>
      <c r="KD37" s="163">
        <f>((1+0.035)^(-1))*(1-((1+0.035)^(-m-(n/2)+10/2)))/(1-((1+0.035)^(-1)))</f>
        <v>3.2411053593649872</v>
      </c>
      <c r="KE37" s="61">
        <f>IF(KB37&lt;=n,VLOOKUP(A28+x,A28:KF139,272),0)</f>
        <v>0</v>
      </c>
      <c r="KF37" s="164">
        <f>IF(KB37&lt;=n,VLOOKUP(A28+x,A28:KF139,272),0)</f>
        <v>0</v>
      </c>
      <c r="KG37" s="168"/>
    </row>
    <row r="38" spans="1:293" ht="15.75" x14ac:dyDescent="0.3">
      <c r="A38" s="34">
        <v>37</v>
      </c>
      <c r="B38" s="34">
        <v>10</v>
      </c>
      <c r="C38" s="2">
        <v>990853</v>
      </c>
      <c r="D38" s="1">
        <f t="shared" si="106"/>
        <v>312</v>
      </c>
      <c r="E38" s="145">
        <f t="shared" si="107"/>
        <v>0.99968511979072572</v>
      </c>
      <c r="F38" s="146">
        <f t="shared" si="108"/>
        <v>3.1488020927428195E-4</v>
      </c>
      <c r="G38" s="158">
        <f t="shared" si="3"/>
        <v>3.9360026159285244E-4</v>
      </c>
      <c r="H38" s="43">
        <f t="shared" si="109"/>
        <v>389.10321790687692</v>
      </c>
      <c r="I38" s="43">
        <f t="shared" si="139"/>
        <v>988574.59172466875</v>
      </c>
      <c r="J38" s="43">
        <f t="shared" si="110"/>
        <v>990697</v>
      </c>
      <c r="K38" s="147">
        <f>SUM(J38:$J$138)</f>
        <v>63572963.5</v>
      </c>
      <c r="L38" s="147">
        <f t="shared" si="111"/>
        <v>64.159833496997038</v>
      </c>
      <c r="M38" s="43">
        <f t="shared" si="4"/>
        <v>1238371.25</v>
      </c>
      <c r="N38" s="148">
        <f t="shared" si="5"/>
        <v>79466204.375</v>
      </c>
      <c r="O38" s="147">
        <f t="shared" si="6"/>
        <v>80.199791871246305</v>
      </c>
      <c r="P38" s="157">
        <f t="shared" si="7"/>
        <v>700819.12682907446</v>
      </c>
      <c r="Q38" s="43">
        <f t="shared" si="8"/>
        <v>1238566.25</v>
      </c>
      <c r="R38" s="43">
        <f t="shared" si="9"/>
        <v>271.13847535729514</v>
      </c>
      <c r="S38" s="43">
        <f>SUM(R38:$R$138)</f>
        <v>104599.26002747144</v>
      </c>
      <c r="T38" s="43">
        <f t="shared" si="112"/>
        <v>5114060.0109941093</v>
      </c>
      <c r="U38" s="153">
        <f>SUM(P38:$P$138)</f>
        <v>17683822.618622076</v>
      </c>
      <c r="V38" s="129">
        <f t="shared" si="10"/>
        <v>13254718.342243936</v>
      </c>
      <c r="W38" s="43">
        <f t="shared" si="113"/>
        <v>548354.84998917021</v>
      </c>
      <c r="X38" s="26">
        <f t="shared" si="114"/>
        <v>6.31989639954329</v>
      </c>
      <c r="Y38" s="26">
        <f t="shared" si="115"/>
        <v>0.78244846494166909</v>
      </c>
      <c r="Z38" s="43">
        <f t="shared" si="11"/>
        <v>101864.82425786875</v>
      </c>
      <c r="AA38" s="149">
        <f t="shared" si="116"/>
        <v>3.901771034667548E-3</v>
      </c>
      <c r="AB38" s="150">
        <f t="shared" si="138"/>
        <v>16983003.49179301</v>
      </c>
      <c r="AC38" s="150">
        <f t="shared" si="117"/>
        <v>12706363.492254766</v>
      </c>
      <c r="AD38" s="26">
        <f t="shared" si="118"/>
        <v>6.102344864484972</v>
      </c>
      <c r="AE38" s="26">
        <f t="shared" si="12"/>
        <v>515791.7992771818</v>
      </c>
      <c r="AF38" s="43">
        <f t="shared" si="119"/>
        <v>81613.964322968284</v>
      </c>
      <c r="AG38" s="43">
        <f t="shared" si="13"/>
        <v>536597.32653652818</v>
      </c>
      <c r="AH38" s="27">
        <f t="shared" si="14"/>
        <v>88748.83531485706</v>
      </c>
      <c r="AI38" s="28">
        <f t="shared" si="120"/>
        <v>576986.37261992285</v>
      </c>
      <c r="AJ38" s="20">
        <f t="shared" si="15"/>
        <v>95428.855177265665</v>
      </c>
      <c r="AK38" s="3">
        <f t="shared" si="16"/>
        <v>8270.5007820296923</v>
      </c>
      <c r="AL38" s="3"/>
      <c r="AM38" s="46">
        <f t="shared" si="121"/>
        <v>16983003.49179301</v>
      </c>
      <c r="AN38" s="46">
        <f t="shared" si="122"/>
        <v>16306150.077070862</v>
      </c>
      <c r="AO38" s="46">
        <f t="shared" si="122"/>
        <v>15652443.732161334</v>
      </c>
      <c r="AP38" s="3">
        <f t="shared" si="17"/>
        <v>15021136.802205658</v>
      </c>
      <c r="AQ38" s="3">
        <f t="shared" si="17"/>
        <v>14411515.788955677</v>
      </c>
      <c r="AR38" s="16">
        <f t="shared" si="17"/>
        <v>13822910.320268864</v>
      </c>
      <c r="AS38" s="16">
        <f t="shared" si="17"/>
        <v>13254718.342243936</v>
      </c>
      <c r="AT38" s="16">
        <f t="shared" si="17"/>
        <v>12706363.492254766</v>
      </c>
      <c r="AU38" s="16">
        <f t="shared" si="17"/>
        <v>12177298.640637327</v>
      </c>
      <c r="AV38" s="16">
        <f t="shared" si="17"/>
        <v>11666978.843601737</v>
      </c>
      <c r="AW38" s="16">
        <f t="shared" si="17"/>
        <v>11174833.676019788</v>
      </c>
      <c r="AX38" s="16">
        <f t="shared" si="17"/>
        <v>10700269.162389321</v>
      </c>
      <c r="AY38" s="16">
        <f t="shared" si="17"/>
        <v>10242688.479080243</v>
      </c>
      <c r="AZ38" s="16">
        <f t="shared" si="17"/>
        <v>9801501.0660238042</v>
      </c>
      <c r="BA38" s="16">
        <f t="shared" si="17"/>
        <v>9376133.074879365</v>
      </c>
      <c r="BB38" s="16">
        <f t="shared" si="17"/>
        <v>8966033.4692568444</v>
      </c>
      <c r="BC38" s="16">
        <f t="shared" si="17"/>
        <v>8570670.3942497224</v>
      </c>
      <c r="BD38" s="16">
        <f t="shared" si="18"/>
        <v>8189536.3769633677</v>
      </c>
      <c r="BE38" s="16">
        <f t="shared" si="18"/>
        <v>7822141.6503789313</v>
      </c>
      <c r="BF38" s="16">
        <f t="shared" si="18"/>
        <v>7468011.6649380811</v>
      </c>
      <c r="BG38" s="16">
        <f t="shared" si="18"/>
        <v>7126689.7998479586</v>
      </c>
      <c r="BH38" s="172">
        <f t="shared" si="123"/>
        <v>676853.41472214996</v>
      </c>
      <c r="BI38" s="16">
        <f t="shared" si="19"/>
        <v>653706.34490952641</v>
      </c>
      <c r="BJ38" s="16">
        <f t="shared" si="19"/>
        <v>631306.92995567387</v>
      </c>
      <c r="BK38" s="16">
        <f t="shared" si="19"/>
        <v>609621.01324998064</v>
      </c>
      <c r="BL38" s="16">
        <f t="shared" si="19"/>
        <v>588605.46868681419</v>
      </c>
      <c r="BM38" s="16">
        <f t="shared" si="19"/>
        <v>568191.97802492685</v>
      </c>
      <c r="BN38" s="16">
        <f t="shared" si="19"/>
        <v>548354.84998917021</v>
      </c>
      <c r="BO38" s="16">
        <f t="shared" si="19"/>
        <v>529064.85161743569</v>
      </c>
      <c r="BP38" s="16">
        <f t="shared" si="19"/>
        <v>510319.79703559174</v>
      </c>
      <c r="BQ38" s="16">
        <f t="shared" si="19"/>
        <v>492145.1675819463</v>
      </c>
      <c r="BR38" s="16">
        <f t="shared" si="20"/>
        <v>474564.51363046817</v>
      </c>
      <c r="BS38" s="16">
        <f t="shared" si="20"/>
        <v>457580.68330907432</v>
      </c>
      <c r="BT38" s="16">
        <f t="shared" si="20"/>
        <v>441187.41305644001</v>
      </c>
      <c r="BU38" s="16">
        <f t="shared" si="20"/>
        <v>425367.99114443822</v>
      </c>
      <c r="BV38" s="16">
        <f t="shared" si="20"/>
        <v>410099.60562251828</v>
      </c>
      <c r="BW38" s="16">
        <f t="shared" si="20"/>
        <v>395363.07500712067</v>
      </c>
      <c r="BX38" s="16">
        <f t="shared" si="20"/>
        <v>381134.01728635549</v>
      </c>
      <c r="BY38" s="16">
        <f t="shared" si="20"/>
        <v>367394.72658443713</v>
      </c>
      <c r="BZ38" s="16">
        <f t="shared" si="20"/>
        <v>354129.98544085148</v>
      </c>
      <c r="CA38" s="16">
        <f t="shared" si="20"/>
        <v>341321.86509012192</v>
      </c>
      <c r="CB38" s="16">
        <f t="shared" si="20"/>
        <v>328957.50364873186</v>
      </c>
      <c r="CC38" s="18">
        <f t="shared" si="124"/>
        <v>5.508260826429523</v>
      </c>
      <c r="CD38" s="18">
        <f t="shared" si="21"/>
        <v>4.6678937088322847</v>
      </c>
      <c r="CE38" s="18">
        <f t="shared" si="21"/>
        <v>3.7980343255312436</v>
      </c>
      <c r="CF38" s="18">
        <f t="shared" si="21"/>
        <v>2.8975681965827937</v>
      </c>
      <c r="CG38" s="18">
        <f t="shared" si="21"/>
        <v>1.9653188905848433</v>
      </c>
      <c r="CH38" s="18">
        <f t="shared" si="21"/>
        <v>1.0000000000000018</v>
      </c>
      <c r="CI38" s="18">
        <f t="shared" si="21"/>
        <v>0</v>
      </c>
      <c r="CJ38" s="18">
        <f t="shared" si="21"/>
        <v>-1.0364605554739876</v>
      </c>
      <c r="CK38" s="18">
        <f t="shared" si="21"/>
        <v>-2.1112637759014183</v>
      </c>
      <c r="CL38" s="18">
        <f t="shared" si="21"/>
        <v>-3.2261609037902965</v>
      </c>
      <c r="CM38" s="18">
        <f t="shared" si="21"/>
        <v>-4.3827226994130113</v>
      </c>
      <c r="CN38" s="18">
        <f t="shared" si="21"/>
        <v>-5.5825109604314394</v>
      </c>
      <c r="CO38" s="18">
        <f t="shared" si="21"/>
        <v>-6.8270983578091595</v>
      </c>
      <c r="CP38" s="18">
        <f t="shared" si="21"/>
        <v>-8.1181878940382113</v>
      </c>
      <c r="CQ38" s="18">
        <f t="shared" si="21"/>
        <v>-9.4576664161307846</v>
      </c>
      <c r="CR38" s="18">
        <f t="shared" si="21"/>
        <v>-10.847459320549474</v>
      </c>
      <c r="CS38" s="18">
        <f t="shared" si="21"/>
        <v>-12.289766159799301</v>
      </c>
      <c r="CT38" s="18">
        <f t="shared" si="125"/>
        <v>-13.786757399514427</v>
      </c>
      <c r="CU38" s="18">
        <f t="shared" si="125"/>
        <v>-15.340628908060598</v>
      </c>
      <c r="CV38" s="18">
        <f t="shared" si="125"/>
        <v>-16.953811839091951</v>
      </c>
      <c r="CW38" s="18">
        <f t="shared" si="22"/>
        <v>-18.628632800362027</v>
      </c>
      <c r="CX38" s="17">
        <f t="shared" si="23"/>
        <v>262.78849250463281</v>
      </c>
      <c r="CY38" s="17">
        <f t="shared" si="126"/>
        <v>298.49368988683381</v>
      </c>
      <c r="CZ38" s="17">
        <f t="shared" si="126"/>
        <v>343.22643576547995</v>
      </c>
      <c r="DA38" s="17">
        <f t="shared" si="126"/>
        <v>407.28693547186185</v>
      </c>
      <c r="DB38" s="17">
        <f t="shared" si="126"/>
        <v>517.78806823576224</v>
      </c>
      <c r="DC38" s="17">
        <f t="shared" si="126"/>
        <v>633.7136723808095</v>
      </c>
      <c r="DD38" s="17">
        <f t="shared" si="24"/>
        <v>759.55074145799949</v>
      </c>
      <c r="DE38" s="17">
        <f t="shared" si="24"/>
        <v>868.78863929983038</v>
      </c>
      <c r="DF38" s="3" t="e">
        <f>#REF!+$AG$35*0.004*(1+$R$28)*#REF!-S38*#REF!</f>
        <v>#REF!</v>
      </c>
      <c r="DG38" s="19">
        <f t="shared" si="25"/>
        <v>1044.0187282832248</v>
      </c>
      <c r="DH38" s="19">
        <f t="shared" si="26"/>
        <v>960.535633369793</v>
      </c>
      <c r="DI38" s="19">
        <f t="shared" si="27"/>
        <v>881.89723316003074</v>
      </c>
      <c r="DJ38" s="19">
        <f t="shared" si="28"/>
        <v>818.24566758917217</v>
      </c>
      <c r="DK38" s="19">
        <f t="shared" si="29"/>
        <v>796.52696398753596</v>
      </c>
      <c r="DL38" s="19">
        <f t="shared" si="30"/>
        <v>775.54251099174178</v>
      </c>
      <c r="DM38" s="19">
        <f t="shared" si="31"/>
        <v>759.55074145799949</v>
      </c>
      <c r="DN38" s="19">
        <f t="shared" si="32"/>
        <v>721.78864245091324</v>
      </c>
      <c r="DO38" s="173">
        <f t="shared" si="127"/>
        <v>104328.12155211414</v>
      </c>
      <c r="DP38" s="25">
        <f t="shared" si="33"/>
        <v>104065.33305960952</v>
      </c>
      <c r="DQ38" s="26">
        <f t="shared" si="33"/>
        <v>103766.83936972267</v>
      </c>
      <c r="DR38" s="26">
        <f t="shared" si="33"/>
        <v>103423.61293395719</v>
      </c>
      <c r="DS38" s="26">
        <f t="shared" si="33"/>
        <v>103016.32599848532</v>
      </c>
      <c r="DT38" s="26">
        <f t="shared" si="33"/>
        <v>102498.53793024956</v>
      </c>
      <c r="DU38" s="26">
        <f t="shared" si="33"/>
        <v>101864.82425786875</v>
      </c>
      <c r="DV38" s="26">
        <f t="shared" si="33"/>
        <v>101105.27351641076</v>
      </c>
      <c r="DW38" s="26">
        <f t="shared" si="33"/>
        <v>100236.48487711092</v>
      </c>
      <c r="DX38" s="26">
        <f t="shared" si="33"/>
        <v>99303.129534979467</v>
      </c>
      <c r="DY38" s="26">
        <f t="shared" si="33"/>
        <v>98348.790857044893</v>
      </c>
      <c r="DZ38" s="26">
        <f t="shared" si="33"/>
        <v>97396.800997133396</v>
      </c>
      <c r="EA38" s="26">
        <f t="shared" si="33"/>
        <v>96461.320321095467</v>
      </c>
      <c r="EB38" s="26">
        <f t="shared" si="33"/>
        <v>95545.664271464426</v>
      </c>
      <c r="EC38" s="26">
        <f t="shared" si="33"/>
        <v>94646.3672969162</v>
      </c>
      <c r="ED38" s="26">
        <f t="shared" si="33"/>
        <v>93762.872497552977</v>
      </c>
      <c r="EE38" s="26">
        <f t="shared" si="33"/>
        <v>92888.672315653326</v>
      </c>
      <c r="EF38" s="26">
        <f t="shared" si="34"/>
        <v>92023.212339849706</v>
      </c>
      <c r="EG38" s="26">
        <f t="shared" si="34"/>
        <v>91167.860609376687</v>
      </c>
      <c r="EH38" s="26">
        <f t="shared" si="34"/>
        <v>90320.703290559817</v>
      </c>
      <c r="EI38" s="26">
        <f t="shared" si="34"/>
        <v>89484.364534015098</v>
      </c>
      <c r="EJ38" s="26">
        <f t="shared" si="128"/>
        <v>3.6393364363192025E-3</v>
      </c>
      <c r="EK38" s="26">
        <f t="shared" si="129"/>
        <v>3.3662038297109101E-3</v>
      </c>
      <c r="EL38" s="26">
        <f t="shared" si="36"/>
        <v>3.0128215319725196E-3</v>
      </c>
      <c r="EM38" s="26">
        <f t="shared" si="36"/>
        <v>2.5569798976880862E-3</v>
      </c>
      <c r="EN38" s="26">
        <f t="shared" si="36"/>
        <v>1.9563218520303348E-3</v>
      </c>
      <c r="EO38" s="26">
        <f t="shared" si="36"/>
        <v>1.1153161200614589E-3</v>
      </c>
      <c r="EP38" s="26">
        <f t="shared" si="36"/>
        <v>0</v>
      </c>
      <c r="EQ38" s="26">
        <f t="shared" si="36"/>
        <v>-1.4356477077165941E-3</v>
      </c>
      <c r="ER38" s="26">
        <f t="shared" si="36"/>
        <v>-3.1908215009817816E-3</v>
      </c>
      <c r="ES38" s="26">
        <f t="shared" si="36"/>
        <v>-5.2051607770033396E-3</v>
      </c>
      <c r="ET38" s="26">
        <f t="shared" si="36"/>
        <v>-7.4089682220986851E-3</v>
      </c>
      <c r="EU38" s="26">
        <f t="shared" si="36"/>
        <v>-9.7644490331717376E-3</v>
      </c>
      <c r="EV38" s="26">
        <f t="shared" si="36"/>
        <v>-1.2247638479391582E-2</v>
      </c>
      <c r="EW38" s="26">
        <f t="shared" si="36"/>
        <v>-1.4855748711610474E-2</v>
      </c>
      <c r="EX38" s="26">
        <f t="shared" si="36"/>
        <v>-1.7601716417149828E-2</v>
      </c>
      <c r="EY38" s="26">
        <f t="shared" si="36"/>
        <v>-2.0492434100402152E-2</v>
      </c>
      <c r="EZ38" s="26">
        <f t="shared" si="36"/>
        <v>-2.3551169759458698E-2</v>
      </c>
      <c r="FA38" s="26">
        <f t="shared" si="37"/>
        <v>-2.6787569896589623E-2</v>
      </c>
      <c r="FB38" s="26">
        <f t="shared" si="37"/>
        <v>-3.0206319962359476E-2</v>
      </c>
      <c r="FC38" s="26">
        <f t="shared" si="37"/>
        <v>-3.382180325383153E-2</v>
      </c>
      <c r="FD38" s="26">
        <f t="shared" si="37"/>
        <v>-3.7635437971567848E-2</v>
      </c>
      <c r="FE38" s="26">
        <f t="shared" si="130"/>
        <v>5.3184138640917071</v>
      </c>
      <c r="FF38" s="26">
        <f t="shared" si="38"/>
        <v>4.5067334329060378</v>
      </c>
      <c r="FG38" s="26">
        <f t="shared" si="38"/>
        <v>3.6666369401543237</v>
      </c>
      <c r="FH38" s="26">
        <f t="shared" si="38"/>
        <v>2.7970694245109597</v>
      </c>
      <c r="FI38" s="26">
        <f t="shared" si="38"/>
        <v>1.8969358720113956</v>
      </c>
      <c r="FJ38" s="26">
        <f t="shared" si="38"/>
        <v>0.96508727894274071</v>
      </c>
      <c r="FK38" s="26">
        <f t="shared" si="38"/>
        <v>0</v>
      </c>
      <c r="FL38" s="26">
        <f t="shared" si="38"/>
        <v>-1.0000000000000058</v>
      </c>
      <c r="FM38" s="26">
        <f t="shared" si="38"/>
        <v>-2.0367319760878053</v>
      </c>
      <c r="FN38" s="26">
        <f t="shared" si="38"/>
        <v>-3.1119472812459654</v>
      </c>
      <c r="FO38" s="26">
        <f t="shared" si="38"/>
        <v>-4.2272320669714913</v>
      </c>
      <c r="FP38" s="26">
        <f t="shared" si="38"/>
        <v>-5.3841324667772863</v>
      </c>
      <c r="FQ38" s="26">
        <f t="shared" si="38"/>
        <v>-6.5841915255622885</v>
      </c>
      <c r="FR38" s="26">
        <f t="shared" si="38"/>
        <v>-7.8290573966685368</v>
      </c>
      <c r="FS38" s="26">
        <f t="shared" si="38"/>
        <v>-9.1205404046176</v>
      </c>
      <c r="FT38" s="26">
        <f t="shared" si="38"/>
        <v>-10.460494060884562</v>
      </c>
      <c r="FU38" s="26">
        <f t="shared" si="38"/>
        <v>-11.851020665777501</v>
      </c>
      <c r="FV38" s="26">
        <f t="shared" si="131"/>
        <v>-13.294207805547556</v>
      </c>
      <c r="FW38" s="26">
        <f t="shared" si="131"/>
        <v>-14.792172486595659</v>
      </c>
      <c r="FX38" s="26">
        <f t="shared" si="39"/>
        <v>12177298.640637327</v>
      </c>
      <c r="FY38" s="26">
        <f t="shared" si="40"/>
        <v>510319.79703559174</v>
      </c>
      <c r="FZ38" s="26">
        <f t="shared" si="132"/>
        <v>0.81015303766218161</v>
      </c>
      <c r="GA38" s="26">
        <f t="shared" si="133"/>
        <v>0.83883972407375529</v>
      </c>
      <c r="GB38" s="26">
        <f t="shared" si="42"/>
        <v>0.86860261462308352</v>
      </c>
      <c r="GC38" s="26">
        <f t="shared" si="42"/>
        <v>0.89950122792816578</v>
      </c>
      <c r="GD38" s="26">
        <f t="shared" si="42"/>
        <v>0.93161698142655114</v>
      </c>
      <c r="GE38" s="26">
        <f t="shared" si="42"/>
        <v>0.96508727894274071</v>
      </c>
      <c r="GF38" s="26">
        <f t="shared" si="42"/>
        <v>1</v>
      </c>
      <c r="GG38" s="26">
        <f t="shared" si="42"/>
        <v>1.0364605554739876</v>
      </c>
      <c r="GH38" s="26">
        <f t="shared" si="42"/>
        <v>1.0745317998136092</v>
      </c>
      <c r="GI38" s="26">
        <f t="shared" si="42"/>
        <v>1.1142136225443371</v>
      </c>
      <c r="GJ38" s="26">
        <f t="shared" si="42"/>
        <v>1.1554906324415162</v>
      </c>
      <c r="GK38" s="26">
        <f t="shared" si="42"/>
        <v>1.198378493654161</v>
      </c>
      <c r="GL38" s="26">
        <f t="shared" si="42"/>
        <v>1.2429068322468677</v>
      </c>
      <c r="GM38" s="26">
        <f t="shared" si="42"/>
        <v>1.2891304973696776</v>
      </c>
      <c r="GN38" s="26">
        <f t="shared" si="42"/>
        <v>1.3371260115131904</v>
      </c>
      <c r="GO38" s="26">
        <f t="shared" si="42"/>
        <v>1.3869652596649145</v>
      </c>
      <c r="GP38" s="26">
        <f t="shared" si="42"/>
        <v>1.4387454940217985</v>
      </c>
      <c r="GQ38" s="26">
        <f t="shared" si="134"/>
        <v>1.4925495939668683</v>
      </c>
      <c r="GR38" s="26">
        <f t="shared" si="134"/>
        <v>1.5484564214649343</v>
      </c>
      <c r="GS38" s="26">
        <f t="shared" si="134"/>
        <v>1.6065623274511984</v>
      </c>
      <c r="GT38" s="26">
        <f t="shared" si="134"/>
        <v>1.6669473834976438</v>
      </c>
      <c r="GU38" s="26">
        <f t="shared" si="135"/>
        <v>5.508260826429523</v>
      </c>
      <c r="GV38" s="26">
        <f t="shared" si="136"/>
        <v>4.6678937088322847</v>
      </c>
      <c r="GW38" s="26">
        <f t="shared" si="43"/>
        <v>3.7980343255312436</v>
      </c>
      <c r="GX38" s="26">
        <f t="shared" si="43"/>
        <v>2.8975681965827937</v>
      </c>
      <c r="GY38" s="26">
        <f t="shared" si="43"/>
        <v>1.9653188905848433</v>
      </c>
      <c r="GZ38" s="26">
        <f t="shared" si="43"/>
        <v>1.0000000000000018</v>
      </c>
      <c r="HA38" s="26">
        <f t="shared" si="43"/>
        <v>0</v>
      </c>
      <c r="HB38" s="26">
        <f t="shared" si="43"/>
        <v>-1.0364605554739876</v>
      </c>
      <c r="HC38" s="26">
        <f t="shared" si="43"/>
        <v>-2.1112637759014183</v>
      </c>
      <c r="HD38" s="26">
        <f t="shared" si="43"/>
        <v>-3.2261609037902965</v>
      </c>
      <c r="HE38" s="26">
        <f t="shared" si="43"/>
        <v>-4.3827226994130113</v>
      </c>
      <c r="HF38" s="26">
        <f t="shared" si="43"/>
        <v>-5.5825109604314394</v>
      </c>
      <c r="HG38" s="26">
        <f t="shared" si="43"/>
        <v>-6.8270983578091595</v>
      </c>
      <c r="HH38" s="26">
        <f t="shared" si="43"/>
        <v>-8.1181878940382113</v>
      </c>
      <c r="HI38" s="26">
        <f t="shared" si="43"/>
        <v>-9.4576664161307846</v>
      </c>
      <c r="HJ38" s="26">
        <f t="shared" si="43"/>
        <v>-10.847459320549474</v>
      </c>
      <c r="HK38" s="26">
        <f t="shared" si="43"/>
        <v>-12.289766159799301</v>
      </c>
      <c r="HL38" s="26">
        <f t="shared" si="137"/>
        <v>-13.786757399514427</v>
      </c>
      <c r="HM38" s="26">
        <f t="shared" si="137"/>
        <v>-15.340628908060598</v>
      </c>
      <c r="HN38" s="26">
        <f t="shared" si="137"/>
        <v>-16.953811839091951</v>
      </c>
      <c r="HO38" s="26">
        <f t="shared" si="137"/>
        <v>-18.628632800362027</v>
      </c>
      <c r="HP38" s="26">
        <f t="shared" si="44"/>
        <v>515295.1919871018</v>
      </c>
      <c r="HQ38" s="26">
        <f t="shared" si="45"/>
        <v>533096.20961639262</v>
      </c>
      <c r="HR38" s="26">
        <f t="shared" si="46"/>
        <v>551525.31498937623</v>
      </c>
      <c r="HS38" s="26">
        <f t="shared" si="47"/>
        <v>570612.80794030742</v>
      </c>
      <c r="HT38" s="26">
        <f t="shared" si="48"/>
        <v>590391.56880845455</v>
      </c>
      <c r="HU38" s="26">
        <f t="shared" si="49"/>
        <v>610900.55289606727</v>
      </c>
      <c r="HV38" s="26">
        <f t="shared" si="50"/>
        <v>632215.9078880985</v>
      </c>
      <c r="HW38" s="26">
        <f t="shared" si="51"/>
        <v>654428.60741779034</v>
      </c>
      <c r="HX38" s="26">
        <f t="shared" si="52"/>
        <v>677640.21476713335</v>
      </c>
      <c r="HY38" s="26">
        <f t="shared" si="53"/>
        <v>701936.70654879499</v>
      </c>
      <c r="HZ38" s="26">
        <f t="shared" si="54"/>
        <v>727379.76675519312</v>
      </c>
      <c r="IA38" s="26">
        <f t="shared" si="55"/>
        <v>754023.94028439396</v>
      </c>
      <c r="IB38" s="26">
        <f t="shared" si="56"/>
        <v>781919.79277716426</v>
      </c>
      <c r="IC38" s="26">
        <f t="shared" si="57"/>
        <v>811127.02841013146</v>
      </c>
      <c r="ID38" s="26">
        <f t="shared" si="58"/>
        <v>841720.77626489103</v>
      </c>
      <c r="IE38" s="26">
        <f t="shared" si="59"/>
        <v>873776.0160016187</v>
      </c>
      <c r="IF38" s="26">
        <f t="shared" si="60"/>
        <v>907393.12947105651</v>
      </c>
      <c r="IG38" s="26">
        <f t="shared" si="61"/>
        <v>942664.67988205841</v>
      </c>
      <c r="IH38" s="26">
        <f t="shared" si="62"/>
        <v>979680.97752692434</v>
      </c>
      <c r="II38" s="26">
        <f t="shared" si="63"/>
        <v>-1395940801500.6116</v>
      </c>
      <c r="IJ38" s="26">
        <f t="shared" si="64"/>
        <v>535094.52009232307</v>
      </c>
      <c r="IK38" s="26">
        <f t="shared" si="65"/>
        <v>552565.93062724301</v>
      </c>
      <c r="IL38" s="26">
        <f t="shared" si="66"/>
        <v>570733.26253266539</v>
      </c>
      <c r="IM38" s="26">
        <f t="shared" si="67"/>
        <v>589632.79361879919</v>
      </c>
      <c r="IN38" s="26">
        <f t="shared" si="68"/>
        <v>609303.80463280552</v>
      </c>
      <c r="IO38" s="26">
        <f t="shared" si="69"/>
        <v>629792.17944686871</v>
      </c>
      <c r="IP38" s="26">
        <f t="shared" si="70"/>
        <v>651182.38512474147</v>
      </c>
      <c r="IQ38" s="26">
        <f t="shared" si="71"/>
        <v>673574.60208214307</v>
      </c>
      <c r="IR38" s="26">
        <f t="shared" si="72"/>
        <v>697080.44821493828</v>
      </c>
      <c r="IS38" s="26">
        <f t="shared" si="73"/>
        <v>721796.15067594603</v>
      </c>
      <c r="IT38" s="26">
        <f t="shared" si="74"/>
        <v>747793.58447267755</v>
      </c>
      <c r="IU38" s="26">
        <f t="shared" si="75"/>
        <v>775137.87039209402</v>
      </c>
      <c r="IV38" s="26">
        <f t="shared" si="76"/>
        <v>803890.64441789826</v>
      </c>
      <c r="IW38" s="26">
        <f t="shared" si="77"/>
        <v>834123.57429595862</v>
      </c>
      <c r="IX38" s="26">
        <f t="shared" si="78"/>
        <v>865924.88655568892</v>
      </c>
      <c r="IY38" s="26">
        <f t="shared" si="79"/>
        <v>899383.40828930773</v>
      </c>
      <c r="IZ38" s="26">
        <f t="shared" si="80"/>
        <v>934614.92335518822</v>
      </c>
      <c r="JA38" s="26">
        <f t="shared" si="81"/>
        <v>971728.04408975237</v>
      </c>
      <c r="JB38" s="26">
        <f t="shared" si="82"/>
        <v>1010829.9739473657</v>
      </c>
      <c r="JC38" s="26">
        <f t="shared" si="83"/>
        <v>-1437819022605.0278</v>
      </c>
      <c r="JD38" s="26">
        <f t="shared" si="84"/>
        <v>156233.59756920557</v>
      </c>
      <c r="JE38" s="26">
        <f t="shared" si="85"/>
        <v>248257.23819129972</v>
      </c>
      <c r="JF38" s="26">
        <f t="shared" si="86"/>
        <v>343611.77532236686</v>
      </c>
      <c r="JG38" s="26">
        <f t="shared" si="87"/>
        <v>442436.37583195174</v>
      </c>
      <c r="JH38" s="26">
        <f t="shared" si="88"/>
        <v>544886.14735189534</v>
      </c>
      <c r="JI38" s="26">
        <f t="shared" si="89"/>
        <v>651182.38512474147</v>
      </c>
      <c r="JJ38" s="26">
        <f t="shared" si="90"/>
        <v>761576.35527039121</v>
      </c>
      <c r="JK38" s="26">
        <f t="shared" si="91"/>
        <v>876339.47813257843</v>
      </c>
      <c r="JL38" s="26">
        <f t="shared" si="92"/>
        <v>995716.67191671277</v>
      </c>
      <c r="JM38" s="26">
        <f t="shared" si="93"/>
        <v>1119913.1786524062</v>
      </c>
      <c r="JN38" s="26">
        <f t="shared" si="94"/>
        <v>1249126.7251690256</v>
      </c>
      <c r="JO38" s="26">
        <f t="shared" si="95"/>
        <v>1383552.4767015816</v>
      </c>
      <c r="JP38" s="26">
        <f t="shared" si="96"/>
        <v>1523406.69618019</v>
      </c>
      <c r="JQ38" s="26">
        <f t="shared" si="97"/>
        <v>1668937.8148272396</v>
      </c>
      <c r="JR38" s="26">
        <f t="shared" si="98"/>
        <v>1820398.1375087977</v>
      </c>
      <c r="JS38" s="26">
        <f t="shared" si="99"/>
        <v>1978090.2033588234</v>
      </c>
      <c r="JT38" s="26">
        <f t="shared" si="100"/>
        <v>2142306.9103385336</v>
      </c>
      <c r="JU38" s="26">
        <f t="shared" si="101"/>
        <v>2313341.9043722325</v>
      </c>
      <c r="JV38" s="26">
        <f t="shared" si="102"/>
        <v>-1437817583124.1357</v>
      </c>
      <c r="JW38" s="26">
        <f t="shared" si="103"/>
        <v>1737916.8920022144</v>
      </c>
      <c r="JX38" s="26" t="e">
        <f>AH38+$AG$38*0.004*(1+$R$28)*#REF!-S38*#REF!</f>
        <v>#REF!</v>
      </c>
      <c r="JY38" s="34">
        <f t="shared" si="104"/>
        <v>5.0314880209274285E-2</v>
      </c>
      <c r="JZ38" s="4">
        <f t="shared" si="105"/>
        <v>48077.274547697045</v>
      </c>
      <c r="KA38" s="165"/>
      <c r="KB38" s="163">
        <v>11</v>
      </c>
      <c r="KC38" s="163">
        <f>((1+0.035)^(-1))*(1-((1+0.035)^(-m-n+11)))/(1-((1+0.035)^(-1)))</f>
        <v>0.96618357487922713</v>
      </c>
      <c r="KD38" s="163">
        <f>((1+0.035)^(-1))*(1-((1+0.035)^(-m-(n/2)+11/2)))/(1-((1+0.035)^(-1)))</f>
        <v>2.8016369809136528</v>
      </c>
      <c r="KE38" s="61">
        <f>IF(KB38&lt;=n,VLOOKUP(A28+x,A28:KF139,273),0)</f>
        <v>0</v>
      </c>
      <c r="KF38" s="164">
        <f>IF(KB38&lt;=n,VLOOKUP(A28+x,A28:KF139,273),0)</f>
        <v>0</v>
      </c>
    </row>
    <row r="39" spans="1:293" ht="15" customHeight="1" x14ac:dyDescent="0.3">
      <c r="A39" s="34">
        <v>38</v>
      </c>
      <c r="B39" s="34">
        <v>11</v>
      </c>
      <c r="C39" s="2">
        <v>990541</v>
      </c>
      <c r="D39" s="1">
        <f t="shared" si="106"/>
        <v>313</v>
      </c>
      <c r="E39" s="145">
        <f t="shared" si="107"/>
        <v>0.99968401106062243</v>
      </c>
      <c r="F39" s="146">
        <f t="shared" si="108"/>
        <v>3.15988939377565E-4</v>
      </c>
      <c r="G39" s="158">
        <f t="shared" si="3"/>
        <v>3.9498617422195625E-4</v>
      </c>
      <c r="H39" s="43">
        <f t="shared" si="109"/>
        <v>390.31960552694079</v>
      </c>
      <c r="I39" s="43">
        <f t="shared" si="139"/>
        <v>988185.48850676185</v>
      </c>
      <c r="J39" s="43">
        <f t="shared" si="110"/>
        <v>990384.5</v>
      </c>
      <c r="K39" s="147">
        <f>SUM(J39:$J$138)</f>
        <v>62582266.5</v>
      </c>
      <c r="L39" s="147">
        <f t="shared" si="111"/>
        <v>63.179885032522634</v>
      </c>
      <c r="M39" s="43">
        <f t="shared" si="4"/>
        <v>1237980.625</v>
      </c>
      <c r="N39" s="148">
        <f t="shared" si="5"/>
        <v>78227833.125</v>
      </c>
      <c r="O39" s="147">
        <f t="shared" si="6"/>
        <v>78.974856290653292</v>
      </c>
      <c r="P39" s="157">
        <f t="shared" si="7"/>
        <v>676853.41472214996</v>
      </c>
      <c r="Q39" s="43">
        <f t="shared" si="8"/>
        <v>1238176.25</v>
      </c>
      <c r="R39" s="43">
        <f t="shared" si="9"/>
        <v>262.78849250463281</v>
      </c>
      <c r="S39" s="43">
        <f>SUM(R39:$R$138)</f>
        <v>104328.12155211414</v>
      </c>
      <c r="T39" s="43">
        <f t="shared" si="112"/>
        <v>5009460.7509666383</v>
      </c>
      <c r="U39" s="153">
        <f>SUM(P39:$P$138)</f>
        <v>16983003.49179301</v>
      </c>
      <c r="V39" s="129">
        <f t="shared" si="10"/>
        <v>12706363.492254766</v>
      </c>
      <c r="W39" s="43">
        <f t="shared" si="113"/>
        <v>529064.85161743569</v>
      </c>
      <c r="X39" s="26">
        <f t="shared" si="114"/>
        <v>6.3184138640917045</v>
      </c>
      <c r="Y39" s="26">
        <f t="shared" si="115"/>
        <v>0.78165351627075441</v>
      </c>
      <c r="Z39" s="43">
        <f t="shared" si="11"/>
        <v>101105.27351641076</v>
      </c>
      <c r="AA39" s="149">
        <f t="shared" si="116"/>
        <v>4.7615155151819267E-3</v>
      </c>
      <c r="AB39" s="150">
        <f t="shared" si="138"/>
        <v>16306150.077070862</v>
      </c>
      <c r="AC39" s="150">
        <f t="shared" si="117"/>
        <v>12177298.640637327</v>
      </c>
      <c r="AD39" s="26">
        <f t="shared" si="118"/>
        <v>6.1000673803624661</v>
      </c>
      <c r="AE39" s="26">
        <f t="shared" si="12"/>
        <v>516011.0273973954</v>
      </c>
      <c r="AF39" s="43">
        <f t="shared" si="119"/>
        <v>81667.810703244249</v>
      </c>
      <c r="AG39" s="43">
        <f t="shared" si="13"/>
        <v>536821.88076103083</v>
      </c>
      <c r="AH39" s="27">
        <f t="shared" si="14"/>
        <v>88804.297086541294</v>
      </c>
      <c r="AI39" s="28">
        <f t="shared" si="120"/>
        <v>577227.82877530204</v>
      </c>
      <c r="AJ39" s="20">
        <f t="shared" si="15"/>
        <v>95488.49149090462</v>
      </c>
      <c r="AK39" s="3">
        <f t="shared" si="16"/>
        <v>8275.6692625450669</v>
      </c>
      <c r="AL39" s="3"/>
      <c r="AM39" s="46">
        <f t="shared" si="121"/>
        <v>16306150.077070862</v>
      </c>
      <c r="AN39" s="46">
        <f t="shared" si="122"/>
        <v>15652443.732161334</v>
      </c>
      <c r="AO39" s="46">
        <f t="shared" si="122"/>
        <v>15021136.802205658</v>
      </c>
      <c r="AP39" s="3">
        <f t="shared" si="17"/>
        <v>14411515.788955677</v>
      </c>
      <c r="AQ39" s="3">
        <f t="shared" si="17"/>
        <v>13822910.320268864</v>
      </c>
      <c r="AR39" s="16">
        <f t="shared" si="17"/>
        <v>13254718.342243936</v>
      </c>
      <c r="AS39" s="16">
        <f t="shared" si="17"/>
        <v>12706363.492254766</v>
      </c>
      <c r="AT39" s="16">
        <f t="shared" si="17"/>
        <v>12177298.640637327</v>
      </c>
      <c r="AU39" s="16">
        <f t="shared" si="17"/>
        <v>11666978.843601737</v>
      </c>
      <c r="AV39" s="16">
        <f t="shared" si="17"/>
        <v>11174833.676019788</v>
      </c>
      <c r="AW39" s="16">
        <f t="shared" si="17"/>
        <v>10700269.162389321</v>
      </c>
      <c r="AX39" s="16">
        <f t="shared" si="17"/>
        <v>10242688.479080243</v>
      </c>
      <c r="AY39" s="16">
        <f t="shared" si="17"/>
        <v>9801501.0660238042</v>
      </c>
      <c r="AZ39" s="16">
        <f t="shared" si="17"/>
        <v>9376133.074879365</v>
      </c>
      <c r="BA39" s="16">
        <f t="shared" si="17"/>
        <v>8966033.4692568444</v>
      </c>
      <c r="BB39" s="16">
        <f t="shared" si="17"/>
        <v>8570670.3942497224</v>
      </c>
      <c r="BC39" s="16">
        <f t="shared" si="17"/>
        <v>8189536.3769633677</v>
      </c>
      <c r="BD39" s="16">
        <f t="shared" si="18"/>
        <v>7822141.6503789313</v>
      </c>
      <c r="BE39" s="16">
        <f t="shared" si="18"/>
        <v>7468011.6649380811</v>
      </c>
      <c r="BF39" s="16">
        <f t="shared" si="18"/>
        <v>7126689.7998479586</v>
      </c>
      <c r="BG39" s="16">
        <f t="shared" si="18"/>
        <v>6797732.2961992268</v>
      </c>
      <c r="BH39" s="172">
        <f t="shared" si="123"/>
        <v>653706.34490952641</v>
      </c>
      <c r="BI39" s="16">
        <f t="shared" si="19"/>
        <v>631306.92995567387</v>
      </c>
      <c r="BJ39" s="16">
        <f t="shared" si="19"/>
        <v>609621.01324998064</v>
      </c>
      <c r="BK39" s="16">
        <f t="shared" si="19"/>
        <v>588605.46868681419</v>
      </c>
      <c r="BL39" s="16">
        <f t="shared" si="19"/>
        <v>568191.97802492685</v>
      </c>
      <c r="BM39" s="16">
        <f t="shared" si="19"/>
        <v>548354.84998917021</v>
      </c>
      <c r="BN39" s="16">
        <f t="shared" si="19"/>
        <v>529064.85161743569</v>
      </c>
      <c r="BO39" s="16">
        <f t="shared" si="19"/>
        <v>510319.79703559174</v>
      </c>
      <c r="BP39" s="16">
        <f t="shared" si="19"/>
        <v>492145.1675819463</v>
      </c>
      <c r="BQ39" s="16">
        <f t="shared" si="19"/>
        <v>474564.51363046817</v>
      </c>
      <c r="BR39" s="16">
        <f t="shared" si="20"/>
        <v>457580.68330907432</v>
      </c>
      <c r="BS39" s="16">
        <f t="shared" si="20"/>
        <v>441187.41305644001</v>
      </c>
      <c r="BT39" s="16">
        <f t="shared" si="20"/>
        <v>425367.99114443822</v>
      </c>
      <c r="BU39" s="16">
        <f t="shared" si="20"/>
        <v>410099.60562251828</v>
      </c>
      <c r="BV39" s="16">
        <f t="shared" si="20"/>
        <v>395363.07500712067</v>
      </c>
      <c r="BW39" s="16">
        <f t="shared" si="20"/>
        <v>381134.01728635549</v>
      </c>
      <c r="BX39" s="16">
        <f t="shared" si="20"/>
        <v>367394.72658443713</v>
      </c>
      <c r="BY39" s="16">
        <f t="shared" si="20"/>
        <v>354129.98544085148</v>
      </c>
      <c r="BZ39" s="16">
        <f t="shared" si="20"/>
        <v>341321.86509012192</v>
      </c>
      <c r="CA39" s="16">
        <f t="shared" si="20"/>
        <v>328957.50364873186</v>
      </c>
      <c r="CB39" s="16">
        <f t="shared" si="20"/>
        <v>317024.21402412985</v>
      </c>
      <c r="CC39" s="18">
        <f t="shared" si="124"/>
        <v>5.5067334329060404</v>
      </c>
      <c r="CD39" s="18">
        <f t="shared" si="21"/>
        <v>4.6666369401543273</v>
      </c>
      <c r="CE39" s="18">
        <f t="shared" si="21"/>
        <v>3.7970694245109593</v>
      </c>
      <c r="CF39" s="18">
        <f t="shared" si="21"/>
        <v>2.8969358720113947</v>
      </c>
      <c r="CG39" s="18">
        <f t="shared" si="21"/>
        <v>1.9650872789427427</v>
      </c>
      <c r="CH39" s="18">
        <f t="shared" si="21"/>
        <v>1</v>
      </c>
      <c r="CI39" s="18">
        <f t="shared" si="21"/>
        <v>0</v>
      </c>
      <c r="CJ39" s="18">
        <f t="shared" si="21"/>
        <v>-1.0367319760878091</v>
      </c>
      <c r="CK39" s="18">
        <f t="shared" si="21"/>
        <v>-2.1119472812459592</v>
      </c>
      <c r="CL39" s="18">
        <f t="shared" si="21"/>
        <v>-3.2272320669714949</v>
      </c>
      <c r="CM39" s="18">
        <f t="shared" si="21"/>
        <v>-4.3841324667772783</v>
      </c>
      <c r="CN39" s="18">
        <f t="shared" si="21"/>
        <v>-5.584191525562292</v>
      </c>
      <c r="CO39" s="18">
        <f t="shared" si="21"/>
        <v>-6.8290573966685342</v>
      </c>
      <c r="CP39" s="18">
        <f t="shared" si="21"/>
        <v>-8.1205404046175946</v>
      </c>
      <c r="CQ39" s="18">
        <f t="shared" si="21"/>
        <v>-9.4604940608845585</v>
      </c>
      <c r="CR39" s="18">
        <f t="shared" si="21"/>
        <v>-10.851020665777503</v>
      </c>
      <c r="CS39" s="18">
        <f t="shared" si="21"/>
        <v>-12.294207805547558</v>
      </c>
      <c r="CT39" s="18">
        <f t="shared" si="125"/>
        <v>-13.792172486595662</v>
      </c>
      <c r="CU39" s="18">
        <f t="shared" si="125"/>
        <v>-15.347249511640753</v>
      </c>
      <c r="CV39" s="18">
        <f t="shared" si="125"/>
        <v>-16.961685416864384</v>
      </c>
      <c r="CW39" s="18">
        <f t="shared" si="22"/>
        <v>-18.637791483037354</v>
      </c>
      <c r="CX39" s="17">
        <f t="shared" si="23"/>
        <v>298.49368988683381</v>
      </c>
      <c r="CY39" s="17">
        <f t="shared" si="126"/>
        <v>343.22643576547995</v>
      </c>
      <c r="CZ39" s="17">
        <f t="shared" si="126"/>
        <v>407.28693547186185</v>
      </c>
      <c r="DA39" s="17">
        <f t="shared" si="126"/>
        <v>517.78806823576224</v>
      </c>
      <c r="DB39" s="17">
        <f t="shared" si="126"/>
        <v>633.7136723808095</v>
      </c>
      <c r="DC39" s="17">
        <f t="shared" si="126"/>
        <v>759.55074145799949</v>
      </c>
      <c r="DD39" s="17">
        <f t="shared" si="24"/>
        <v>868.78863929983038</v>
      </c>
      <c r="DE39" s="17">
        <f t="shared" si="24"/>
        <v>933.35534213147969</v>
      </c>
      <c r="DF39" s="3" t="e">
        <f>#REF!+$AG$35*0.004*(1+$R$28)*#REF!-S39*#REF!</f>
        <v>#REF!</v>
      </c>
      <c r="DG39" s="19">
        <f t="shared" si="25"/>
        <v>1086.2526909306962</v>
      </c>
      <c r="DH39" s="19">
        <f t="shared" si="26"/>
        <v>1010.8064628361465</v>
      </c>
      <c r="DI39" s="19">
        <f t="shared" si="27"/>
        <v>950.47204751539653</v>
      </c>
      <c r="DJ39" s="19">
        <f t="shared" si="28"/>
        <v>932.20567831780897</v>
      </c>
      <c r="DK39" s="19">
        <f t="shared" si="29"/>
        <v>914.82682424932307</v>
      </c>
      <c r="DL39" s="19">
        <f t="shared" si="30"/>
        <v>902.6045156495245</v>
      </c>
      <c r="DM39" s="19">
        <f t="shared" si="31"/>
        <v>868.78863929983038</v>
      </c>
      <c r="DN39" s="19">
        <f t="shared" si="32"/>
        <v>785.04692012708063</v>
      </c>
      <c r="DO39" s="173">
        <f t="shared" si="127"/>
        <v>104065.33305960952</v>
      </c>
      <c r="DP39" s="25">
        <f t="shared" si="33"/>
        <v>103766.83936972267</v>
      </c>
      <c r="DQ39" s="26">
        <f t="shared" si="33"/>
        <v>103423.61293395719</v>
      </c>
      <c r="DR39" s="26">
        <f t="shared" si="33"/>
        <v>103016.32599848532</v>
      </c>
      <c r="DS39" s="26">
        <f t="shared" si="33"/>
        <v>102498.53793024956</v>
      </c>
      <c r="DT39" s="26">
        <f t="shared" si="33"/>
        <v>101864.82425786875</v>
      </c>
      <c r="DU39" s="26">
        <f t="shared" si="33"/>
        <v>101105.27351641076</v>
      </c>
      <c r="DV39" s="26">
        <f t="shared" si="33"/>
        <v>100236.48487711092</v>
      </c>
      <c r="DW39" s="26">
        <f t="shared" si="33"/>
        <v>99303.129534979467</v>
      </c>
      <c r="DX39" s="26">
        <f t="shared" si="33"/>
        <v>98348.790857044893</v>
      </c>
      <c r="DY39" s="26">
        <f t="shared" si="33"/>
        <v>97396.800997133396</v>
      </c>
      <c r="DZ39" s="26">
        <f t="shared" si="33"/>
        <v>96461.320321095467</v>
      </c>
      <c r="EA39" s="26">
        <f t="shared" si="33"/>
        <v>95545.664271464426</v>
      </c>
      <c r="EB39" s="26">
        <f t="shared" si="33"/>
        <v>94646.3672969162</v>
      </c>
      <c r="EC39" s="26">
        <f t="shared" si="33"/>
        <v>93762.872497552977</v>
      </c>
      <c r="ED39" s="26">
        <f t="shared" si="33"/>
        <v>92888.672315653326</v>
      </c>
      <c r="EE39" s="26">
        <f t="shared" si="33"/>
        <v>92023.212339849706</v>
      </c>
      <c r="EF39" s="26">
        <f t="shared" si="34"/>
        <v>91167.860609376687</v>
      </c>
      <c r="EG39" s="26">
        <f t="shared" si="34"/>
        <v>90320.703290559817</v>
      </c>
      <c r="EH39" s="26">
        <f t="shared" si="34"/>
        <v>89484.364534015098</v>
      </c>
      <c r="EI39" s="26">
        <f t="shared" si="34"/>
        <v>88661.203824896802</v>
      </c>
      <c r="EJ39" s="26">
        <f t="shared" si="128"/>
        <v>4.5281181164127078E-3</v>
      </c>
      <c r="EK39" s="26">
        <f t="shared" si="129"/>
        <v>4.2159617248281912E-3</v>
      </c>
      <c r="EL39" s="26">
        <f t="shared" si="36"/>
        <v>3.802919136902813E-3</v>
      </c>
      <c r="EM39" s="26">
        <f t="shared" si="36"/>
        <v>3.2467460527306076E-3</v>
      </c>
      <c r="EN39" s="26">
        <f t="shared" si="36"/>
        <v>2.452101521534814E-3</v>
      </c>
      <c r="EO39" s="26">
        <f t="shared" si="36"/>
        <v>1.3851445673782085E-3</v>
      </c>
      <c r="EP39" s="26">
        <f t="shared" si="36"/>
        <v>0</v>
      </c>
      <c r="EQ39" s="26">
        <f t="shared" si="36"/>
        <v>-1.702439615994832E-3</v>
      </c>
      <c r="ER39" s="26">
        <f t="shared" si="36"/>
        <v>-3.6618138308372574E-3</v>
      </c>
      <c r="ES39" s="26">
        <f t="shared" si="36"/>
        <v>-5.8084466499159085E-3</v>
      </c>
      <c r="ET39" s="26">
        <f t="shared" si="36"/>
        <v>-8.104521573023795E-3</v>
      </c>
      <c r="EU39" s="26">
        <f t="shared" si="36"/>
        <v>-1.0526032832947575E-2</v>
      </c>
      <c r="EV39" s="26">
        <f t="shared" si="36"/>
        <v>-1.3070116606537297E-2</v>
      </c>
      <c r="EW39" s="26">
        <f t="shared" si="36"/>
        <v>-1.574960358640224E-2</v>
      </c>
      <c r="EX39" s="26">
        <f t="shared" si="36"/>
        <v>-1.8571286705834987E-2</v>
      </c>
      <c r="EY39" s="26">
        <f t="shared" si="36"/>
        <v>-2.1558299254574524E-2</v>
      </c>
      <c r="EZ39" s="26">
        <f t="shared" si="36"/>
        <v>-2.4720172934963865E-2</v>
      </c>
      <c r="FA39" s="26">
        <f t="shared" si="37"/>
        <v>-2.806148396234542E-2</v>
      </c>
      <c r="FB39" s="26">
        <f t="shared" si="37"/>
        <v>-3.1596482173808012E-2</v>
      </c>
      <c r="FC39" s="26">
        <f t="shared" si="37"/>
        <v>-3.5326474859210769E-2</v>
      </c>
      <c r="FD39" s="26">
        <f t="shared" si="37"/>
        <v>-3.9252742033663059E-2</v>
      </c>
      <c r="FE39" s="26">
        <f t="shared" si="130"/>
        <v>5.3160644968268898</v>
      </c>
      <c r="FF39" s="26">
        <f t="shared" si="38"/>
        <v>4.5046838972098815</v>
      </c>
      <c r="FG39" s="26">
        <f t="shared" si="38"/>
        <v>3.664928045060988</v>
      </c>
      <c r="FH39" s="26">
        <f t="shared" si="38"/>
        <v>2.795780479754828</v>
      </c>
      <c r="FI39" s="26">
        <f t="shared" si="38"/>
        <v>1.8962247678184256</v>
      </c>
      <c r="FJ39" s="26">
        <f t="shared" si="38"/>
        <v>0.9648220520487556</v>
      </c>
      <c r="FK39" s="26">
        <f t="shared" si="38"/>
        <v>0</v>
      </c>
      <c r="FL39" s="26">
        <f t="shared" si="38"/>
        <v>-0.99999999999999623</v>
      </c>
      <c r="FM39" s="26">
        <f t="shared" si="38"/>
        <v>-2.0369294075220608</v>
      </c>
      <c r="FN39" s="26">
        <f t="shared" si="38"/>
        <v>-3.1123892238561535</v>
      </c>
      <c r="FO39" s="26">
        <f t="shared" si="38"/>
        <v>-4.2279104693987826</v>
      </c>
      <c r="FP39" s="26">
        <f t="shared" si="38"/>
        <v>-5.3850076051684477</v>
      </c>
      <c r="FQ39" s="26">
        <f t="shared" si="38"/>
        <v>-6.5852758648376915</v>
      </c>
      <c r="FR39" s="26">
        <f t="shared" si="38"/>
        <v>-7.8304517423416762</v>
      </c>
      <c r="FS39" s="26">
        <f t="shared" si="38"/>
        <v>-9.1223193929343243</v>
      </c>
      <c r="FT39" s="26">
        <f t="shared" si="38"/>
        <v>-10.462887285859487</v>
      </c>
      <c r="FU39" s="26">
        <f t="shared" si="38"/>
        <v>-11.854163043511905</v>
      </c>
      <c r="FV39" s="26">
        <f t="shared" si="131"/>
        <v>-13.298187584529789</v>
      </c>
      <c r="FW39" s="26">
        <f t="shared" si="131"/>
        <v>-14.797202750125065</v>
      </c>
      <c r="FX39" s="26">
        <f t="shared" si="39"/>
        <v>11666978.843601737</v>
      </c>
      <c r="FY39" s="26">
        <f t="shared" si="40"/>
        <v>492145.1675819463</v>
      </c>
      <c r="FZ39" s="26">
        <f t="shared" si="132"/>
        <v>0.80933106392084775</v>
      </c>
      <c r="GA39" s="26">
        <f t="shared" si="133"/>
        <v>0.8380469570555531</v>
      </c>
      <c r="GB39" s="26">
        <f t="shared" si="42"/>
        <v>0.86785862055002339</v>
      </c>
      <c r="GC39" s="26">
        <f t="shared" si="42"/>
        <v>0.89884460774342734</v>
      </c>
      <c r="GD39" s="26">
        <f t="shared" si="42"/>
        <v>0.9311374888756796</v>
      </c>
      <c r="GE39" s="26">
        <f t="shared" si="42"/>
        <v>0.96482205204875005</v>
      </c>
      <c r="GF39" s="26">
        <f t="shared" si="42"/>
        <v>1</v>
      </c>
      <c r="GG39" s="26">
        <f t="shared" si="42"/>
        <v>1.0367319760878033</v>
      </c>
      <c r="GH39" s="26">
        <f t="shared" si="42"/>
        <v>1.0750178737238987</v>
      </c>
      <c r="GI39" s="26">
        <f t="shared" si="42"/>
        <v>1.1148428431153317</v>
      </c>
      <c r="GJ39" s="26">
        <f t="shared" si="42"/>
        <v>1.1562219973784977</v>
      </c>
      <c r="GK39" s="26">
        <f t="shared" si="42"/>
        <v>1.1991839203938344</v>
      </c>
      <c r="GL39" s="26">
        <f t="shared" si="42"/>
        <v>1.2437815318308381</v>
      </c>
      <c r="GM39" s="26">
        <f t="shared" si="42"/>
        <v>1.2900886622759169</v>
      </c>
      <c r="GN39" s="26">
        <f t="shared" si="42"/>
        <v>1.3381746679502302</v>
      </c>
      <c r="GO39" s="26">
        <f t="shared" si="42"/>
        <v>1.3881333799180042</v>
      </c>
      <c r="GP39" s="26">
        <f t="shared" ref="GP39:GP70" si="140">$W39/BX39</f>
        <v>1.4400447620356425</v>
      </c>
      <c r="GQ39" s="26">
        <f t="shared" si="134"/>
        <v>1.4939849020658622</v>
      </c>
      <c r="GR39" s="26">
        <f t="shared" si="134"/>
        <v>1.550046761515681</v>
      </c>
      <c r="GS39" s="26">
        <f t="shared" si="134"/>
        <v>1.6083075952034915</v>
      </c>
      <c r="GT39" s="26">
        <f t="shared" si="134"/>
        <v>1.6688468205686229</v>
      </c>
      <c r="GU39" s="26">
        <f t="shared" si="135"/>
        <v>5.5067334329060404</v>
      </c>
      <c r="GV39" s="26">
        <f t="shared" si="136"/>
        <v>4.6666369401543273</v>
      </c>
      <c r="GW39" s="26">
        <f t="shared" si="43"/>
        <v>3.7970694245109593</v>
      </c>
      <c r="GX39" s="26">
        <f t="shared" si="43"/>
        <v>2.8969358720113947</v>
      </c>
      <c r="GY39" s="26">
        <f t="shared" si="43"/>
        <v>1.9650872789427427</v>
      </c>
      <c r="GZ39" s="26">
        <f t="shared" si="43"/>
        <v>1</v>
      </c>
      <c r="HA39" s="26">
        <f t="shared" si="43"/>
        <v>0</v>
      </c>
      <c r="HB39" s="26">
        <f t="shared" si="43"/>
        <v>-1.0367319760878091</v>
      </c>
      <c r="HC39" s="26">
        <f t="shared" si="43"/>
        <v>-2.1119472812459592</v>
      </c>
      <c r="HD39" s="26">
        <f t="shared" si="43"/>
        <v>-3.2272320669714949</v>
      </c>
      <c r="HE39" s="26">
        <f t="shared" si="43"/>
        <v>-4.3841324667772783</v>
      </c>
      <c r="HF39" s="26">
        <f t="shared" si="43"/>
        <v>-5.584191525562292</v>
      </c>
      <c r="HG39" s="26">
        <f t="shared" si="43"/>
        <v>-6.8290573966685342</v>
      </c>
      <c r="HH39" s="26">
        <f t="shared" si="43"/>
        <v>-8.1205404046175946</v>
      </c>
      <c r="HI39" s="26">
        <f t="shared" si="43"/>
        <v>-9.4604940608845585</v>
      </c>
      <c r="HJ39" s="26">
        <f t="shared" si="43"/>
        <v>-10.851020665777503</v>
      </c>
      <c r="HK39" s="26">
        <f t="shared" ref="HK39:HK70" si="141">(BC39-$V39)/BX39</f>
        <v>-12.294207805547558</v>
      </c>
      <c r="HL39" s="26">
        <f t="shared" si="137"/>
        <v>-13.792172486595662</v>
      </c>
      <c r="HM39" s="26">
        <f t="shared" si="137"/>
        <v>-15.347249511640753</v>
      </c>
      <c r="HN39" s="26">
        <f t="shared" si="137"/>
        <v>-16.961685416864384</v>
      </c>
      <c r="HO39" s="26">
        <f t="shared" si="137"/>
        <v>-18.637791483037354</v>
      </c>
      <c r="HP39" s="26">
        <f t="shared" si="44"/>
        <v>515521.22672923643</v>
      </c>
      <c r="HQ39" s="26">
        <f t="shared" si="45"/>
        <v>533288.98464515572</v>
      </c>
      <c r="HR39" s="26">
        <f t="shared" si="46"/>
        <v>551681.21231424843</v>
      </c>
      <c r="HS39" s="26">
        <f t="shared" si="47"/>
        <v>570724.82976329152</v>
      </c>
      <c r="HT39" s="26">
        <f t="shared" si="48"/>
        <v>590446.53627582954</v>
      </c>
      <c r="HU39" s="26">
        <f t="shared" si="49"/>
        <v>610916.01873620553</v>
      </c>
      <c r="HV39" s="26">
        <f t="shared" si="50"/>
        <v>632215.9078880985</v>
      </c>
      <c r="HW39" s="26">
        <f t="shared" si="51"/>
        <v>654444.42982156493</v>
      </c>
      <c r="HX39" s="26">
        <f t="shared" si="52"/>
        <v>677691.57212712755</v>
      </c>
      <c r="HY39" s="26">
        <f t="shared" si="53"/>
        <v>702024.92020607973</v>
      </c>
      <c r="HZ39" s="26">
        <f t="shared" si="54"/>
        <v>727501.50764934695</v>
      </c>
      <c r="IA39" s="26">
        <f t="shared" si="55"/>
        <v>754172.93928881083</v>
      </c>
      <c r="IB39" s="26">
        <f t="shared" si="56"/>
        <v>782097.22421144845</v>
      </c>
      <c r="IC39" s="26">
        <f t="shared" si="57"/>
        <v>811345.47420069599</v>
      </c>
      <c r="ID39" s="26">
        <f t="shared" si="58"/>
        <v>841989.34907511715</v>
      </c>
      <c r="IE39" s="26">
        <f t="shared" si="59"/>
        <v>874123.17692108394</v>
      </c>
      <c r="IF39" s="26">
        <f t="shared" si="60"/>
        <v>907835.29170837789</v>
      </c>
      <c r="IG39" s="26">
        <f t="shared" si="61"/>
        <v>943212.41898240848</v>
      </c>
      <c r="IH39" s="26">
        <f t="shared" si="62"/>
        <v>980360.24751673336</v>
      </c>
      <c r="II39" s="26">
        <f t="shared" si="63"/>
        <v>-1337440487730.457</v>
      </c>
      <c r="IJ39" s="26">
        <f t="shared" si="64"/>
        <v>535326.13230093638</v>
      </c>
      <c r="IK39" s="26">
        <f t="shared" si="65"/>
        <v>552763.55281507911</v>
      </c>
      <c r="IL39" s="26">
        <f t="shared" si="66"/>
        <v>570893.16044110898</v>
      </c>
      <c r="IM39" s="26">
        <f t="shared" si="67"/>
        <v>589747.76111769257</v>
      </c>
      <c r="IN39" s="26">
        <f t="shared" si="68"/>
        <v>609360.27964732773</v>
      </c>
      <c r="IO39" s="26">
        <f t="shared" si="69"/>
        <v>629808.10926221113</v>
      </c>
      <c r="IP39" s="26">
        <f t="shared" si="70"/>
        <v>651182.38512474147</v>
      </c>
      <c r="IQ39" s="26">
        <f t="shared" si="71"/>
        <v>673590.77166180813</v>
      </c>
      <c r="IR39" s="26">
        <f t="shared" si="72"/>
        <v>697133.05849758966</v>
      </c>
      <c r="IS39" s="26">
        <f t="shared" si="73"/>
        <v>721886.61275991064</v>
      </c>
      <c r="IT39" s="26">
        <f t="shared" si="74"/>
        <v>747918.52482631581</v>
      </c>
      <c r="IU39" s="26">
        <f t="shared" si="75"/>
        <v>775290.88576152548</v>
      </c>
      <c r="IV39" s="26">
        <f t="shared" si="76"/>
        <v>804072.97217390302</v>
      </c>
      <c r="IW39" s="26">
        <f t="shared" si="77"/>
        <v>834348.18594395905</v>
      </c>
      <c r="IX39" s="26">
        <f t="shared" si="78"/>
        <v>866201.20336571091</v>
      </c>
      <c r="IY39" s="26">
        <f t="shared" si="79"/>
        <v>899740.78511631873</v>
      </c>
      <c r="IZ39" s="26">
        <f t="shared" si="80"/>
        <v>935070.3504596292</v>
      </c>
      <c r="JA39" s="26">
        <f t="shared" si="81"/>
        <v>972292.52307202783</v>
      </c>
      <c r="JB39" s="26">
        <f t="shared" si="82"/>
        <v>1011530.380987214</v>
      </c>
      <c r="JC39" s="26">
        <f t="shared" si="83"/>
        <v>-1377563699420.4031</v>
      </c>
      <c r="JD39" s="26">
        <f t="shared" si="84"/>
        <v>156279.10704624018</v>
      </c>
      <c r="JE39" s="26">
        <f t="shared" si="85"/>
        <v>248288.46981924865</v>
      </c>
      <c r="JF39" s="26">
        <f t="shared" si="86"/>
        <v>343619.76179569651</v>
      </c>
      <c r="JG39" s="26">
        <f t="shared" si="87"/>
        <v>442403.52884998731</v>
      </c>
      <c r="JH39" s="26">
        <f t="shared" si="88"/>
        <v>544846.61539555364</v>
      </c>
      <c r="JI39" s="26">
        <f t="shared" si="89"/>
        <v>651182.38512474147</v>
      </c>
      <c r="JJ39" s="26">
        <f t="shared" si="90"/>
        <v>761673.06908956019</v>
      </c>
      <c r="JK39" s="26">
        <f t="shared" si="91"/>
        <v>876567.25447987206</v>
      </c>
      <c r="JL39" s="26">
        <f t="shared" si="92"/>
        <v>996077.07022418943</v>
      </c>
      <c r="JM39" s="26">
        <f t="shared" si="93"/>
        <v>1120400.9685130273</v>
      </c>
      <c r="JN39" s="26">
        <f t="shared" si="94"/>
        <v>1249732.1398108266</v>
      </c>
      <c r="JO39" s="26">
        <f t="shared" si="95"/>
        <v>1384279.8902960082</v>
      </c>
      <c r="JP39" s="26">
        <f t="shared" si="96"/>
        <v>1524281.4297248209</v>
      </c>
      <c r="JQ39" s="26">
        <f t="shared" si="97"/>
        <v>1669978.9114951035</v>
      </c>
      <c r="JR39" s="26">
        <f t="shared" si="98"/>
        <v>1821659.7108587471</v>
      </c>
      <c r="JS39" s="26">
        <f t="shared" si="99"/>
        <v>1979604.6115260702</v>
      </c>
      <c r="JT39" s="26">
        <f t="shared" si="100"/>
        <v>2144096.1011998067</v>
      </c>
      <c r="JU39" s="26">
        <f t="shared" si="101"/>
        <v>2315455.6262405412</v>
      </c>
      <c r="JV39" s="26">
        <f t="shared" si="102"/>
        <v>-1377562258330.2717</v>
      </c>
      <c r="JW39" s="26">
        <f t="shared" si="103"/>
        <v>1739773.7138203585</v>
      </c>
      <c r="JX39" s="26" t="e">
        <f>AH39+$AG$38*0.004*(1+$R$28)*#REF!-S39*#REF!</f>
        <v>#REF!</v>
      </c>
      <c r="JY39" s="34">
        <f t="shared" si="104"/>
        <v>5.0315988939377568E-2</v>
      </c>
      <c r="JZ39" s="4">
        <f t="shared" si="105"/>
        <v>48138.519272566831</v>
      </c>
      <c r="KA39" s="165"/>
      <c r="KB39" s="163">
        <v>12</v>
      </c>
      <c r="KC39" s="169">
        <f>((1+0.035)^(-1))*(1-((1+0.035)^(-m-n+12)))/(1-((1+0.035)^(-1)))</f>
        <v>0</v>
      </c>
      <c r="KD39" s="163">
        <f>((1+0.035)^(-1))*(1-((1+0.035)^(-m-(n/2)+12/2)))/(1-((1+0.035)^(-1)))</f>
        <v>2.354544046942761</v>
      </c>
      <c r="KE39" s="61">
        <f>IF(KB39&lt;=n,VLOOKUP(A28+x,A28:KF139,274),0)</f>
        <v>0</v>
      </c>
      <c r="KF39" s="164">
        <f>IF(KB39&lt;=n,VLOOKUP(A28+x,A28:KF139,274),0)</f>
        <v>0</v>
      </c>
    </row>
    <row r="40" spans="1:293" ht="15.75" x14ac:dyDescent="0.3">
      <c r="A40" s="34">
        <v>39</v>
      </c>
      <c r="B40" s="34">
        <v>12</v>
      </c>
      <c r="C40" s="2">
        <v>990228</v>
      </c>
      <c r="D40" s="1">
        <f t="shared" si="106"/>
        <v>368</v>
      </c>
      <c r="E40" s="145">
        <f t="shared" si="107"/>
        <v>0.99962836841616276</v>
      </c>
      <c r="F40" s="146">
        <f t="shared" si="108"/>
        <v>3.7163158383723971E-4</v>
      </c>
      <c r="G40" s="158">
        <f t="shared" si="3"/>
        <v>4.6453947979654964E-4</v>
      </c>
      <c r="H40" s="43">
        <f t="shared" si="109"/>
        <v>458.8698539069245</v>
      </c>
      <c r="I40" s="43">
        <f t="shared" si="139"/>
        <v>987795.16890123487</v>
      </c>
      <c r="J40" s="43">
        <f t="shared" si="110"/>
        <v>990044</v>
      </c>
      <c r="K40" s="147">
        <f>SUM(J40:$J$138)</f>
        <v>61591882</v>
      </c>
      <c r="L40" s="147">
        <f t="shared" si="111"/>
        <v>62.199697443417072</v>
      </c>
      <c r="M40" s="43">
        <f t="shared" si="4"/>
        <v>1237555</v>
      </c>
      <c r="N40" s="148">
        <f t="shared" si="5"/>
        <v>76989852.5</v>
      </c>
      <c r="O40" s="147">
        <f t="shared" si="6"/>
        <v>77.749621804271342</v>
      </c>
      <c r="P40" s="157">
        <f t="shared" si="7"/>
        <v>653706.34490952641</v>
      </c>
      <c r="Q40" s="43">
        <f t="shared" si="8"/>
        <v>1237785</v>
      </c>
      <c r="R40" s="43">
        <f t="shared" si="9"/>
        <v>298.49368988683381</v>
      </c>
      <c r="S40" s="43">
        <f>SUM(R40:$R$138)</f>
        <v>104065.33305960952</v>
      </c>
      <c r="T40" s="43">
        <f t="shared" si="112"/>
        <v>4905132.6294145249</v>
      </c>
      <c r="U40" s="153">
        <f>SUM(P40:$P$138)</f>
        <v>16306150.077070862</v>
      </c>
      <c r="V40" s="129">
        <f t="shared" si="10"/>
        <v>12177298.640637327</v>
      </c>
      <c r="W40" s="43">
        <f t="shared" si="113"/>
        <v>510319.79703559174</v>
      </c>
      <c r="X40" s="26">
        <f t="shared" si="114"/>
        <v>6.3160644968268924</v>
      </c>
      <c r="Y40" s="26">
        <f t="shared" si="115"/>
        <v>0.78065602546082136</v>
      </c>
      <c r="Z40" s="43">
        <f t="shared" si="11"/>
        <v>100236.48487711092</v>
      </c>
      <c r="AA40" s="149">
        <f t="shared" si="116"/>
        <v>5.8571378606222801E-3</v>
      </c>
      <c r="AB40" s="150">
        <f t="shared" si="138"/>
        <v>15652443.732161334</v>
      </c>
      <c r="AC40" s="150">
        <f t="shared" si="117"/>
        <v>11666978.843601737</v>
      </c>
      <c r="AD40" s="26">
        <f t="shared" si="118"/>
        <v>6.0967205222877086</v>
      </c>
      <c r="AE40" s="26">
        <f t="shared" si="12"/>
        <v>516343.14433328412</v>
      </c>
      <c r="AF40" s="43">
        <f t="shared" si="119"/>
        <v>81750.771321712775</v>
      </c>
      <c r="AG40" s="43">
        <f t="shared" si="13"/>
        <v>537161.97916402307</v>
      </c>
      <c r="AH40" s="27">
        <f t="shared" si="14"/>
        <v>88889.746523563881</v>
      </c>
      <c r="AI40" s="28">
        <f t="shared" si="120"/>
        <v>577593.52598282055</v>
      </c>
      <c r="AJ40" s="20">
        <f t="shared" si="15"/>
        <v>95580.372605982673</v>
      </c>
      <c r="AK40" s="3">
        <f t="shared" si="16"/>
        <v>8283.6322925184995</v>
      </c>
      <c r="AL40" s="3"/>
      <c r="AM40" s="46">
        <f t="shared" si="121"/>
        <v>15652443.732161334</v>
      </c>
      <c r="AN40" s="46">
        <f t="shared" si="122"/>
        <v>15021136.802205658</v>
      </c>
      <c r="AO40" s="46">
        <f t="shared" si="122"/>
        <v>14411515.788955677</v>
      </c>
      <c r="AP40" s="3">
        <f t="shared" si="17"/>
        <v>13822910.320268864</v>
      </c>
      <c r="AQ40" s="3">
        <f t="shared" si="17"/>
        <v>13254718.342243936</v>
      </c>
      <c r="AR40" s="16">
        <f t="shared" si="17"/>
        <v>12706363.492254766</v>
      </c>
      <c r="AS40" s="16">
        <f t="shared" si="17"/>
        <v>12177298.640637327</v>
      </c>
      <c r="AT40" s="16">
        <f t="shared" si="17"/>
        <v>11666978.843601737</v>
      </c>
      <c r="AU40" s="16">
        <f t="shared" si="17"/>
        <v>11174833.676019788</v>
      </c>
      <c r="AV40" s="16">
        <f t="shared" si="17"/>
        <v>10700269.162389321</v>
      </c>
      <c r="AW40" s="16">
        <f t="shared" si="17"/>
        <v>10242688.479080243</v>
      </c>
      <c r="AX40" s="16">
        <f t="shared" si="17"/>
        <v>9801501.0660238042</v>
      </c>
      <c r="AY40" s="16">
        <f t="shared" si="17"/>
        <v>9376133.074879365</v>
      </c>
      <c r="AZ40" s="16">
        <f t="shared" si="17"/>
        <v>8966033.4692568444</v>
      </c>
      <c r="BA40" s="16">
        <f t="shared" si="17"/>
        <v>8570670.3942497224</v>
      </c>
      <c r="BB40" s="16">
        <f t="shared" si="17"/>
        <v>8189536.3769633677</v>
      </c>
      <c r="BC40" s="16">
        <f t="shared" si="17"/>
        <v>7822141.6503789313</v>
      </c>
      <c r="BD40" s="16">
        <f t="shared" si="18"/>
        <v>7468011.6649380811</v>
      </c>
      <c r="BE40" s="16">
        <f t="shared" si="18"/>
        <v>7126689.7998479586</v>
      </c>
      <c r="BF40" s="16">
        <f t="shared" si="18"/>
        <v>6797732.2961992268</v>
      </c>
      <c r="BG40" s="16">
        <f t="shared" si="18"/>
        <v>6480708.0821750965</v>
      </c>
      <c r="BH40" s="172">
        <f t="shared" si="123"/>
        <v>631306.92995567387</v>
      </c>
      <c r="BI40" s="16">
        <f t="shared" si="19"/>
        <v>609621.01324998064</v>
      </c>
      <c r="BJ40" s="16">
        <f t="shared" si="19"/>
        <v>588605.46868681419</v>
      </c>
      <c r="BK40" s="16">
        <f t="shared" si="19"/>
        <v>568191.97802492685</v>
      </c>
      <c r="BL40" s="16">
        <f t="shared" si="19"/>
        <v>548354.84998917021</v>
      </c>
      <c r="BM40" s="16">
        <f t="shared" si="19"/>
        <v>529064.85161743569</v>
      </c>
      <c r="BN40" s="16">
        <f t="shared" si="19"/>
        <v>510319.79703559174</v>
      </c>
      <c r="BO40" s="16">
        <f t="shared" si="19"/>
        <v>492145.1675819463</v>
      </c>
      <c r="BP40" s="16">
        <f t="shared" si="19"/>
        <v>474564.51363046817</v>
      </c>
      <c r="BQ40" s="16">
        <f t="shared" si="19"/>
        <v>457580.68330907432</v>
      </c>
      <c r="BR40" s="16">
        <f t="shared" si="20"/>
        <v>441187.41305644001</v>
      </c>
      <c r="BS40" s="16">
        <f t="shared" si="20"/>
        <v>425367.99114443822</v>
      </c>
      <c r="BT40" s="16">
        <f t="shared" si="20"/>
        <v>410099.60562251828</v>
      </c>
      <c r="BU40" s="16">
        <f t="shared" si="20"/>
        <v>395363.07500712067</v>
      </c>
      <c r="BV40" s="16">
        <f t="shared" si="20"/>
        <v>381134.01728635549</v>
      </c>
      <c r="BW40" s="16">
        <f t="shared" si="20"/>
        <v>367394.72658443713</v>
      </c>
      <c r="BX40" s="16">
        <f t="shared" si="20"/>
        <v>354129.98544085148</v>
      </c>
      <c r="BY40" s="16">
        <f t="shared" si="20"/>
        <v>341321.86509012192</v>
      </c>
      <c r="BZ40" s="16">
        <f t="shared" si="20"/>
        <v>328957.50364873186</v>
      </c>
      <c r="CA40" s="16">
        <f t="shared" si="20"/>
        <v>317024.21402412985</v>
      </c>
      <c r="CB40" s="16">
        <f t="shared" si="20"/>
        <v>305496.76417213847</v>
      </c>
      <c r="CC40" s="18">
        <f t="shared" si="124"/>
        <v>5.504683897209885</v>
      </c>
      <c r="CD40" s="18">
        <f t="shared" si="21"/>
        <v>4.6649280450609876</v>
      </c>
      <c r="CE40" s="18">
        <f t="shared" si="21"/>
        <v>3.7957804797548271</v>
      </c>
      <c r="CF40" s="18">
        <f t="shared" si="21"/>
        <v>2.8962247678184276</v>
      </c>
      <c r="CG40" s="18">
        <f t="shared" si="21"/>
        <v>1.9648220520487556</v>
      </c>
      <c r="CH40" s="18">
        <f t="shared" si="21"/>
        <v>1.0000000000000058</v>
      </c>
      <c r="CI40" s="18">
        <f t="shared" si="21"/>
        <v>0</v>
      </c>
      <c r="CJ40" s="18">
        <f t="shared" si="21"/>
        <v>-1.0369294075220545</v>
      </c>
      <c r="CK40" s="18">
        <f t="shared" si="21"/>
        <v>-2.112389223856157</v>
      </c>
      <c r="CL40" s="18">
        <f t="shared" si="21"/>
        <v>-3.2279104693987737</v>
      </c>
      <c r="CM40" s="18">
        <f t="shared" si="21"/>
        <v>-4.3850076051684503</v>
      </c>
      <c r="CN40" s="18">
        <f t="shared" si="21"/>
        <v>-5.5852758648376897</v>
      </c>
      <c r="CO40" s="18">
        <f t="shared" si="21"/>
        <v>-6.8304517423416709</v>
      </c>
      <c r="CP40" s="18">
        <f t="shared" si="21"/>
        <v>-8.1223193929343207</v>
      </c>
      <c r="CQ40" s="18">
        <f t="shared" si="21"/>
        <v>-9.462887285859491</v>
      </c>
      <c r="CR40" s="18">
        <f t="shared" si="21"/>
        <v>-10.854163043511909</v>
      </c>
      <c r="CS40" s="18">
        <f t="shared" ref="CS40:CS71" si="142">(BC40-$V40)/BX40</f>
        <v>-12.298187584529792</v>
      </c>
      <c r="CT40" s="18">
        <f t="shared" si="125"/>
        <v>-13.797202750125063</v>
      </c>
      <c r="CU40" s="18">
        <f t="shared" si="125"/>
        <v>-15.353377821660882</v>
      </c>
      <c r="CV40" s="18">
        <f t="shared" si="125"/>
        <v>-16.968944662468722</v>
      </c>
      <c r="CW40" s="18">
        <f t="shared" si="22"/>
        <v>-18.646975112483904</v>
      </c>
      <c r="CX40" s="17">
        <f t="shared" si="23"/>
        <v>343.22643576547995</v>
      </c>
      <c r="CY40" s="17">
        <f t="shared" si="126"/>
        <v>407.28693547186185</v>
      </c>
      <c r="CZ40" s="17">
        <f t="shared" si="126"/>
        <v>517.78806823576224</v>
      </c>
      <c r="DA40" s="17">
        <f t="shared" si="126"/>
        <v>633.7136723808095</v>
      </c>
      <c r="DB40" s="17">
        <f t="shared" si="126"/>
        <v>759.55074145799949</v>
      </c>
      <c r="DC40" s="17">
        <f t="shared" si="126"/>
        <v>868.78863929983038</v>
      </c>
      <c r="DD40" s="17">
        <f t="shared" si="24"/>
        <v>933.35534213147969</v>
      </c>
      <c r="DE40" s="17">
        <f t="shared" si="24"/>
        <v>954.33867793456591</v>
      </c>
      <c r="DF40" s="3" t="e">
        <f>#REF!+$AG$35*0.004*(1+$R$28)*#REF!-S40*#REF!</f>
        <v>#REF!</v>
      </c>
      <c r="DG40" s="19">
        <f t="shared" si="25"/>
        <v>1137.4367715401597</v>
      </c>
      <c r="DH40" s="19">
        <f t="shared" si="26"/>
        <v>1080.3381293670279</v>
      </c>
      <c r="DI40" s="19">
        <f t="shared" si="27"/>
        <v>1065.4395130137391</v>
      </c>
      <c r="DJ40" s="19">
        <f t="shared" si="28"/>
        <v>1051.5781107900536</v>
      </c>
      <c r="DK40" s="19">
        <f t="shared" si="29"/>
        <v>1043.0333193560848</v>
      </c>
      <c r="DL40" s="19">
        <f t="shared" si="30"/>
        <v>1013.0676479777383</v>
      </c>
      <c r="DM40" s="19">
        <f t="shared" si="31"/>
        <v>933.35534213147969</v>
      </c>
      <c r="DN40" s="19">
        <f t="shared" si="32"/>
        <v>804.73153094831446</v>
      </c>
      <c r="DO40" s="173">
        <f t="shared" si="127"/>
        <v>103766.83936972267</v>
      </c>
      <c r="DP40" s="25">
        <f t="shared" si="33"/>
        <v>103423.61293395719</v>
      </c>
      <c r="DQ40" s="26">
        <f t="shared" si="33"/>
        <v>103016.32599848532</v>
      </c>
      <c r="DR40" s="26">
        <f t="shared" si="33"/>
        <v>102498.53793024956</v>
      </c>
      <c r="DS40" s="26">
        <f t="shared" si="33"/>
        <v>101864.82425786875</v>
      </c>
      <c r="DT40" s="26">
        <f t="shared" si="33"/>
        <v>101105.27351641076</v>
      </c>
      <c r="DU40" s="26">
        <f t="shared" si="33"/>
        <v>100236.48487711092</v>
      </c>
      <c r="DV40" s="26">
        <f t="shared" si="33"/>
        <v>99303.129534979467</v>
      </c>
      <c r="DW40" s="26">
        <f t="shared" si="33"/>
        <v>98348.790857044893</v>
      </c>
      <c r="DX40" s="26">
        <f t="shared" si="33"/>
        <v>97396.800997133396</v>
      </c>
      <c r="DY40" s="26">
        <f t="shared" si="33"/>
        <v>96461.320321095467</v>
      </c>
      <c r="DZ40" s="26">
        <f t="shared" si="33"/>
        <v>95545.664271464426</v>
      </c>
      <c r="EA40" s="26">
        <f t="shared" si="33"/>
        <v>94646.3672969162</v>
      </c>
      <c r="EB40" s="26">
        <f t="shared" si="33"/>
        <v>93762.872497552977</v>
      </c>
      <c r="EC40" s="26">
        <f t="shared" si="33"/>
        <v>92888.672315653326</v>
      </c>
      <c r="ED40" s="26">
        <f t="shared" si="33"/>
        <v>92023.212339849706</v>
      </c>
      <c r="EE40" s="26">
        <f t="shared" si="33"/>
        <v>91167.860609376687</v>
      </c>
      <c r="EF40" s="26">
        <f t="shared" si="34"/>
        <v>90320.703290559817</v>
      </c>
      <c r="EG40" s="26">
        <f t="shared" si="34"/>
        <v>89484.364534015098</v>
      </c>
      <c r="EH40" s="26">
        <f t="shared" si="34"/>
        <v>88661.203824896802</v>
      </c>
      <c r="EI40" s="26">
        <f t="shared" si="34"/>
        <v>87840.381572520157</v>
      </c>
      <c r="EJ40" s="26">
        <f t="shared" si="128"/>
        <v>5.5921364475749131E-3</v>
      </c>
      <c r="EK40" s="26">
        <f t="shared" si="129"/>
        <v>5.2280482259875072E-3</v>
      </c>
      <c r="EL40" s="26">
        <f t="shared" si="36"/>
        <v>4.722757890062176E-3</v>
      </c>
      <c r="EM40" s="26">
        <f t="shared" si="36"/>
        <v>3.9811421854311973E-3</v>
      </c>
      <c r="EN40" s="26">
        <f t="shared" si="36"/>
        <v>2.9694993685019547E-3</v>
      </c>
      <c r="EO40" s="26">
        <f t="shared" si="36"/>
        <v>1.6421212572405972E-3</v>
      </c>
      <c r="EP40" s="26">
        <f t="shared" si="36"/>
        <v>0</v>
      </c>
      <c r="EQ40" s="26">
        <f t="shared" si="36"/>
        <v>-1.8965041284816555E-3</v>
      </c>
      <c r="ER40" s="26">
        <f t="shared" si="36"/>
        <v>-3.9777395187536781E-3</v>
      </c>
      <c r="ES40" s="26">
        <f t="shared" si="36"/>
        <v>-6.2058648530393824E-3</v>
      </c>
      <c r="ET40" s="26">
        <f t="shared" si="36"/>
        <v>-8.5568274259277422E-3</v>
      </c>
      <c r="EU40" s="26">
        <f t="shared" si="36"/>
        <v>-1.1027676513754607E-2</v>
      </c>
      <c r="EV40" s="26">
        <f t="shared" si="36"/>
        <v>-1.3631121570353871E-2</v>
      </c>
      <c r="EW40" s="26">
        <f t="shared" si="36"/>
        <v>-1.6373841637693037E-2</v>
      </c>
      <c r="EX40" s="26">
        <f t="shared" si="36"/>
        <v>-1.9278815923525934E-2</v>
      </c>
      <c r="EY40" s="26">
        <f t="shared" si="36"/>
        <v>-2.2355444819847161E-2</v>
      </c>
      <c r="EZ40" s="26">
        <f t="shared" si="36"/>
        <v>-2.5608179596666558E-2</v>
      </c>
      <c r="FA40" s="26">
        <f t="shared" si="37"/>
        <v>-2.9051117437006165E-2</v>
      </c>
      <c r="FB40" s="26">
        <f t="shared" si="37"/>
        <v>-3.2685438768945606E-2</v>
      </c>
      <c r="FC40" s="26">
        <f t="shared" si="37"/>
        <v>-3.6512293194528943E-2</v>
      </c>
      <c r="FD40" s="26">
        <f t="shared" si="37"/>
        <v>-4.0576872682048862E-2</v>
      </c>
      <c r="FE40" s="26">
        <f t="shared" si="130"/>
        <v>5.3130383961402528</v>
      </c>
      <c r="FF40" s="26">
        <f t="shared" si="38"/>
        <v>4.5020379640826418</v>
      </c>
      <c r="FG40" s="26">
        <f t="shared" si="38"/>
        <v>3.6627785356412597</v>
      </c>
      <c r="FH40" s="26">
        <f t="shared" si="38"/>
        <v>2.7943715505475577</v>
      </c>
      <c r="FI40" s="26">
        <f t="shared" si="38"/>
        <v>1.8954599356120512</v>
      </c>
      <c r="FJ40" s="26">
        <f t="shared" si="38"/>
        <v>0.96456945774314951</v>
      </c>
      <c r="FK40" s="26">
        <f t="shared" si="38"/>
        <v>0</v>
      </c>
      <c r="FL40" s="26">
        <f t="shared" si="38"/>
        <v>-1.0000000000000062</v>
      </c>
      <c r="FM40" s="26">
        <f t="shared" si="38"/>
        <v>-2.0370458672035667</v>
      </c>
      <c r="FN40" s="26">
        <f t="shared" si="38"/>
        <v>-3.1126540443567037</v>
      </c>
      <c r="FO40" s="26">
        <f t="shared" si="38"/>
        <v>-4.2283114213398623</v>
      </c>
      <c r="FP40" s="26">
        <f t="shared" si="38"/>
        <v>-5.3855621871286763</v>
      </c>
      <c r="FQ40" s="26">
        <f t="shared" si="38"/>
        <v>-6.5860716209296104</v>
      </c>
      <c r="FR40" s="26">
        <f t="shared" si="38"/>
        <v>-7.8315569791039508</v>
      </c>
      <c r="FS40" s="26">
        <f t="shared" si="38"/>
        <v>-9.1239362243168127</v>
      </c>
      <c r="FT40" s="26">
        <f t="shared" si="38"/>
        <v>-10.465139848269324</v>
      </c>
      <c r="FU40" s="26">
        <f t="shared" si="38"/>
        <v>-11.857135377667667</v>
      </c>
      <c r="FV40" s="26">
        <f t="shared" si="131"/>
        <v>-13.302074985893359</v>
      </c>
      <c r="FW40" s="26">
        <f t="shared" si="131"/>
        <v>-14.802053436671262</v>
      </c>
      <c r="FX40" s="26">
        <f t="shared" si="39"/>
        <v>11174833.676019788</v>
      </c>
      <c r="FY40" s="26">
        <f t="shared" si="40"/>
        <v>474564.51363046817</v>
      </c>
      <c r="FZ40" s="26">
        <f t="shared" si="132"/>
        <v>0.80835449893037448</v>
      </c>
      <c r="GA40" s="26">
        <f t="shared" si="133"/>
        <v>0.83710991902165688</v>
      </c>
      <c r="GB40" s="26">
        <f t="shared" si="42"/>
        <v>0.86699805588643486</v>
      </c>
      <c r="GC40" s="26">
        <f t="shared" si="42"/>
        <v>0.89814678272913551</v>
      </c>
      <c r="GD40" s="26">
        <f t="shared" si="42"/>
        <v>0.93063788356329913</v>
      </c>
      <c r="GE40" s="26">
        <f t="shared" si="42"/>
        <v>0.96456945774315317</v>
      </c>
      <c r="GF40" s="26">
        <f t="shared" si="42"/>
        <v>1</v>
      </c>
      <c r="GG40" s="26">
        <f t="shared" si="42"/>
        <v>1.0369294075220585</v>
      </c>
      <c r="GH40" s="26">
        <f t="shared" si="42"/>
        <v>1.0753433566525907</v>
      </c>
      <c r="GI40" s="26">
        <f t="shared" si="42"/>
        <v>1.1152564250420829</v>
      </c>
      <c r="GJ40" s="26">
        <f t="shared" si="42"/>
        <v>1.1566961838285894</v>
      </c>
      <c r="GK40" s="26">
        <f t="shared" si="42"/>
        <v>1.1997136777090198</v>
      </c>
      <c r="GL40" s="26">
        <f t="shared" si="42"/>
        <v>1.2443801214120711</v>
      </c>
      <c r="GM40" s="26">
        <f t="shared" si="42"/>
        <v>1.2907624138303777</v>
      </c>
      <c r="GN40" s="26">
        <f t="shared" si="42"/>
        <v>1.3389510615426798</v>
      </c>
      <c r="GO40" s="26">
        <f t="shared" si="42"/>
        <v>1.3890231952425878</v>
      </c>
      <c r="GP40" s="26">
        <f t="shared" si="140"/>
        <v>1.4410522068621265</v>
      </c>
      <c r="GQ40" s="26">
        <f t="shared" si="134"/>
        <v>1.4951277642317111</v>
      </c>
      <c r="GR40" s="26">
        <f t="shared" si="134"/>
        <v>1.5513243849896263</v>
      </c>
      <c r="GS40" s="26">
        <f t="shared" si="134"/>
        <v>1.6097186727722617</v>
      </c>
      <c r="GT40" s="26">
        <f t="shared" si="134"/>
        <v>1.6704589275061568</v>
      </c>
      <c r="GU40" s="26">
        <f t="shared" si="135"/>
        <v>5.504683897209885</v>
      </c>
      <c r="GV40" s="26">
        <f t="shared" si="136"/>
        <v>4.6649280450609876</v>
      </c>
      <c r="GW40" s="26">
        <f t="shared" si="43"/>
        <v>3.7957804797548271</v>
      </c>
      <c r="GX40" s="26">
        <f t="shared" si="43"/>
        <v>2.8962247678184276</v>
      </c>
      <c r="GY40" s="26">
        <f t="shared" si="43"/>
        <v>1.9648220520487556</v>
      </c>
      <c r="GZ40" s="26">
        <f t="shared" si="43"/>
        <v>1.0000000000000058</v>
      </c>
      <c r="HA40" s="26">
        <f t="shared" si="43"/>
        <v>0</v>
      </c>
      <c r="HB40" s="26">
        <f t="shared" si="43"/>
        <v>-1.0369294075220545</v>
      </c>
      <c r="HC40" s="26">
        <f t="shared" si="43"/>
        <v>-2.112389223856157</v>
      </c>
      <c r="HD40" s="26">
        <f t="shared" si="43"/>
        <v>-3.2279104693987737</v>
      </c>
      <c r="HE40" s="26">
        <f t="shared" si="43"/>
        <v>-4.3850076051684503</v>
      </c>
      <c r="HF40" s="26">
        <f t="shared" si="43"/>
        <v>-5.5852758648376897</v>
      </c>
      <c r="HG40" s="26">
        <f t="shared" si="43"/>
        <v>-6.8304517423416709</v>
      </c>
      <c r="HH40" s="26">
        <f t="shared" si="43"/>
        <v>-8.1223193929343207</v>
      </c>
      <c r="HI40" s="26">
        <f t="shared" si="43"/>
        <v>-9.462887285859491</v>
      </c>
      <c r="HJ40" s="26">
        <f t="shared" si="43"/>
        <v>-10.854163043511909</v>
      </c>
      <c r="HK40" s="26">
        <f t="shared" si="141"/>
        <v>-12.298187584529792</v>
      </c>
      <c r="HL40" s="26">
        <f t="shared" si="137"/>
        <v>-13.797202750125063</v>
      </c>
      <c r="HM40" s="26">
        <f t="shared" si="137"/>
        <v>-15.353377821660882</v>
      </c>
      <c r="HN40" s="26">
        <f t="shared" si="137"/>
        <v>-16.968944662468722</v>
      </c>
      <c r="HO40" s="26">
        <f t="shared" si="137"/>
        <v>-18.646975112483904</v>
      </c>
      <c r="HP40" s="26">
        <f t="shared" si="44"/>
        <v>515817.1611315608</v>
      </c>
      <c r="HQ40" s="26">
        <f t="shared" si="45"/>
        <v>533542.89325031196</v>
      </c>
      <c r="HR40" s="26">
        <f t="shared" si="46"/>
        <v>551881.69268146274</v>
      </c>
      <c r="HS40" s="26">
        <f t="shared" si="47"/>
        <v>570848.44052805798</v>
      </c>
      <c r="HT40" s="26">
        <f t="shared" si="48"/>
        <v>590506.59631040611</v>
      </c>
      <c r="HU40" s="26">
        <f t="shared" si="49"/>
        <v>610930.74794820929</v>
      </c>
      <c r="HV40" s="26">
        <f t="shared" si="50"/>
        <v>632215.9078880985</v>
      </c>
      <c r="HW40" s="26">
        <f t="shared" si="51"/>
        <v>654455.93904272234</v>
      </c>
      <c r="HX40" s="26">
        <f t="shared" si="52"/>
        <v>677724.12603840744</v>
      </c>
      <c r="HY40" s="26">
        <f t="shared" si="53"/>
        <v>702079.90966597851</v>
      </c>
      <c r="HZ40" s="26">
        <f t="shared" si="54"/>
        <v>727575.90384848521</v>
      </c>
      <c r="IA40" s="26">
        <f t="shared" si="55"/>
        <v>754268.48923938954</v>
      </c>
      <c r="IB40" s="26">
        <f t="shared" si="56"/>
        <v>782224.90919727529</v>
      </c>
      <c r="IC40" s="26">
        <f t="shared" si="57"/>
        <v>811513.62819769955</v>
      </c>
      <c r="ID40" s="26">
        <f t="shared" si="58"/>
        <v>842223.14182977623</v>
      </c>
      <c r="IE40" s="26">
        <f t="shared" si="59"/>
        <v>874437.711946422</v>
      </c>
      <c r="IF40" s="26">
        <f t="shared" si="60"/>
        <v>908240.61399026192</v>
      </c>
      <c r="IG40" s="26">
        <f t="shared" si="61"/>
        <v>943732.33818101685</v>
      </c>
      <c r="IH40" s="26">
        <f t="shared" si="62"/>
        <v>981000.34791862289</v>
      </c>
      <c r="II40" s="26">
        <f t="shared" si="63"/>
        <v>-1281023615637.5132</v>
      </c>
      <c r="IJ40" s="26">
        <f t="shared" si="64"/>
        <v>535629.32971503807</v>
      </c>
      <c r="IK40" s="26">
        <f t="shared" si="65"/>
        <v>553023.80582468596</v>
      </c>
      <c r="IL40" s="26">
        <f t="shared" si="66"/>
        <v>571098.7517484678</v>
      </c>
      <c r="IM40" s="26">
        <f t="shared" si="67"/>
        <v>589874.61352552928</v>
      </c>
      <c r="IN40" s="26">
        <f t="shared" si="68"/>
        <v>609421.97947264055</v>
      </c>
      <c r="IO40" s="26">
        <f t="shared" si="69"/>
        <v>629823.28035057499</v>
      </c>
      <c r="IP40" s="26">
        <f t="shared" si="70"/>
        <v>651182.38512474147</v>
      </c>
      <c r="IQ40" s="26">
        <f t="shared" si="71"/>
        <v>673602.53341881046</v>
      </c>
      <c r="IR40" s="26">
        <f t="shared" si="72"/>
        <v>697166.40294095874</v>
      </c>
      <c r="IS40" s="26">
        <f t="shared" si="73"/>
        <v>721942.9998480241</v>
      </c>
      <c r="IT40" s="26">
        <f t="shared" si="74"/>
        <v>747994.87184797623</v>
      </c>
      <c r="IU40" s="26">
        <f t="shared" si="75"/>
        <v>775389.00953416678</v>
      </c>
      <c r="IV40" s="26">
        <f t="shared" si="76"/>
        <v>804204.18406163994</v>
      </c>
      <c r="IW40" s="26">
        <f t="shared" si="77"/>
        <v>834521.09151779686</v>
      </c>
      <c r="IX40" s="26">
        <f t="shared" si="78"/>
        <v>866441.74483400048</v>
      </c>
      <c r="IY40" s="26">
        <f t="shared" si="79"/>
        <v>900064.58067393745</v>
      </c>
      <c r="IZ40" s="26">
        <f t="shared" si="80"/>
        <v>935487.83240996976</v>
      </c>
      <c r="JA40" s="26">
        <f t="shared" si="81"/>
        <v>972828.32568815327</v>
      </c>
      <c r="JB40" s="26">
        <f t="shared" si="82"/>
        <v>1012190.3869176224</v>
      </c>
      <c r="JC40" s="26">
        <f t="shared" si="83"/>
        <v>-1319454321163.4119</v>
      </c>
      <c r="JD40" s="26">
        <f t="shared" si="84"/>
        <v>156285.93486063718</v>
      </c>
      <c r="JE40" s="26">
        <f t="shared" si="85"/>
        <v>248279.22449354362</v>
      </c>
      <c r="JF40" s="26">
        <f t="shared" si="86"/>
        <v>343559.5499021617</v>
      </c>
      <c r="JG40" s="26">
        <f t="shared" si="87"/>
        <v>442319.86981022981</v>
      </c>
      <c r="JH40" s="26">
        <f t="shared" si="88"/>
        <v>544776.33704689448</v>
      </c>
      <c r="JI40" s="26">
        <f t="shared" si="89"/>
        <v>651182.38512474147</v>
      </c>
      <c r="JJ40" s="26">
        <f t="shared" si="90"/>
        <v>761790.20995025721</v>
      </c>
      <c r="JK40" s="26">
        <f t="shared" si="91"/>
        <v>876818.64949755801</v>
      </c>
      <c r="JL40" s="26">
        <f t="shared" si="92"/>
        <v>996466.9185283368</v>
      </c>
      <c r="JM40" s="26">
        <f t="shared" si="93"/>
        <v>1120926.3650309432</v>
      </c>
      <c r="JN40" s="26">
        <f t="shared" si="94"/>
        <v>1250399.6493464301</v>
      </c>
      <c r="JO40" s="26">
        <f t="shared" si="95"/>
        <v>1385113.2261310944</v>
      </c>
      <c r="JP40" s="26">
        <f t="shared" si="96"/>
        <v>1525299.528423063</v>
      </c>
      <c r="JQ40" s="26">
        <f t="shared" si="97"/>
        <v>1671231.383323607</v>
      </c>
      <c r="JR40" s="26">
        <f t="shared" si="98"/>
        <v>1823177.9696443938</v>
      </c>
      <c r="JS40" s="26">
        <f t="shared" si="99"/>
        <v>1981411.0946494965</v>
      </c>
      <c r="JT40" s="26">
        <f t="shared" si="100"/>
        <v>2146238.245727418</v>
      </c>
      <c r="JU40" s="26">
        <f t="shared" si="101"/>
        <v>2317948.2400363935</v>
      </c>
      <c r="JV40" s="26">
        <f t="shared" si="102"/>
        <v>-1319452878006.5374</v>
      </c>
      <c r="JW40" s="26">
        <f t="shared" si="103"/>
        <v>1742154.1700371881</v>
      </c>
      <c r="JX40" s="26" t="e">
        <f>AH40+$AG$38*0.004*(1+$R$28)*#REF!-S40*#REF!</f>
        <v>#REF!</v>
      </c>
      <c r="JY40" s="34">
        <f t="shared" si="104"/>
        <v>5.0371631583837242E-2</v>
      </c>
      <c r="JZ40" s="4">
        <f t="shared" si="105"/>
        <v>48152.669540109811</v>
      </c>
      <c r="KA40" s="165"/>
      <c r="KB40" s="163">
        <v>13</v>
      </c>
      <c r="KC40" s="163">
        <f>((1+0.035)^(-1))*(1-((1+0.035)^(-m-n+13)))/(1-((1+0.035)^(-1)))</f>
        <v>-1</v>
      </c>
      <c r="KD40" s="163">
        <f>((1+0.035)^(-1))*(1-((1+0.035)^(-m-(n/2)+13/2)))/(1-((1+0.035)^(-1)))</f>
        <v>1.8996942752456316</v>
      </c>
      <c r="KE40" s="61">
        <f>IF(KB40&lt;=n,VLOOKUP(A28+x,A28:KF139,275),0)</f>
        <v>0</v>
      </c>
      <c r="KF40" s="164">
        <f>IF(KB40&lt;=n,VLOOKUP(A28+x,A28:KF139,275),0)</f>
        <v>0</v>
      </c>
    </row>
    <row r="41" spans="1:293" ht="15.75" x14ac:dyDescent="0.3">
      <c r="A41" s="34">
        <v>40</v>
      </c>
      <c r="B41" s="34">
        <v>13</v>
      </c>
      <c r="C41" s="2">
        <v>989860</v>
      </c>
      <c r="D41" s="1">
        <f t="shared" si="106"/>
        <v>438</v>
      </c>
      <c r="E41" s="145">
        <f t="shared" si="107"/>
        <v>0.99955751318368258</v>
      </c>
      <c r="F41" s="146">
        <f t="shared" si="108"/>
        <v>4.4248681631742226E-4</v>
      </c>
      <c r="G41" s="158">
        <f t="shared" si="3"/>
        <v>5.5310852039677783E-4</v>
      </c>
      <c r="H41" s="43">
        <f t="shared" si="109"/>
        <v>546.10411950009814</v>
      </c>
      <c r="I41" s="43">
        <f t="shared" si="139"/>
        <v>987336.29904732795</v>
      </c>
      <c r="J41" s="43">
        <f t="shared" si="110"/>
        <v>989641</v>
      </c>
      <c r="K41" s="147">
        <f>SUM(J41:$J$138)</f>
        <v>60601838</v>
      </c>
      <c r="L41" s="147">
        <f t="shared" si="111"/>
        <v>61.222635524215548</v>
      </c>
      <c r="M41" s="43">
        <f t="shared" si="4"/>
        <v>1237051.25</v>
      </c>
      <c r="N41" s="148">
        <f t="shared" si="5"/>
        <v>75752297.5</v>
      </c>
      <c r="O41" s="147">
        <f t="shared" si="6"/>
        <v>76.528294405269435</v>
      </c>
      <c r="P41" s="157">
        <f t="shared" si="7"/>
        <v>631306.92995567387</v>
      </c>
      <c r="Q41" s="43">
        <f t="shared" si="8"/>
        <v>1237325</v>
      </c>
      <c r="R41" s="43">
        <f t="shared" si="9"/>
        <v>343.22643576547995</v>
      </c>
      <c r="S41" s="43">
        <f>SUM(R41:$R$138)</f>
        <v>103766.83936972267</v>
      </c>
      <c r="T41" s="43">
        <f t="shared" si="112"/>
        <v>4801067.2963549159</v>
      </c>
      <c r="U41" s="153">
        <f>SUM(P41:$P$138)</f>
        <v>15652443.732161334</v>
      </c>
      <c r="V41" s="129">
        <f t="shared" si="10"/>
        <v>11666978.843601737</v>
      </c>
      <c r="W41" s="43">
        <f t="shared" si="113"/>
        <v>492145.1675819463</v>
      </c>
      <c r="X41" s="26">
        <f t="shared" si="114"/>
        <v>6.3130383961402563</v>
      </c>
      <c r="Y41" s="26">
        <f t="shared" si="115"/>
        <v>0.77956560308390943</v>
      </c>
      <c r="Z41" s="43">
        <f t="shared" si="11"/>
        <v>99303.129534979467</v>
      </c>
      <c r="AA41" s="149">
        <f t="shared" si="116"/>
        <v>7.070585832245839E-3</v>
      </c>
      <c r="AB41" s="150">
        <f t="shared" si="138"/>
        <v>15021136.802205658</v>
      </c>
      <c r="AC41" s="150">
        <f t="shared" si="117"/>
        <v>11174833.676019788</v>
      </c>
      <c r="AD41" s="26">
        <f t="shared" si="118"/>
        <v>6.092603999224167</v>
      </c>
      <c r="AE41" s="26">
        <f t="shared" si="12"/>
        <v>516759.59179236903</v>
      </c>
      <c r="AF41" s="43">
        <f t="shared" si="119"/>
        <v>81855.924099608194</v>
      </c>
      <c r="AG41" s="43">
        <f t="shared" si="13"/>
        <v>537588.36708053946</v>
      </c>
      <c r="AH41" s="27">
        <f t="shared" si="14"/>
        <v>88998.053884796158</v>
      </c>
      <c r="AI41" s="28">
        <f t="shared" si="120"/>
        <v>578052.00761348335</v>
      </c>
      <c r="AJ41" s="20">
        <f t="shared" si="15"/>
        <v>95696.832134189419</v>
      </c>
      <c r="AK41" s="3">
        <f t="shared" si="16"/>
        <v>8293.7254516297508</v>
      </c>
      <c r="AL41" s="3"/>
      <c r="AM41" s="46">
        <f t="shared" si="121"/>
        <v>15021136.802205658</v>
      </c>
      <c r="AN41" s="46">
        <f t="shared" si="122"/>
        <v>14411515.788955677</v>
      </c>
      <c r="AO41" s="46">
        <f t="shared" si="122"/>
        <v>13822910.320268864</v>
      </c>
      <c r="AP41" s="3">
        <f t="shared" si="17"/>
        <v>13254718.342243936</v>
      </c>
      <c r="AQ41" s="3">
        <f t="shared" si="17"/>
        <v>12706363.492254766</v>
      </c>
      <c r="AR41" s="16">
        <f t="shared" si="17"/>
        <v>12177298.640637327</v>
      </c>
      <c r="AS41" s="16">
        <f t="shared" si="17"/>
        <v>11666978.843601737</v>
      </c>
      <c r="AT41" s="16">
        <f t="shared" si="17"/>
        <v>11174833.676019788</v>
      </c>
      <c r="AU41" s="16">
        <f t="shared" si="17"/>
        <v>10700269.162389321</v>
      </c>
      <c r="AV41" s="16">
        <f t="shared" si="17"/>
        <v>10242688.479080243</v>
      </c>
      <c r="AW41" s="16">
        <f t="shared" si="17"/>
        <v>9801501.0660238042</v>
      </c>
      <c r="AX41" s="16">
        <f t="shared" si="17"/>
        <v>9376133.074879365</v>
      </c>
      <c r="AY41" s="16">
        <f t="shared" si="17"/>
        <v>8966033.4692568444</v>
      </c>
      <c r="AZ41" s="16">
        <f t="shared" si="17"/>
        <v>8570670.3942497224</v>
      </c>
      <c r="BA41" s="16">
        <f t="shared" si="17"/>
        <v>8189536.3769633677</v>
      </c>
      <c r="BB41" s="16">
        <f t="shared" si="17"/>
        <v>7822141.6503789313</v>
      </c>
      <c r="BC41" s="16">
        <f t="shared" si="17"/>
        <v>7468011.6649380811</v>
      </c>
      <c r="BD41" s="16">
        <f t="shared" si="18"/>
        <v>7126689.7998479586</v>
      </c>
      <c r="BE41" s="16">
        <f t="shared" si="18"/>
        <v>6797732.2961992268</v>
      </c>
      <c r="BF41" s="16">
        <f t="shared" si="18"/>
        <v>6480708.0821750965</v>
      </c>
      <c r="BG41" s="16">
        <f t="shared" si="18"/>
        <v>6175211.3180029579</v>
      </c>
      <c r="BH41" s="172">
        <f t="shared" si="123"/>
        <v>609621.01324998064</v>
      </c>
      <c r="BI41" s="16">
        <f t="shared" si="19"/>
        <v>588605.46868681419</v>
      </c>
      <c r="BJ41" s="16">
        <f t="shared" si="19"/>
        <v>568191.97802492685</v>
      </c>
      <c r="BK41" s="16">
        <f t="shared" si="19"/>
        <v>548354.84998917021</v>
      </c>
      <c r="BL41" s="16">
        <f t="shared" si="19"/>
        <v>529064.85161743569</v>
      </c>
      <c r="BM41" s="16">
        <f t="shared" si="19"/>
        <v>510319.79703559174</v>
      </c>
      <c r="BN41" s="16">
        <f t="shared" si="19"/>
        <v>492145.1675819463</v>
      </c>
      <c r="BO41" s="16">
        <f t="shared" si="19"/>
        <v>474564.51363046817</v>
      </c>
      <c r="BP41" s="16">
        <f t="shared" si="19"/>
        <v>457580.68330907432</v>
      </c>
      <c r="BQ41" s="16">
        <f t="shared" si="19"/>
        <v>441187.41305644001</v>
      </c>
      <c r="BR41" s="16">
        <f t="shared" si="20"/>
        <v>425367.99114443822</v>
      </c>
      <c r="BS41" s="16">
        <f t="shared" si="20"/>
        <v>410099.60562251828</v>
      </c>
      <c r="BT41" s="16">
        <f t="shared" si="20"/>
        <v>395363.07500712067</v>
      </c>
      <c r="BU41" s="16">
        <f t="shared" si="20"/>
        <v>381134.01728635549</v>
      </c>
      <c r="BV41" s="16">
        <f t="shared" si="20"/>
        <v>367394.72658443713</v>
      </c>
      <c r="BW41" s="16">
        <f t="shared" si="20"/>
        <v>354129.98544085148</v>
      </c>
      <c r="BX41" s="16">
        <f t="shared" si="20"/>
        <v>341321.86509012192</v>
      </c>
      <c r="BY41" s="16">
        <f t="shared" si="20"/>
        <v>328957.50364873186</v>
      </c>
      <c r="BZ41" s="16">
        <f t="shared" si="20"/>
        <v>317024.21402412985</v>
      </c>
      <c r="CA41" s="16">
        <f t="shared" si="20"/>
        <v>305496.76417213847</v>
      </c>
      <c r="CB41" s="16">
        <f t="shared" si="20"/>
        <v>294352.25019440131</v>
      </c>
      <c r="CC41" s="18">
        <f t="shared" si="124"/>
        <v>5.5020379640826418</v>
      </c>
      <c r="CD41" s="18">
        <f t="shared" si="21"/>
        <v>4.6627785356412588</v>
      </c>
      <c r="CE41" s="18">
        <f t="shared" si="21"/>
        <v>3.7943715505475595</v>
      </c>
      <c r="CF41" s="18">
        <f t="shared" si="21"/>
        <v>2.8954599356120512</v>
      </c>
      <c r="CG41" s="18">
        <f t="shared" si="21"/>
        <v>1.9645694577431552</v>
      </c>
      <c r="CH41" s="18">
        <f t="shared" si="21"/>
        <v>0.99999999999999623</v>
      </c>
      <c r="CI41" s="18">
        <f t="shared" si="21"/>
        <v>0</v>
      </c>
      <c r="CJ41" s="18">
        <f t="shared" si="21"/>
        <v>-1.0370458672035703</v>
      </c>
      <c r="CK41" s="18">
        <f t="shared" si="21"/>
        <v>-2.1126540443566952</v>
      </c>
      <c r="CL41" s="18">
        <f t="shared" si="21"/>
        <v>-3.2283114213398654</v>
      </c>
      <c r="CM41" s="18">
        <f t="shared" si="21"/>
        <v>-4.3855621871286736</v>
      </c>
      <c r="CN41" s="18">
        <f t="shared" si="21"/>
        <v>-5.5860716209296042</v>
      </c>
      <c r="CO41" s="18">
        <f t="shared" si="21"/>
        <v>-6.8315569791039481</v>
      </c>
      <c r="CP41" s="18">
        <f t="shared" si="21"/>
        <v>-8.1239362243168163</v>
      </c>
      <c r="CQ41" s="18">
        <f t="shared" si="21"/>
        <v>-9.4651398482693256</v>
      </c>
      <c r="CR41" s="18">
        <f t="shared" si="21"/>
        <v>-10.857135377667671</v>
      </c>
      <c r="CS41" s="18">
        <f t="shared" si="142"/>
        <v>-12.302074985893357</v>
      </c>
      <c r="CT41" s="18">
        <f t="shared" si="125"/>
        <v>-13.802053436671262</v>
      </c>
      <c r="CU41" s="18">
        <f t="shared" si="125"/>
        <v>-15.359225989696467</v>
      </c>
      <c r="CV41" s="18">
        <f t="shared" si="125"/>
        <v>-16.976516184977754</v>
      </c>
      <c r="CW41" s="18">
        <f t="shared" si="22"/>
        <v>-18.657127716780863</v>
      </c>
      <c r="CX41" s="17">
        <f t="shared" si="23"/>
        <v>407.28693547186185</v>
      </c>
      <c r="CY41" s="17">
        <f t="shared" si="126"/>
        <v>517.78806823576224</v>
      </c>
      <c r="CZ41" s="17">
        <f t="shared" si="126"/>
        <v>633.7136723808095</v>
      </c>
      <c r="DA41" s="17">
        <f t="shared" si="126"/>
        <v>759.55074145799949</v>
      </c>
      <c r="DB41" s="17">
        <f t="shared" si="126"/>
        <v>868.78863929983038</v>
      </c>
      <c r="DC41" s="17">
        <f t="shared" si="126"/>
        <v>933.35534213147969</v>
      </c>
      <c r="DD41" s="17">
        <f t="shared" si="24"/>
        <v>954.33867793456591</v>
      </c>
      <c r="DE41" s="17">
        <f t="shared" si="24"/>
        <v>951.98985991150846</v>
      </c>
      <c r="DF41" s="3" t="e">
        <f>#REF!+$AG$35*0.004*(1+$R$28)*#REF!-S41*#REF!</f>
        <v>#REF!</v>
      </c>
      <c r="DG41" s="19">
        <f t="shared" si="25"/>
        <v>1207.8353083537979</v>
      </c>
      <c r="DH41" s="19">
        <f t="shared" si="26"/>
        <v>1196.2239122237625</v>
      </c>
      <c r="DI41" s="19">
        <f t="shared" si="27"/>
        <v>1185.7960081861411</v>
      </c>
      <c r="DJ41" s="19">
        <f t="shared" si="28"/>
        <v>1180.8411351867778</v>
      </c>
      <c r="DK41" s="19">
        <f t="shared" si="29"/>
        <v>1154.6341556478901</v>
      </c>
      <c r="DL41" s="19">
        <f t="shared" si="30"/>
        <v>1078.8556782083879</v>
      </c>
      <c r="DM41" s="19">
        <f t="shared" si="31"/>
        <v>954.33867793456591</v>
      </c>
      <c r="DN41" s="19">
        <f t="shared" si="32"/>
        <v>801.09933770621956</v>
      </c>
      <c r="DO41" s="173">
        <f t="shared" si="127"/>
        <v>103423.61293395719</v>
      </c>
      <c r="DP41" s="25">
        <f t="shared" si="33"/>
        <v>103016.32599848532</v>
      </c>
      <c r="DQ41" s="26">
        <f t="shared" si="33"/>
        <v>102498.53793024956</v>
      </c>
      <c r="DR41" s="26">
        <f t="shared" si="33"/>
        <v>101864.82425786875</v>
      </c>
      <c r="DS41" s="26">
        <f t="shared" si="33"/>
        <v>101105.27351641076</v>
      </c>
      <c r="DT41" s="26">
        <f t="shared" si="33"/>
        <v>100236.48487711092</v>
      </c>
      <c r="DU41" s="26">
        <f t="shared" si="33"/>
        <v>99303.129534979467</v>
      </c>
      <c r="DV41" s="26">
        <f t="shared" si="33"/>
        <v>98348.790857044893</v>
      </c>
      <c r="DW41" s="26">
        <f t="shared" si="33"/>
        <v>97396.800997133396</v>
      </c>
      <c r="DX41" s="26">
        <f t="shared" si="33"/>
        <v>96461.320321095467</v>
      </c>
      <c r="DY41" s="26">
        <f t="shared" si="33"/>
        <v>95545.664271464426</v>
      </c>
      <c r="DZ41" s="26">
        <f t="shared" si="33"/>
        <v>94646.3672969162</v>
      </c>
      <c r="EA41" s="26">
        <f t="shared" si="33"/>
        <v>93762.872497552977</v>
      </c>
      <c r="EB41" s="26">
        <f t="shared" si="33"/>
        <v>92888.672315653326</v>
      </c>
      <c r="EC41" s="26">
        <f t="shared" si="33"/>
        <v>92023.212339849706</v>
      </c>
      <c r="ED41" s="26">
        <f t="shared" si="33"/>
        <v>91167.860609376687</v>
      </c>
      <c r="EE41" s="26">
        <f t="shared" si="33"/>
        <v>90320.703290559817</v>
      </c>
      <c r="EF41" s="26">
        <f t="shared" si="34"/>
        <v>89484.364534015098</v>
      </c>
      <c r="EG41" s="26">
        <f t="shared" si="34"/>
        <v>88661.203824896802</v>
      </c>
      <c r="EH41" s="26">
        <f t="shared" si="34"/>
        <v>87840.381572520157</v>
      </c>
      <c r="EI41" s="26">
        <f t="shared" si="34"/>
        <v>87012.558663059375</v>
      </c>
      <c r="EJ41" s="26">
        <f t="shared" si="128"/>
        <v>6.7590901714670451E-3</v>
      </c>
      <c r="EK41" s="26">
        <f t="shared" si="129"/>
        <v>6.3084640918984998E-3</v>
      </c>
      <c r="EL41" s="26">
        <f t="shared" si="36"/>
        <v>5.623818214360473E-3</v>
      </c>
      <c r="EM41" s="26">
        <f t="shared" si="36"/>
        <v>4.6716003750853574E-3</v>
      </c>
      <c r="EN41" s="26">
        <f t="shared" si="36"/>
        <v>3.406281811996864E-3</v>
      </c>
      <c r="EO41" s="26">
        <f t="shared" si="36"/>
        <v>1.8289616580686196E-3</v>
      </c>
      <c r="EP41" s="26">
        <f t="shared" si="36"/>
        <v>0</v>
      </c>
      <c r="EQ41" s="26">
        <f t="shared" si="36"/>
        <v>-2.0109777501772816E-3</v>
      </c>
      <c r="ER41" s="26">
        <f t="shared" si="36"/>
        <v>-4.1661036127227337E-3</v>
      </c>
      <c r="ES41" s="26">
        <f t="shared" si="36"/>
        <v>-6.4412744556709613E-3</v>
      </c>
      <c r="ET41" s="26">
        <f t="shared" si="36"/>
        <v>-8.8334461965643169E-3</v>
      </c>
      <c r="EU41" s="26">
        <f t="shared" si="36"/>
        <v>-1.135519804022842E-2</v>
      </c>
      <c r="EV41" s="26">
        <f t="shared" si="36"/>
        <v>-1.4013086673121176E-2</v>
      </c>
      <c r="EW41" s="26">
        <f t="shared" si="36"/>
        <v>-1.6829925769934095E-2</v>
      </c>
      <c r="EX41" s="26">
        <f t="shared" si="36"/>
        <v>-1.9814974653580505E-2</v>
      </c>
      <c r="EY41" s="26">
        <f t="shared" si="36"/>
        <v>-2.2972550363040561E-2</v>
      </c>
      <c r="EZ41" s="26">
        <f t="shared" si="36"/>
        <v>-2.6316586082312507E-2</v>
      </c>
      <c r="FA41" s="26">
        <f t="shared" si="37"/>
        <v>-2.9848125949572701E-2</v>
      </c>
      <c r="FB41" s="26">
        <f t="shared" si="37"/>
        <v>-3.356817946175137E-2</v>
      </c>
      <c r="FC41" s="26">
        <f t="shared" si="37"/>
        <v>-3.7521667352261673E-2</v>
      </c>
      <c r="FD41" s="26">
        <f t="shared" si="37"/>
        <v>-4.1754635352041429E-2</v>
      </c>
      <c r="FE41" s="26">
        <f t="shared" si="130"/>
        <v>5.3093348860805403</v>
      </c>
      <c r="FF41" s="26">
        <f t="shared" si="38"/>
        <v>4.4988991525290558</v>
      </c>
      <c r="FG41" s="26">
        <f t="shared" si="38"/>
        <v>3.6605315574041817</v>
      </c>
      <c r="FH41" s="26">
        <f t="shared" si="38"/>
        <v>2.7929538988580571</v>
      </c>
      <c r="FI41" s="26">
        <f t="shared" si="38"/>
        <v>1.8947865494236553</v>
      </c>
      <c r="FJ41" s="26">
        <f t="shared" si="38"/>
        <v>0.96438580364858006</v>
      </c>
      <c r="FK41" s="26">
        <f t="shared" si="38"/>
        <v>0</v>
      </c>
      <c r="FL41" s="26">
        <f t="shared" si="38"/>
        <v>-0.99999999999999656</v>
      </c>
      <c r="FM41" s="26">
        <f t="shared" si="38"/>
        <v>-2.0371165806182518</v>
      </c>
      <c r="FN41" s="26">
        <f t="shared" si="38"/>
        <v>-3.1128100425210827</v>
      </c>
      <c r="FO41" s="26">
        <f t="shared" si="38"/>
        <v>-4.2285753479030701</v>
      </c>
      <c r="FP41" s="26">
        <f t="shared" si="38"/>
        <v>-5.386009097497312</v>
      </c>
      <c r="FQ41" s="26">
        <f t="shared" si="38"/>
        <v>-6.5867640313227618</v>
      </c>
      <c r="FR41" s="26">
        <f t="shared" si="38"/>
        <v>-7.832670828784857</v>
      </c>
      <c r="FS41" s="26">
        <f t="shared" si="38"/>
        <v>-9.1255855978387821</v>
      </c>
      <c r="FT41" s="26">
        <f t="shared" si="38"/>
        <v>-10.467405087053375</v>
      </c>
      <c r="FU41" s="26">
        <f t="shared" ref="FU41:FU72" si="143">(BD41-$AC41)/BX41</f>
        <v>-11.860194995427456</v>
      </c>
      <c r="FV41" s="26">
        <f t="shared" si="131"/>
        <v>-13.305978222933401</v>
      </c>
      <c r="FW41" s="26">
        <f t="shared" si="131"/>
        <v>-14.806836153806865</v>
      </c>
      <c r="FX41" s="26">
        <f t="shared" si="39"/>
        <v>10700269.162389321</v>
      </c>
      <c r="FY41" s="26">
        <f t="shared" si="40"/>
        <v>457580.68330907432</v>
      </c>
      <c r="FZ41" s="26">
        <f t="shared" si="132"/>
        <v>0.80729692199789327</v>
      </c>
      <c r="GA41" s="26">
        <f t="shared" si="133"/>
        <v>0.83612061688779082</v>
      </c>
      <c r="GB41" s="26">
        <f t="shared" si="42"/>
        <v>0.86616000685661854</v>
      </c>
      <c r="GC41" s="26">
        <f t="shared" si="42"/>
        <v>0.89749396324600028</v>
      </c>
      <c r="GD41" s="26">
        <f t="shared" si="42"/>
        <v>0.93021709168049993</v>
      </c>
      <c r="GE41" s="26">
        <f t="shared" si="42"/>
        <v>0.96438580364857396</v>
      </c>
      <c r="GF41" s="26">
        <f t="shared" si="42"/>
        <v>1</v>
      </c>
      <c r="GG41" s="26">
        <f t="shared" si="42"/>
        <v>1.0370458672035636</v>
      </c>
      <c r="GH41" s="26">
        <f t="shared" si="42"/>
        <v>1.0755374637384447</v>
      </c>
      <c r="GI41" s="26">
        <f t="shared" si="42"/>
        <v>1.1155013788187729</v>
      </c>
      <c r="GJ41" s="26">
        <f t="shared" si="42"/>
        <v>1.1569868392255993</v>
      </c>
      <c r="GK41" s="26">
        <f t="shared" si="42"/>
        <v>1.2000625234322901</v>
      </c>
      <c r="GL41" s="26">
        <f t="shared" si="42"/>
        <v>1.2447929477811819</v>
      </c>
      <c r="GM41" s="26">
        <f t="shared" si="42"/>
        <v>1.2912653955319484</v>
      </c>
      <c r="GN41" s="26">
        <f t="shared" si="42"/>
        <v>1.3395542504305331</v>
      </c>
      <c r="GO41" s="26">
        <f t="shared" si="42"/>
        <v>1.389730290614283</v>
      </c>
      <c r="GP41" s="26">
        <f t="shared" si="140"/>
        <v>1.4418799904658943</v>
      </c>
      <c r="GQ41" s="26">
        <f t="shared" si="134"/>
        <v>1.4960752137378506</v>
      </c>
      <c r="GR41" s="26">
        <f t="shared" si="134"/>
        <v>1.5523898358895936</v>
      </c>
      <c r="GS41" s="26">
        <f t="shared" si="134"/>
        <v>1.61096687526496</v>
      </c>
      <c r="GT41" s="26">
        <f t="shared" si="134"/>
        <v>1.6719599298354781</v>
      </c>
      <c r="GU41" s="26">
        <f t="shared" si="135"/>
        <v>5.5020379640826418</v>
      </c>
      <c r="GV41" s="26">
        <f t="shared" si="136"/>
        <v>4.6627785356412588</v>
      </c>
      <c r="GW41" s="26">
        <f t="shared" si="43"/>
        <v>3.7943715505475595</v>
      </c>
      <c r="GX41" s="26">
        <f t="shared" si="43"/>
        <v>2.8954599356120512</v>
      </c>
      <c r="GY41" s="26">
        <f t="shared" si="43"/>
        <v>1.9645694577431552</v>
      </c>
      <c r="GZ41" s="26">
        <f t="shared" si="43"/>
        <v>0.99999999999999623</v>
      </c>
      <c r="HA41" s="26">
        <f t="shared" si="43"/>
        <v>0</v>
      </c>
      <c r="HB41" s="26">
        <f t="shared" si="43"/>
        <v>-1.0370458672035703</v>
      </c>
      <c r="HC41" s="26">
        <f t="shared" si="43"/>
        <v>-2.1126540443566952</v>
      </c>
      <c r="HD41" s="26">
        <f t="shared" si="43"/>
        <v>-3.2283114213398654</v>
      </c>
      <c r="HE41" s="26">
        <f t="shared" si="43"/>
        <v>-4.3855621871286736</v>
      </c>
      <c r="HF41" s="26">
        <f t="shared" si="43"/>
        <v>-5.5860716209296042</v>
      </c>
      <c r="HG41" s="26">
        <f t="shared" si="43"/>
        <v>-6.8315569791039481</v>
      </c>
      <c r="HH41" s="26">
        <f t="shared" si="43"/>
        <v>-8.1239362243168163</v>
      </c>
      <c r="HI41" s="26">
        <f t="shared" si="43"/>
        <v>-9.4651398482693256</v>
      </c>
      <c r="HJ41" s="26">
        <f t="shared" si="43"/>
        <v>-10.857135377667671</v>
      </c>
      <c r="HK41" s="26">
        <f t="shared" si="141"/>
        <v>-12.302074985893357</v>
      </c>
      <c r="HL41" s="26">
        <f t="shared" si="137"/>
        <v>-13.802053436671262</v>
      </c>
      <c r="HM41" s="26">
        <f t="shared" si="137"/>
        <v>-15.359225989696467</v>
      </c>
      <c r="HN41" s="26">
        <f t="shared" si="137"/>
        <v>-16.976516184977754</v>
      </c>
      <c r="HO41" s="26">
        <f t="shared" si="137"/>
        <v>-18.657127716780863</v>
      </c>
      <c r="HP41" s="26">
        <f t="shared" si="44"/>
        <v>516187.36330358934</v>
      </c>
      <c r="HQ41" s="26">
        <f t="shared" si="45"/>
        <v>533851.22796452907</v>
      </c>
      <c r="HR41" s="26">
        <f t="shared" si="46"/>
        <v>552094.85109109839</v>
      </c>
      <c r="HS41" s="26">
        <f t="shared" si="47"/>
        <v>570975.69197837368</v>
      </c>
      <c r="HT41" s="26">
        <f t="shared" si="48"/>
        <v>590560.58755518484</v>
      </c>
      <c r="HU41" s="26">
        <f t="shared" si="49"/>
        <v>610941.45713695174</v>
      </c>
      <c r="HV41" s="26">
        <f t="shared" si="50"/>
        <v>632215.9078880985</v>
      </c>
      <c r="HW41" s="26">
        <f t="shared" si="51"/>
        <v>654462.72803372098</v>
      </c>
      <c r="HX41" s="26">
        <f t="shared" si="52"/>
        <v>677743.68711190054</v>
      </c>
      <c r="HY41" s="26">
        <f t="shared" si="53"/>
        <v>702112.37959290296</v>
      </c>
      <c r="HZ41" s="26">
        <f t="shared" si="54"/>
        <v>727623.623095004</v>
      </c>
      <c r="IA41" s="26">
        <f t="shared" si="55"/>
        <v>754340.93778081646</v>
      </c>
      <c r="IB41" s="26">
        <f t="shared" si="56"/>
        <v>782329.71437710326</v>
      </c>
      <c r="IC41" s="26">
        <f t="shared" si="57"/>
        <v>811672.83152683033</v>
      </c>
      <c r="ID41" s="26">
        <f t="shared" si="58"/>
        <v>842450.63228035369</v>
      </c>
      <c r="IE41" s="26">
        <f t="shared" si="59"/>
        <v>874743.07350086281</v>
      </c>
      <c r="IF41" s="26">
        <f t="shared" si="60"/>
        <v>908645.64079790981</v>
      </c>
      <c r="IG41" s="26">
        <f t="shared" si="61"/>
        <v>944242.71238544164</v>
      </c>
      <c r="IH41" s="26">
        <f t="shared" si="62"/>
        <v>981620.1540921831</v>
      </c>
      <c r="II41" s="26">
        <f t="shared" si="63"/>
        <v>-1226622095057.0647</v>
      </c>
      <c r="IJ41" s="26">
        <f t="shared" si="64"/>
        <v>536008.55297478568</v>
      </c>
      <c r="IK41" s="26">
        <f t="shared" si="65"/>
        <v>553339.78953937767</v>
      </c>
      <c r="IL41" s="26">
        <f t="shared" si="66"/>
        <v>571317.31733781204</v>
      </c>
      <c r="IM41" s="26">
        <f t="shared" si="67"/>
        <v>590005.18057913193</v>
      </c>
      <c r="IN41" s="26">
        <f t="shared" si="68"/>
        <v>609477.43616090936</v>
      </c>
      <c r="IO41" s="26">
        <f t="shared" si="69"/>
        <v>629834.31081497972</v>
      </c>
      <c r="IP41" s="26">
        <f t="shared" si="70"/>
        <v>651182.38512474147</v>
      </c>
      <c r="IQ41" s="26">
        <f t="shared" si="71"/>
        <v>673609.47137415293</v>
      </c>
      <c r="IR41" s="26">
        <f t="shared" si="72"/>
        <v>697186.43934080109</v>
      </c>
      <c r="IS41" s="26">
        <f t="shared" si="73"/>
        <v>721976.29490192293</v>
      </c>
      <c r="IT41" s="26">
        <f t="shared" si="74"/>
        <v>748043.84455980954</v>
      </c>
      <c r="IU41" s="26">
        <f t="shared" si="75"/>
        <v>775463.41674751823</v>
      </c>
      <c r="IV41" s="26">
        <f t="shared" si="76"/>
        <v>804311.8927086544</v>
      </c>
      <c r="IW41" s="26">
        <f t="shared" si="77"/>
        <v>834684.80461495591</v>
      </c>
      <c r="IX41" s="26">
        <f t="shared" si="78"/>
        <v>866675.81050860207</v>
      </c>
      <c r="IY41" s="26">
        <f t="shared" si="79"/>
        <v>900378.93705436878</v>
      </c>
      <c r="IZ41" s="26">
        <f t="shared" si="80"/>
        <v>935905.01002184709</v>
      </c>
      <c r="JA41" s="26">
        <f t="shared" si="81"/>
        <v>973354.28675592062</v>
      </c>
      <c r="JB41" s="26">
        <f t="shared" si="82"/>
        <v>1012829.4576788829</v>
      </c>
      <c r="JC41" s="26">
        <f t="shared" si="83"/>
        <v>-1263420754964.2366</v>
      </c>
      <c r="JD41" s="26">
        <f t="shared" si="84"/>
        <v>156279.71454187355</v>
      </c>
      <c r="JE41" s="26">
        <f t="shared" si="85"/>
        <v>248206.65683512267</v>
      </c>
      <c r="JF41" s="26">
        <f t="shared" si="86"/>
        <v>343441.56397187687</v>
      </c>
      <c r="JG41" s="26">
        <f t="shared" si="87"/>
        <v>442184.03153816017</v>
      </c>
      <c r="JH41" s="26">
        <f t="shared" si="88"/>
        <v>544679.06015006767</v>
      </c>
      <c r="JI41" s="26">
        <f t="shared" si="89"/>
        <v>651182.38512474147</v>
      </c>
      <c r="JJ41" s="26">
        <f t="shared" si="90"/>
        <v>761919.37214688433</v>
      </c>
      <c r="JK41" s="26">
        <f t="shared" si="91"/>
        <v>877090.02405623626</v>
      </c>
      <c r="JL41" s="26">
        <f t="shared" si="92"/>
        <v>996883.96321051847</v>
      </c>
      <c r="JM41" s="26">
        <f t="shared" si="93"/>
        <v>1121497.4919113128</v>
      </c>
      <c r="JN41" s="26">
        <f t="shared" si="94"/>
        <v>1251146.7458599317</v>
      </c>
      <c r="JO41" s="26">
        <f t="shared" si="95"/>
        <v>1386054.8396958821</v>
      </c>
      <c r="JP41" s="26">
        <f t="shared" si="96"/>
        <v>1526480.6301824157</v>
      </c>
      <c r="JQ41" s="26">
        <f t="shared" si="97"/>
        <v>1672682.1668664264</v>
      </c>
      <c r="JR41" s="26">
        <f t="shared" si="98"/>
        <v>1824921.0216425466</v>
      </c>
      <c r="JS41" s="26">
        <f t="shared" si="99"/>
        <v>1983491.2891441435</v>
      </c>
      <c r="JT41" s="26">
        <f t="shared" si="100"/>
        <v>2148671.6068461761</v>
      </c>
      <c r="JU41" s="26">
        <f t="shared" si="101"/>
        <v>2320748.1968505215</v>
      </c>
      <c r="JV41" s="26">
        <f t="shared" si="102"/>
        <v>-1263419309324.7456</v>
      </c>
      <c r="JW41" s="26">
        <f t="shared" si="103"/>
        <v>1745032.1019516308</v>
      </c>
      <c r="JX41" s="26" t="e">
        <f>AH41+$AG$38*0.004*(1+$R$28)*#REF!-S41*#REF!</f>
        <v>#REF!</v>
      </c>
      <c r="JY41" s="34">
        <f t="shared" si="104"/>
        <v>5.0442486816317425E-2</v>
      </c>
      <c r="JZ41" s="4">
        <f t="shared" si="105"/>
        <v>48170.296702203923</v>
      </c>
      <c r="KA41" s="165"/>
      <c r="KB41" s="163">
        <v>14</v>
      </c>
      <c r="KC41" s="163">
        <f>((1+0.035)^(-1))*(1-((1+0.035)^(-m-n+14)))/(1-((1+0.035)^(-1)))</f>
        <v>-2.0350000000000006</v>
      </c>
      <c r="KD41" s="163">
        <f>((1+0.035)^(-1))*(1-((1+0.035)^(-m-(n/2)+14/2)))/(1-((1+0.035)^(-1)))</f>
        <v>1.4369530885857604</v>
      </c>
      <c r="KE41" s="61">
        <f>IF(KB41&lt;=n,VLOOKUP(A28+x,A28:KF139,276),0)</f>
        <v>0</v>
      </c>
      <c r="KF41" s="164">
        <f>IF(KB41&lt;=n,VLOOKUP(A28+x,A28:KF139,276),0)</f>
        <v>0</v>
      </c>
    </row>
    <row r="42" spans="1:293" ht="15.75" x14ac:dyDescent="0.3">
      <c r="A42" s="34">
        <v>41</v>
      </c>
      <c r="B42" s="34">
        <v>14</v>
      </c>
      <c r="C42" s="2">
        <v>989422</v>
      </c>
      <c r="D42" s="1">
        <f t="shared" si="106"/>
        <v>538</v>
      </c>
      <c r="E42" s="145">
        <f t="shared" si="107"/>
        <v>0.99945624819338963</v>
      </c>
      <c r="F42" s="146">
        <f t="shared" si="108"/>
        <v>5.4375180661037081E-4</v>
      </c>
      <c r="G42" s="158">
        <f t="shared" si="3"/>
        <v>6.7968975826296352E-4</v>
      </c>
      <c r="H42" s="43">
        <f t="shared" si="109"/>
        <v>670.71118904675791</v>
      </c>
      <c r="I42" s="43">
        <f t="shared" si="139"/>
        <v>986790.1949278278</v>
      </c>
      <c r="J42" s="43">
        <f t="shared" si="110"/>
        <v>989153</v>
      </c>
      <c r="K42" s="147">
        <f>SUM(J42:$J$138)</f>
        <v>59612197</v>
      </c>
      <c r="L42" s="147">
        <f t="shared" si="111"/>
        <v>60.249516384313267</v>
      </c>
      <c r="M42" s="43">
        <f t="shared" si="4"/>
        <v>1236441.25</v>
      </c>
      <c r="N42" s="148">
        <f t="shared" si="5"/>
        <v>74515246.25</v>
      </c>
      <c r="O42" s="147">
        <f t="shared" si="6"/>
        <v>75.311895480391584</v>
      </c>
      <c r="P42" s="157">
        <f t="shared" si="7"/>
        <v>609621.01324998064</v>
      </c>
      <c r="Q42" s="43">
        <f t="shared" si="8"/>
        <v>1236777.5</v>
      </c>
      <c r="R42" s="43">
        <f t="shared" si="9"/>
        <v>407.28693547186185</v>
      </c>
      <c r="S42" s="43">
        <f>SUM(R42:$R$138)</f>
        <v>103423.61293395719</v>
      </c>
      <c r="T42" s="43">
        <f t="shared" si="112"/>
        <v>4697300.4569851933</v>
      </c>
      <c r="U42" s="153">
        <f>SUM(P42:$P$138)</f>
        <v>15021136.802205658</v>
      </c>
      <c r="V42" s="129">
        <f t="shared" si="10"/>
        <v>11174833.676019788</v>
      </c>
      <c r="W42" s="43">
        <f t="shared" si="113"/>
        <v>474564.51363046817</v>
      </c>
      <c r="X42" s="26">
        <f t="shared" si="114"/>
        <v>6.3093348860805394</v>
      </c>
      <c r="Y42" s="26">
        <f t="shared" si="115"/>
        <v>0.7784582606503242</v>
      </c>
      <c r="Z42" s="43">
        <f t="shared" si="11"/>
        <v>98348.790857044893</v>
      </c>
      <c r="AA42" s="149">
        <f t="shared" si="116"/>
        <v>8.3245524130765528E-3</v>
      </c>
      <c r="AB42" s="150">
        <f t="shared" si="138"/>
        <v>14411515.788955677</v>
      </c>
      <c r="AC42" s="150">
        <f t="shared" si="117"/>
        <v>10700269.162389321</v>
      </c>
      <c r="AD42" s="26">
        <f t="shared" si="118"/>
        <v>6.0877931467308617</v>
      </c>
      <c r="AE42" s="26">
        <f t="shared" si="12"/>
        <v>517256.01623198739</v>
      </c>
      <c r="AF42" s="43">
        <f t="shared" si="119"/>
        <v>81982.653571478935</v>
      </c>
      <c r="AG42" s="43">
        <f t="shared" si="13"/>
        <v>538096.55979137204</v>
      </c>
      <c r="AH42" s="27">
        <f t="shared" si="14"/>
        <v>89128.585240823028</v>
      </c>
      <c r="AI42" s="28">
        <f t="shared" si="120"/>
        <v>578598.45138857211</v>
      </c>
      <c r="AJ42" s="20">
        <f t="shared" si="15"/>
        <v>95837.188430992508</v>
      </c>
      <c r="AK42" s="3">
        <f t="shared" si="16"/>
        <v>8305.8896640193507</v>
      </c>
      <c r="AL42" s="3"/>
      <c r="AM42" s="46">
        <f t="shared" si="121"/>
        <v>14411515.788955677</v>
      </c>
      <c r="AN42" s="46">
        <f t="shared" si="122"/>
        <v>13822910.320268864</v>
      </c>
      <c r="AO42" s="46">
        <f t="shared" si="122"/>
        <v>13254718.342243936</v>
      </c>
      <c r="AP42" s="3">
        <f t="shared" si="17"/>
        <v>12706363.492254766</v>
      </c>
      <c r="AQ42" s="3">
        <f t="shared" si="17"/>
        <v>12177298.640637327</v>
      </c>
      <c r="AR42" s="16">
        <f t="shared" si="17"/>
        <v>11666978.843601737</v>
      </c>
      <c r="AS42" s="16">
        <f t="shared" si="17"/>
        <v>11174833.676019788</v>
      </c>
      <c r="AT42" s="16">
        <f t="shared" si="17"/>
        <v>10700269.162389321</v>
      </c>
      <c r="AU42" s="16">
        <f t="shared" si="17"/>
        <v>10242688.479080243</v>
      </c>
      <c r="AV42" s="16">
        <f t="shared" si="17"/>
        <v>9801501.0660238042</v>
      </c>
      <c r="AW42" s="16">
        <f t="shared" si="17"/>
        <v>9376133.074879365</v>
      </c>
      <c r="AX42" s="16">
        <f t="shared" si="17"/>
        <v>8966033.4692568444</v>
      </c>
      <c r="AY42" s="16">
        <f t="shared" si="17"/>
        <v>8570670.3942497224</v>
      </c>
      <c r="AZ42" s="16">
        <f t="shared" si="17"/>
        <v>8189536.3769633677</v>
      </c>
      <c r="BA42" s="16">
        <f t="shared" si="17"/>
        <v>7822141.6503789313</v>
      </c>
      <c r="BB42" s="16">
        <f t="shared" si="17"/>
        <v>7468011.6649380811</v>
      </c>
      <c r="BC42" s="16">
        <f t="shared" si="17"/>
        <v>7126689.7998479586</v>
      </c>
      <c r="BD42" s="16">
        <f t="shared" si="18"/>
        <v>6797732.2961992268</v>
      </c>
      <c r="BE42" s="16">
        <f t="shared" si="18"/>
        <v>6480708.0821750965</v>
      </c>
      <c r="BF42" s="16">
        <f t="shared" si="18"/>
        <v>6175211.3180029579</v>
      </c>
      <c r="BG42" s="16">
        <f t="shared" si="18"/>
        <v>5880859.0678085573</v>
      </c>
      <c r="BH42" s="172">
        <f t="shared" si="123"/>
        <v>588605.46868681419</v>
      </c>
      <c r="BI42" s="16">
        <f t="shared" si="19"/>
        <v>568191.97802492685</v>
      </c>
      <c r="BJ42" s="16">
        <f t="shared" si="19"/>
        <v>548354.84998917021</v>
      </c>
      <c r="BK42" s="16">
        <f t="shared" si="19"/>
        <v>529064.85161743569</v>
      </c>
      <c r="BL42" s="16">
        <f t="shared" si="19"/>
        <v>510319.79703559174</v>
      </c>
      <c r="BM42" s="16">
        <f t="shared" si="19"/>
        <v>492145.1675819463</v>
      </c>
      <c r="BN42" s="16">
        <f t="shared" si="19"/>
        <v>474564.51363046817</v>
      </c>
      <c r="BO42" s="16">
        <f t="shared" si="19"/>
        <v>457580.68330907432</v>
      </c>
      <c r="BP42" s="16">
        <f t="shared" si="19"/>
        <v>441187.41305644001</v>
      </c>
      <c r="BQ42" s="16">
        <f t="shared" si="19"/>
        <v>425367.99114443822</v>
      </c>
      <c r="BR42" s="16">
        <f t="shared" si="20"/>
        <v>410099.60562251828</v>
      </c>
      <c r="BS42" s="16">
        <f t="shared" si="20"/>
        <v>395363.07500712067</v>
      </c>
      <c r="BT42" s="16">
        <f t="shared" si="20"/>
        <v>381134.01728635549</v>
      </c>
      <c r="BU42" s="16">
        <f t="shared" si="20"/>
        <v>367394.72658443713</v>
      </c>
      <c r="BV42" s="16">
        <f t="shared" si="20"/>
        <v>354129.98544085148</v>
      </c>
      <c r="BW42" s="16">
        <f t="shared" si="20"/>
        <v>341321.86509012192</v>
      </c>
      <c r="BX42" s="16">
        <f t="shared" si="20"/>
        <v>328957.50364873186</v>
      </c>
      <c r="BY42" s="16">
        <f t="shared" si="20"/>
        <v>317024.21402412985</v>
      </c>
      <c r="BZ42" s="16">
        <f t="shared" si="20"/>
        <v>305496.76417213847</v>
      </c>
      <c r="CA42" s="16">
        <f t="shared" si="20"/>
        <v>294352.25019440131</v>
      </c>
      <c r="CB42" s="16">
        <f t="shared" si="20"/>
        <v>283565.81027680589</v>
      </c>
      <c r="CC42" s="18">
        <f t="shared" si="124"/>
        <v>5.4988991525290549</v>
      </c>
      <c r="CD42" s="18">
        <f t="shared" si="21"/>
        <v>4.6605315574041839</v>
      </c>
      <c r="CE42" s="18">
        <f t="shared" si="21"/>
        <v>3.7929538988580571</v>
      </c>
      <c r="CF42" s="18">
        <f t="shared" si="21"/>
        <v>2.8947865494236611</v>
      </c>
      <c r="CG42" s="18">
        <f t="shared" si="21"/>
        <v>1.9643858036485762</v>
      </c>
      <c r="CH42" s="18">
        <f t="shared" si="21"/>
        <v>1.0000000000000062</v>
      </c>
      <c r="CI42" s="18">
        <f t="shared" si="21"/>
        <v>0</v>
      </c>
      <c r="CJ42" s="18">
        <f t="shared" si="21"/>
        <v>-1.0371165806182436</v>
      </c>
      <c r="CK42" s="18">
        <f t="shared" si="21"/>
        <v>-2.1128100425210854</v>
      </c>
      <c r="CL42" s="18">
        <f t="shared" si="21"/>
        <v>-3.2285753479030674</v>
      </c>
      <c r="CM42" s="18">
        <f t="shared" si="21"/>
        <v>-4.3860090974973067</v>
      </c>
      <c r="CN42" s="18">
        <f t="shared" si="21"/>
        <v>-5.5867640313227582</v>
      </c>
      <c r="CO42" s="18">
        <f t="shared" si="21"/>
        <v>-6.8326708287848588</v>
      </c>
      <c r="CP42" s="18">
        <f t="shared" si="21"/>
        <v>-8.1255855978387839</v>
      </c>
      <c r="CQ42" s="18">
        <f t="shared" si="21"/>
        <v>-9.467405087053379</v>
      </c>
      <c r="CR42" s="18">
        <f t="shared" si="21"/>
        <v>-10.860194995427454</v>
      </c>
      <c r="CS42" s="18">
        <f t="shared" si="142"/>
        <v>-12.305978222933401</v>
      </c>
      <c r="CT42" s="18">
        <f t="shared" si="125"/>
        <v>-13.806836153806865</v>
      </c>
      <c r="CU42" s="18">
        <f t="shared" si="125"/>
        <v>-15.365549309712783</v>
      </c>
      <c r="CV42" s="18">
        <f t="shared" si="125"/>
        <v>-16.985167786945372</v>
      </c>
      <c r="CW42" s="18">
        <f t="shared" si="22"/>
        <v>-18.669297977226023</v>
      </c>
      <c r="CX42" s="17">
        <f t="shared" si="23"/>
        <v>517.78806823576224</v>
      </c>
      <c r="CY42" s="17">
        <f t="shared" si="126"/>
        <v>633.7136723808095</v>
      </c>
      <c r="CZ42" s="17">
        <f t="shared" si="126"/>
        <v>759.55074145799949</v>
      </c>
      <c r="DA42" s="17">
        <f t="shared" si="126"/>
        <v>868.78863929983038</v>
      </c>
      <c r="DB42" s="17">
        <f t="shared" si="126"/>
        <v>933.35534213147969</v>
      </c>
      <c r="DC42" s="17">
        <f t="shared" si="126"/>
        <v>954.33867793456591</v>
      </c>
      <c r="DD42" s="17">
        <f t="shared" si="24"/>
        <v>951.98985991150846</v>
      </c>
      <c r="DE42" s="17">
        <f t="shared" si="24"/>
        <v>935.48067603793174</v>
      </c>
      <c r="DF42" s="3" t="e">
        <f>#REF!+$AG$35*0.004*(1+$R$28)*#REF!-S42*#REF!</f>
        <v>#REF!</v>
      </c>
      <c r="DG42" s="19">
        <f t="shared" si="25"/>
        <v>1324.5685979989173</v>
      </c>
      <c r="DH42" s="19">
        <f t="shared" si="26"/>
        <v>1317.4916458559437</v>
      </c>
      <c r="DI42" s="19">
        <f t="shared" si="27"/>
        <v>1316.0405535107509</v>
      </c>
      <c r="DJ42" s="19">
        <f t="shared" si="28"/>
        <v>1293.5022703583584</v>
      </c>
      <c r="DK42" s="19">
        <f t="shared" si="29"/>
        <v>1221.5636135266598</v>
      </c>
      <c r="DL42" s="19">
        <f t="shared" si="30"/>
        <v>1101.0554129363536</v>
      </c>
      <c r="DM42" s="19">
        <f t="shared" si="31"/>
        <v>951.98985991150846</v>
      </c>
      <c r="DN42" s="19">
        <f t="shared" si="32"/>
        <v>783.31831751340565</v>
      </c>
      <c r="DO42" s="173">
        <f t="shared" si="127"/>
        <v>103016.32599848532</v>
      </c>
      <c r="DP42" s="25">
        <f t="shared" si="33"/>
        <v>102498.53793024956</v>
      </c>
      <c r="DQ42" s="26">
        <f t="shared" si="33"/>
        <v>101864.82425786875</v>
      </c>
      <c r="DR42" s="26">
        <f t="shared" si="33"/>
        <v>101105.27351641076</v>
      </c>
      <c r="DS42" s="26">
        <f t="shared" si="33"/>
        <v>100236.48487711092</v>
      </c>
      <c r="DT42" s="26">
        <f t="shared" si="33"/>
        <v>99303.129534979467</v>
      </c>
      <c r="DU42" s="26">
        <f t="shared" si="33"/>
        <v>98348.790857044893</v>
      </c>
      <c r="DV42" s="26">
        <f t="shared" si="33"/>
        <v>97396.800997133396</v>
      </c>
      <c r="DW42" s="26">
        <f t="shared" si="33"/>
        <v>96461.320321095467</v>
      </c>
      <c r="DX42" s="26">
        <f t="shared" si="33"/>
        <v>95545.664271464426</v>
      </c>
      <c r="DY42" s="26">
        <f t="shared" si="33"/>
        <v>94646.3672969162</v>
      </c>
      <c r="DZ42" s="26">
        <f t="shared" si="33"/>
        <v>93762.872497552977</v>
      </c>
      <c r="EA42" s="26">
        <f t="shared" si="33"/>
        <v>92888.672315653326</v>
      </c>
      <c r="EB42" s="26">
        <f t="shared" si="33"/>
        <v>92023.212339849706</v>
      </c>
      <c r="EC42" s="26">
        <f t="shared" si="33"/>
        <v>91167.860609376687</v>
      </c>
      <c r="ED42" s="26">
        <f t="shared" si="33"/>
        <v>90320.703290559817</v>
      </c>
      <c r="EE42" s="26">
        <f t="shared" si="33"/>
        <v>89484.364534015098</v>
      </c>
      <c r="EF42" s="26">
        <f t="shared" si="34"/>
        <v>88661.203824896802</v>
      </c>
      <c r="EG42" s="26">
        <f t="shared" si="34"/>
        <v>87840.381572520157</v>
      </c>
      <c r="EH42" s="26">
        <f t="shared" si="34"/>
        <v>87012.558663059375</v>
      </c>
      <c r="EI42" s="26">
        <f t="shared" si="34"/>
        <v>86165.616132443218</v>
      </c>
      <c r="EJ42" s="26">
        <f t="shared" si="128"/>
        <v>7.9298195306505646E-3</v>
      </c>
      <c r="EK42" s="26">
        <f t="shared" si="129"/>
        <v>7.3034242539457544E-3</v>
      </c>
      <c r="EL42" s="26">
        <f t="shared" si="36"/>
        <v>6.411967361815615E-3</v>
      </c>
      <c r="EM42" s="26">
        <f t="shared" si="36"/>
        <v>5.2101035457918967E-3</v>
      </c>
      <c r="EN42" s="26">
        <f t="shared" si="36"/>
        <v>3.6990413286560712E-3</v>
      </c>
      <c r="EO42" s="26">
        <f t="shared" si="36"/>
        <v>1.9391406048412927E-3</v>
      </c>
      <c r="EP42" s="26">
        <f t="shared" si="36"/>
        <v>0</v>
      </c>
      <c r="EQ42" s="26">
        <f t="shared" si="36"/>
        <v>-2.0804852447594956E-3</v>
      </c>
      <c r="ER42" s="26">
        <f t="shared" si="36"/>
        <v>-4.2781604372470299E-3</v>
      </c>
      <c r="ES42" s="26">
        <f t="shared" si="36"/>
        <v>-6.5898860373549721E-3</v>
      </c>
      <c r="ET42" s="26">
        <f t="shared" si="36"/>
        <v>-9.0281080726925603E-3</v>
      </c>
      <c r="EU42" s="26">
        <f t="shared" si="36"/>
        <v>-1.1599258123458599E-2</v>
      </c>
      <c r="EV42" s="26">
        <f t="shared" si="36"/>
        <v>-1.4325980609831642E-2</v>
      </c>
      <c r="EW42" s="26">
        <f t="shared" si="36"/>
        <v>-1.7217390614182915E-2</v>
      </c>
      <c r="EX42" s="26">
        <f t="shared" si="36"/>
        <v>-2.0277667926732513E-2</v>
      </c>
      <c r="EY42" s="26">
        <f t="shared" si="36"/>
        <v>-2.3520578045491916E-2</v>
      </c>
      <c r="EZ42" s="26">
        <f t="shared" si="36"/>
        <v>-2.6947025754717017E-2</v>
      </c>
      <c r="FA42" s="26">
        <f t="shared" si="37"/>
        <v>-3.0557877296434947E-2</v>
      </c>
      <c r="FB42" s="26">
        <f t="shared" si="37"/>
        <v>-3.4397776071381087E-2</v>
      </c>
      <c r="FC42" s="26">
        <f t="shared" si="37"/>
        <v>-3.8512469962429852E-2</v>
      </c>
      <c r="FD42" s="26">
        <f t="shared" si="37"/>
        <v>-4.2964187793686888E-2</v>
      </c>
      <c r="FE42" s="26">
        <f t="shared" si="130"/>
        <v>5.3051514537338438</v>
      </c>
      <c r="FF42" s="26">
        <f t="shared" si="38"/>
        <v>4.4957501665793487</v>
      </c>
      <c r="FG42" s="26">
        <f t="shared" si="38"/>
        <v>3.6583871372799273</v>
      </c>
      <c r="FH42" s="26">
        <f t="shared" si="38"/>
        <v>2.7917739644440389</v>
      </c>
      <c r="FI42" s="26">
        <f t="shared" si="38"/>
        <v>1.8943213389485529</v>
      </c>
      <c r="FJ42" s="26">
        <f t="shared" si="38"/>
        <v>0.96427750365230913</v>
      </c>
      <c r="FK42" s="26">
        <f t="shared" si="38"/>
        <v>0</v>
      </c>
      <c r="FL42" s="26">
        <f t="shared" si="38"/>
        <v>-1.0000000000000084</v>
      </c>
      <c r="FM42" s="26">
        <f t="shared" si="38"/>
        <v>-2.0371571576330076</v>
      </c>
      <c r="FN42" s="26">
        <f t="shared" si="38"/>
        <v>-3.1129189668160331</v>
      </c>
      <c r="FO42" s="26">
        <f t="shared" si="38"/>
        <v>-4.2288158031753325</v>
      </c>
      <c r="FP42" s="26">
        <f t="shared" si="38"/>
        <v>-5.3864381950723237</v>
      </c>
      <c r="FQ42" s="26">
        <f t="shared" si="38"/>
        <v>-6.5875326566286985</v>
      </c>
      <c r="FR42" s="26">
        <f t="shared" si="38"/>
        <v>-7.8338835692267876</v>
      </c>
      <c r="FS42" s="26">
        <f t="shared" si="38"/>
        <v>-9.1273194316698376</v>
      </c>
      <c r="FT42" s="26">
        <f t="shared" si="38"/>
        <v>-10.469822557654787</v>
      </c>
      <c r="FU42" s="26">
        <f t="shared" si="143"/>
        <v>-11.863346550554171</v>
      </c>
      <c r="FV42" s="26">
        <f t="shared" si="131"/>
        <v>-13.30990155816003</v>
      </c>
      <c r="FW42" s="26">
        <f t="shared" si="131"/>
        <v>-14.812130192765727</v>
      </c>
      <c r="FX42" s="26">
        <f t="shared" si="39"/>
        <v>10242688.479080243</v>
      </c>
      <c r="FY42" s="26">
        <f t="shared" si="40"/>
        <v>441187.41305644001</v>
      </c>
      <c r="FZ42" s="26">
        <f t="shared" si="132"/>
        <v>0.80625230120479041</v>
      </c>
      <c r="GA42" s="26">
        <f t="shared" si="133"/>
        <v>0.83521860917516999</v>
      </c>
      <c r="GB42" s="26">
        <f t="shared" si="42"/>
        <v>0.86543323842187336</v>
      </c>
      <c r="GC42" s="26">
        <f t="shared" si="42"/>
        <v>0.89698741502038681</v>
      </c>
      <c r="GD42" s="26">
        <f t="shared" si="42"/>
        <v>0.92993553529997608</v>
      </c>
      <c r="GE42" s="26">
        <f t="shared" si="42"/>
        <v>0.96427750365231246</v>
      </c>
      <c r="GF42" s="26">
        <f t="shared" si="42"/>
        <v>1</v>
      </c>
      <c r="GG42" s="26">
        <f t="shared" si="42"/>
        <v>1.0371165806182472</v>
      </c>
      <c r="GH42" s="26">
        <f t="shared" si="42"/>
        <v>1.0756528848880789</v>
      </c>
      <c r="GI42" s="26">
        <f t="shared" si="42"/>
        <v>1.1156563810870403</v>
      </c>
      <c r="GJ42" s="26">
        <f t="shared" si="42"/>
        <v>1.1571932943219836</v>
      </c>
      <c r="GK42" s="26">
        <f t="shared" si="42"/>
        <v>1.2003258362504416</v>
      </c>
      <c r="GL42" s="26">
        <f t="shared" si="42"/>
        <v>1.2451381721561632</v>
      </c>
      <c r="GM42" s="26">
        <f t="shared" si="42"/>
        <v>1.2917020286119991</v>
      </c>
      <c r="GN42" s="26">
        <f t="shared" si="42"/>
        <v>1.3400856553835434</v>
      </c>
      <c r="GO42" s="26">
        <f t="shared" si="42"/>
        <v>1.3903724377726727</v>
      </c>
      <c r="GP42" s="26">
        <f t="shared" si="140"/>
        <v>1.4426316723792345</v>
      </c>
      <c r="GQ42" s="26">
        <f t="shared" si="134"/>
        <v>1.4969345956468403</v>
      </c>
      <c r="GR42" s="26">
        <f t="shared" si="134"/>
        <v>1.5534191169470619</v>
      </c>
      <c r="GS42" s="26">
        <f t="shared" si="134"/>
        <v>1.6122333473484503</v>
      </c>
      <c r="GT42" s="26">
        <f t="shared" si="134"/>
        <v>1.6735604097236434</v>
      </c>
      <c r="GU42" s="26">
        <f t="shared" si="135"/>
        <v>5.4988991525290549</v>
      </c>
      <c r="GV42" s="26">
        <f t="shared" si="136"/>
        <v>4.6605315574041839</v>
      </c>
      <c r="GW42" s="26">
        <f t="shared" si="43"/>
        <v>3.7929538988580571</v>
      </c>
      <c r="GX42" s="26">
        <f t="shared" si="43"/>
        <v>2.8947865494236611</v>
      </c>
      <c r="GY42" s="26">
        <f t="shared" si="43"/>
        <v>1.9643858036485762</v>
      </c>
      <c r="GZ42" s="26">
        <f t="shared" si="43"/>
        <v>1.0000000000000062</v>
      </c>
      <c r="HA42" s="26">
        <f t="shared" si="43"/>
        <v>0</v>
      </c>
      <c r="HB42" s="26">
        <f t="shared" si="43"/>
        <v>-1.0371165806182436</v>
      </c>
      <c r="HC42" s="26">
        <f t="shared" si="43"/>
        <v>-2.1128100425210854</v>
      </c>
      <c r="HD42" s="26">
        <f t="shared" si="43"/>
        <v>-3.2285753479030674</v>
      </c>
      <c r="HE42" s="26">
        <f t="shared" si="43"/>
        <v>-4.3860090974973067</v>
      </c>
      <c r="HF42" s="26">
        <f t="shared" si="43"/>
        <v>-5.5867640313227582</v>
      </c>
      <c r="HG42" s="26">
        <f t="shared" si="43"/>
        <v>-6.8326708287848588</v>
      </c>
      <c r="HH42" s="26">
        <f t="shared" si="43"/>
        <v>-8.1255855978387839</v>
      </c>
      <c r="HI42" s="26">
        <f t="shared" si="43"/>
        <v>-9.467405087053379</v>
      </c>
      <c r="HJ42" s="26">
        <f t="shared" si="43"/>
        <v>-10.860194995427454</v>
      </c>
      <c r="HK42" s="26">
        <f t="shared" si="141"/>
        <v>-12.305978222933401</v>
      </c>
      <c r="HL42" s="26">
        <f t="shared" si="137"/>
        <v>-13.806836153806865</v>
      </c>
      <c r="HM42" s="26">
        <f t="shared" si="137"/>
        <v>-15.365549309712783</v>
      </c>
      <c r="HN42" s="26">
        <f t="shared" si="137"/>
        <v>-16.985167786945372</v>
      </c>
      <c r="HO42" s="26">
        <f t="shared" si="137"/>
        <v>-18.669297977226023</v>
      </c>
      <c r="HP42" s="26">
        <f t="shared" si="44"/>
        <v>516614.28281370515</v>
      </c>
      <c r="HQ42" s="26">
        <f t="shared" si="45"/>
        <v>534165.83788826468</v>
      </c>
      <c r="HR42" s="26">
        <f t="shared" si="46"/>
        <v>552302.53763446689</v>
      </c>
      <c r="HS42" s="26">
        <f t="shared" si="47"/>
        <v>571083.75089701544</v>
      </c>
      <c r="HT42" s="26">
        <f t="shared" si="48"/>
        <v>590598.4208589769</v>
      </c>
      <c r="HU42" s="26">
        <f t="shared" si="49"/>
        <v>610947.77229754615</v>
      </c>
      <c r="HV42" s="26">
        <f t="shared" si="50"/>
        <v>632215.9078880985</v>
      </c>
      <c r="HW42" s="26">
        <f t="shared" si="51"/>
        <v>654466.85025636328</v>
      </c>
      <c r="HX42" s="26">
        <f t="shared" si="52"/>
        <v>677755.14710598579</v>
      </c>
      <c r="HY42" s="26">
        <f t="shared" si="53"/>
        <v>702134.11669721315</v>
      </c>
      <c r="HZ42" s="26">
        <f t="shared" si="54"/>
        <v>727663.69699857512</v>
      </c>
      <c r="IA42" s="26">
        <f t="shared" si="55"/>
        <v>754406.32311303902</v>
      </c>
      <c r="IB42" s="26">
        <f t="shared" si="56"/>
        <v>782439.46586882602</v>
      </c>
      <c r="IC42" s="26">
        <f t="shared" si="57"/>
        <v>811839.69838445052</v>
      </c>
      <c r="ID42" s="26">
        <f t="shared" si="58"/>
        <v>842683.78672441491</v>
      </c>
      <c r="IE42" s="26">
        <f t="shared" si="59"/>
        <v>875062.40013468254</v>
      </c>
      <c r="IF42" s="26">
        <f t="shared" si="60"/>
        <v>909056.95177006698</v>
      </c>
      <c r="IG42" s="26">
        <f t="shared" si="61"/>
        <v>944750.2962884435</v>
      </c>
      <c r="IH42" s="26">
        <f t="shared" si="62"/>
        <v>982297.4752060743</v>
      </c>
      <c r="II42" s="26">
        <f t="shared" si="63"/>
        <v>-1174167509330.1077</v>
      </c>
      <c r="IJ42" s="26">
        <f t="shared" si="64"/>
        <v>536445.80670789047</v>
      </c>
      <c r="IK42" s="26">
        <f t="shared" si="65"/>
        <v>553662.16412118345</v>
      </c>
      <c r="IL42" s="26">
        <f t="shared" si="66"/>
        <v>571530.24079097819</v>
      </c>
      <c r="IM42" s="26">
        <f t="shared" si="67"/>
        <v>590116.03933884192</v>
      </c>
      <c r="IN42" s="26">
        <f t="shared" si="68"/>
        <v>609516.29228116758</v>
      </c>
      <c r="IO42" s="26">
        <f t="shared" si="69"/>
        <v>629840.81543039193</v>
      </c>
      <c r="IP42" s="26">
        <f t="shared" si="70"/>
        <v>651182.38512474147</v>
      </c>
      <c r="IQ42" s="26">
        <f t="shared" si="71"/>
        <v>673613.68404678872</v>
      </c>
      <c r="IR42" s="26">
        <f t="shared" si="72"/>
        <v>697198.17744980636</v>
      </c>
      <c r="IS42" s="26">
        <f t="shared" si="73"/>
        <v>721998.58605933061</v>
      </c>
      <c r="IT42" s="26">
        <f t="shared" si="74"/>
        <v>748084.97714870796</v>
      </c>
      <c r="IU42" s="26">
        <f t="shared" si="75"/>
        <v>775530.57674965949</v>
      </c>
      <c r="IV42" s="26">
        <f t="shared" si="76"/>
        <v>804424.69418127893</v>
      </c>
      <c r="IW42" s="26">
        <f t="shared" si="77"/>
        <v>834856.40578596934</v>
      </c>
      <c r="IX42" s="26">
        <f t="shared" si="78"/>
        <v>866915.70869248093</v>
      </c>
      <c r="IY42" s="26">
        <f t="shared" si="79"/>
        <v>900707.67259130767</v>
      </c>
      <c r="IZ42" s="26">
        <f t="shared" si="80"/>
        <v>936328.66032316897</v>
      </c>
      <c r="JA42" s="26">
        <f t="shared" si="81"/>
        <v>973877.36995090323</v>
      </c>
      <c r="JB42" s="26">
        <f t="shared" si="82"/>
        <v>1013527.8232975488</v>
      </c>
      <c r="JC42" s="26">
        <f t="shared" si="83"/>
        <v>-1209392531663.9705</v>
      </c>
      <c r="JD42" s="26">
        <f t="shared" si="84"/>
        <v>156185.08561470208</v>
      </c>
      <c r="JE42" s="26">
        <f t="shared" si="85"/>
        <v>248045.20135749853</v>
      </c>
      <c r="JF42" s="26">
        <f t="shared" si="86"/>
        <v>343231.90468754887</v>
      </c>
      <c r="JG42" s="26">
        <f t="shared" si="87"/>
        <v>441982.11282616766</v>
      </c>
      <c r="JH42" s="26">
        <f t="shared" si="88"/>
        <v>544555.0334094523</v>
      </c>
      <c r="JI42" s="26">
        <f t="shared" si="89"/>
        <v>651182.38512474147</v>
      </c>
      <c r="JJ42" s="26">
        <f t="shared" si="90"/>
        <v>762064.98267169809</v>
      </c>
      <c r="JK42" s="26">
        <f t="shared" si="91"/>
        <v>877390.83418791089</v>
      </c>
      <c r="JL42" s="26">
        <f t="shared" si="92"/>
        <v>997350.15941876941</v>
      </c>
      <c r="JM42" s="26">
        <f t="shared" si="93"/>
        <v>1122149.1929797195</v>
      </c>
      <c r="JN42" s="26">
        <f t="shared" si="94"/>
        <v>1252002.1161274756</v>
      </c>
      <c r="JO42" s="26">
        <f t="shared" si="95"/>
        <v>1387154.3691058541</v>
      </c>
      <c r="JP42" s="26">
        <f t="shared" si="96"/>
        <v>1527853.3278757306</v>
      </c>
      <c r="JQ42" s="26">
        <f t="shared" si="97"/>
        <v>1674350.755250846</v>
      </c>
      <c r="JR42" s="26">
        <f t="shared" si="98"/>
        <v>1826927.8956762282</v>
      </c>
      <c r="JS42" s="26">
        <f t="shared" si="99"/>
        <v>1985853.6365986913</v>
      </c>
      <c r="JT42" s="26">
        <f t="shared" si="100"/>
        <v>2151404.1885632975</v>
      </c>
      <c r="JU42" s="26">
        <f t="shared" si="101"/>
        <v>2323990.7123577055</v>
      </c>
      <c r="JV42" s="26">
        <f t="shared" si="102"/>
        <v>-1209391083070.6531</v>
      </c>
      <c r="JW42" s="26">
        <f t="shared" si="103"/>
        <v>1748410.7633843613</v>
      </c>
      <c r="JX42" s="26" t="e">
        <f>AH42+$AG$38*0.004*(1+$R$28)*#REF!-S42*#REF!</f>
        <v>#REF!</v>
      </c>
      <c r="JY42" s="34">
        <f t="shared" si="104"/>
        <v>5.0543751806610374E-2</v>
      </c>
      <c r="JZ42" s="4">
        <f t="shared" si="105"/>
        <v>48168.074433008558</v>
      </c>
      <c r="KA42" s="165"/>
      <c r="KB42" s="163">
        <v>15</v>
      </c>
      <c r="KC42" s="163">
        <f>((1+0.035)^(-1))*(1-((1+0.035)^(-m-n+15)))/(1-((1+0.035)^(-1)))</f>
        <v>-3.1062249999999993</v>
      </c>
      <c r="KD42" s="163">
        <f>((1+0.035)^(-1))*(1-((1+0.035)^(-m-(n/2)+15/2)))/(1-((1+0.035)^(-1)))</f>
        <v>0.96618357487922713</v>
      </c>
      <c r="KE42" s="61">
        <f>IF(KB42&lt;=n,VLOOKUP(A28+x,A28:KF139,277),0)</f>
        <v>0</v>
      </c>
      <c r="KF42" s="170">
        <f>IF(KB42&lt;=n,VLOOKUP(A28+x,A28:KF139,277),0)</f>
        <v>0</v>
      </c>
    </row>
    <row r="43" spans="1:293" ht="15.75" x14ac:dyDescent="0.3">
      <c r="A43" s="34">
        <v>42</v>
      </c>
      <c r="B43" s="34">
        <v>15</v>
      </c>
      <c r="C43" s="2">
        <v>988884</v>
      </c>
      <c r="D43" s="1">
        <f t="shared" si="106"/>
        <v>708</v>
      </c>
      <c r="E43" s="145">
        <f t="shared" si="107"/>
        <v>0.99928404140424965</v>
      </c>
      <c r="F43" s="146">
        <f t="shared" si="108"/>
        <v>7.1595859575035448E-4</v>
      </c>
      <c r="G43" s="158">
        <f t="shared" si="3"/>
        <v>8.949482446879431E-4</v>
      </c>
      <c r="H43" s="43">
        <f t="shared" si="109"/>
        <v>882.52590102460272</v>
      </c>
      <c r="I43" s="43">
        <f t="shared" si="139"/>
        <v>986119.48373878107</v>
      </c>
      <c r="J43" s="43">
        <f t="shared" si="110"/>
        <v>988530</v>
      </c>
      <c r="K43" s="147">
        <f>SUM(J43:$J$138)</f>
        <v>58623044</v>
      </c>
      <c r="L43" s="147">
        <f t="shared" si="111"/>
        <v>59.282022967304556</v>
      </c>
      <c r="M43" s="43">
        <f t="shared" si="4"/>
        <v>1235662.5</v>
      </c>
      <c r="N43" s="148">
        <f t="shared" si="5"/>
        <v>73278805</v>
      </c>
      <c r="O43" s="147">
        <f t="shared" si="6"/>
        <v>74.102528709130695</v>
      </c>
      <c r="P43" s="157">
        <f t="shared" si="7"/>
        <v>588605.46868681419</v>
      </c>
      <c r="Q43" s="43">
        <f t="shared" si="8"/>
        <v>1236105</v>
      </c>
      <c r="R43" s="43">
        <f t="shared" si="9"/>
        <v>517.78806823576224</v>
      </c>
      <c r="S43" s="43">
        <f>SUM(R43:$R$138)</f>
        <v>103016.32599848532</v>
      </c>
      <c r="T43" s="43">
        <f t="shared" si="112"/>
        <v>4593876.8440512372</v>
      </c>
      <c r="U43" s="153">
        <f>SUM(P43:$P$138)</f>
        <v>14411515.788955677</v>
      </c>
      <c r="V43" s="129">
        <f t="shared" si="10"/>
        <v>10700269.162389321</v>
      </c>
      <c r="W43" s="43">
        <f t="shared" si="113"/>
        <v>457580.68330907432</v>
      </c>
      <c r="X43" s="26">
        <f t="shared" si="114"/>
        <v>6.305151453733842</v>
      </c>
      <c r="Y43" s="26">
        <f t="shared" si="115"/>
        <v>0.77739794760986891</v>
      </c>
      <c r="Z43" s="43">
        <f t="shared" si="11"/>
        <v>97396.800997133396</v>
      </c>
      <c r="AA43" s="149">
        <f t="shared" si="116"/>
        <v>9.5471844899592123E-3</v>
      </c>
      <c r="AB43" s="150">
        <f t="shared" si="138"/>
        <v>13822910.320268864</v>
      </c>
      <c r="AC43" s="150">
        <f t="shared" si="117"/>
        <v>10242688.479080243</v>
      </c>
      <c r="AD43" s="26">
        <f t="shared" si="118"/>
        <v>6.0825494013437194</v>
      </c>
      <c r="AE43" s="26">
        <f t="shared" si="12"/>
        <v>517805.66036898276</v>
      </c>
      <c r="AF43" s="43">
        <f t="shared" si="119"/>
        <v>82124.222418534278</v>
      </c>
      <c r="AG43" s="43">
        <f t="shared" si="13"/>
        <v>538659.16390462103</v>
      </c>
      <c r="AH43" s="27">
        <f t="shared" si="14"/>
        <v>89274.401153290033</v>
      </c>
      <c r="AI43" s="28">
        <f t="shared" si="120"/>
        <v>579203.40204797965</v>
      </c>
      <c r="AJ43" s="20">
        <f t="shared" si="15"/>
        <v>95993.979734720473</v>
      </c>
      <c r="AK43" s="3">
        <f t="shared" si="16"/>
        <v>8319.4782436757741</v>
      </c>
      <c r="AL43" s="3"/>
      <c r="AM43" s="46">
        <f t="shared" si="121"/>
        <v>13822910.320268864</v>
      </c>
      <c r="AN43" s="46">
        <f t="shared" si="122"/>
        <v>13254718.342243936</v>
      </c>
      <c r="AO43" s="46">
        <f t="shared" si="122"/>
        <v>12706363.492254766</v>
      </c>
      <c r="AP43" s="3">
        <f t="shared" si="17"/>
        <v>12177298.640637327</v>
      </c>
      <c r="AQ43" s="3">
        <f t="shared" si="17"/>
        <v>11666978.843601737</v>
      </c>
      <c r="AR43" s="16">
        <f t="shared" si="17"/>
        <v>11174833.676019788</v>
      </c>
      <c r="AS43" s="16">
        <f t="shared" si="17"/>
        <v>10700269.162389321</v>
      </c>
      <c r="AT43" s="16">
        <f t="shared" si="17"/>
        <v>10242688.479080243</v>
      </c>
      <c r="AU43" s="16">
        <f t="shared" si="17"/>
        <v>9801501.0660238042</v>
      </c>
      <c r="AV43" s="16">
        <f t="shared" si="17"/>
        <v>9376133.074879365</v>
      </c>
      <c r="AW43" s="16">
        <f t="shared" si="17"/>
        <v>8966033.4692568444</v>
      </c>
      <c r="AX43" s="16">
        <f t="shared" si="17"/>
        <v>8570670.3942497224</v>
      </c>
      <c r="AY43" s="16">
        <f t="shared" si="17"/>
        <v>8189536.3769633677</v>
      </c>
      <c r="AZ43" s="16">
        <f t="shared" si="17"/>
        <v>7822141.6503789313</v>
      </c>
      <c r="BA43" s="16">
        <f t="shared" si="17"/>
        <v>7468011.6649380811</v>
      </c>
      <c r="BB43" s="16">
        <f t="shared" si="17"/>
        <v>7126689.7998479586</v>
      </c>
      <c r="BC43" s="16">
        <f t="shared" ref="BC43:BC91" si="144">BB44</f>
        <v>6797732.2961992268</v>
      </c>
      <c r="BD43" s="16">
        <f t="shared" si="18"/>
        <v>6480708.0821750965</v>
      </c>
      <c r="BE43" s="16">
        <f t="shared" si="18"/>
        <v>6175211.3180029579</v>
      </c>
      <c r="BF43" s="16">
        <f t="shared" si="18"/>
        <v>5880859.0678085573</v>
      </c>
      <c r="BG43" s="16">
        <f t="shared" si="18"/>
        <v>5597293.2575317528</v>
      </c>
      <c r="BH43" s="172">
        <f t="shared" si="123"/>
        <v>568191.97802492685</v>
      </c>
      <c r="BI43" s="16">
        <f t="shared" si="19"/>
        <v>548354.84998917021</v>
      </c>
      <c r="BJ43" s="16">
        <f t="shared" si="19"/>
        <v>529064.85161743569</v>
      </c>
      <c r="BK43" s="16">
        <f t="shared" si="19"/>
        <v>510319.79703559174</v>
      </c>
      <c r="BL43" s="16">
        <f t="shared" si="19"/>
        <v>492145.1675819463</v>
      </c>
      <c r="BM43" s="16">
        <f t="shared" si="19"/>
        <v>474564.51363046817</v>
      </c>
      <c r="BN43" s="16">
        <f t="shared" si="19"/>
        <v>457580.68330907432</v>
      </c>
      <c r="BO43" s="16">
        <f t="shared" si="19"/>
        <v>441187.41305644001</v>
      </c>
      <c r="BP43" s="16">
        <f t="shared" si="19"/>
        <v>425367.99114443822</v>
      </c>
      <c r="BQ43" s="16">
        <f t="shared" si="19"/>
        <v>410099.60562251828</v>
      </c>
      <c r="BR43" s="16">
        <f t="shared" si="20"/>
        <v>395363.07500712067</v>
      </c>
      <c r="BS43" s="16">
        <f t="shared" si="20"/>
        <v>381134.01728635549</v>
      </c>
      <c r="BT43" s="16">
        <f t="shared" si="20"/>
        <v>367394.72658443713</v>
      </c>
      <c r="BU43" s="16">
        <f t="shared" si="20"/>
        <v>354129.98544085148</v>
      </c>
      <c r="BV43" s="16">
        <f t="shared" si="20"/>
        <v>341321.86509012192</v>
      </c>
      <c r="BW43" s="16">
        <f t="shared" si="20"/>
        <v>328957.50364873186</v>
      </c>
      <c r="BX43" s="16">
        <f t="shared" si="20"/>
        <v>317024.21402412985</v>
      </c>
      <c r="BY43" s="16">
        <f t="shared" si="20"/>
        <v>305496.76417213847</v>
      </c>
      <c r="BZ43" s="16">
        <f t="shared" si="20"/>
        <v>294352.25019440131</v>
      </c>
      <c r="CA43" s="16">
        <f t="shared" si="20"/>
        <v>283565.81027680589</v>
      </c>
      <c r="CB43" s="16">
        <f t="shared" si="20"/>
        <v>273128.33245023253</v>
      </c>
      <c r="CC43" s="18">
        <f t="shared" si="124"/>
        <v>5.4957501665793504</v>
      </c>
      <c r="CD43" s="18">
        <f t="shared" si="21"/>
        <v>4.6583871372799273</v>
      </c>
      <c r="CE43" s="18">
        <f t="shared" si="21"/>
        <v>3.7917739644440447</v>
      </c>
      <c r="CF43" s="18">
        <f t="shared" si="21"/>
        <v>2.8943213389485494</v>
      </c>
      <c r="CG43" s="18">
        <f t="shared" si="21"/>
        <v>1.9642775036523155</v>
      </c>
      <c r="CH43" s="18">
        <f t="shared" si="21"/>
        <v>0.99999999999999656</v>
      </c>
      <c r="CI43" s="18">
        <f t="shared" si="21"/>
        <v>0</v>
      </c>
      <c r="CJ43" s="18">
        <f t="shared" si="21"/>
        <v>-1.0371571576330103</v>
      </c>
      <c r="CK43" s="18">
        <f t="shared" si="21"/>
        <v>-2.1129189668160309</v>
      </c>
      <c r="CL43" s="18">
        <f t="shared" si="21"/>
        <v>-3.2288158031753271</v>
      </c>
      <c r="CM43" s="18">
        <f t="shared" si="21"/>
        <v>-4.3864381950723201</v>
      </c>
      <c r="CN43" s="18">
        <f t="shared" si="21"/>
        <v>-5.5875326566287002</v>
      </c>
      <c r="CO43" s="18">
        <f t="shared" si="21"/>
        <v>-6.8338835692267894</v>
      </c>
      <c r="CP43" s="18">
        <f t="shared" si="21"/>
        <v>-8.1273194316698412</v>
      </c>
      <c r="CQ43" s="18">
        <f t="shared" si="21"/>
        <v>-9.4698225576547852</v>
      </c>
      <c r="CR43" s="18">
        <f t="shared" si="21"/>
        <v>-10.863346550554171</v>
      </c>
      <c r="CS43" s="18">
        <f t="shared" si="142"/>
        <v>-12.309901558160028</v>
      </c>
      <c r="CT43" s="18">
        <f t="shared" si="125"/>
        <v>-13.812130192765727</v>
      </c>
      <c r="CU43" s="18">
        <f t="shared" si="125"/>
        <v>-15.372934439596929</v>
      </c>
      <c r="CV43" s="18">
        <f t="shared" si="125"/>
        <v>-16.995737567502385</v>
      </c>
      <c r="CW43" s="18">
        <f t="shared" si="22"/>
        <v>-18.683436680035367</v>
      </c>
      <c r="CX43" s="17">
        <f t="shared" si="23"/>
        <v>633.7136723808095</v>
      </c>
      <c r="CY43" s="17">
        <f t="shared" si="126"/>
        <v>759.55074145799949</v>
      </c>
      <c r="CZ43" s="17">
        <f t="shared" si="126"/>
        <v>868.78863929983038</v>
      </c>
      <c r="DA43" s="17">
        <f t="shared" si="126"/>
        <v>933.35534213147969</v>
      </c>
      <c r="DB43" s="17">
        <f t="shared" si="126"/>
        <v>954.33867793456591</v>
      </c>
      <c r="DC43" s="17">
        <f t="shared" si="126"/>
        <v>951.98985991150846</v>
      </c>
      <c r="DD43" s="17">
        <f t="shared" si="24"/>
        <v>935.48067603793174</v>
      </c>
      <c r="DE43" s="17">
        <f t="shared" si="24"/>
        <v>915.65604963103942</v>
      </c>
      <c r="DF43" s="3" t="e">
        <f>#REF!+$AG$35*0.004*(1+$R$28)*#REF!-S43*#REF!</f>
        <v>#REF!</v>
      </c>
      <c r="DG43" s="19">
        <f t="shared" si="25"/>
        <v>1446.67857084147</v>
      </c>
      <c r="DH43" s="19">
        <f t="shared" si="26"/>
        <v>1448.6477912255259</v>
      </c>
      <c r="DI43" s="19">
        <f t="shared" si="27"/>
        <v>1429.6909806645724</v>
      </c>
      <c r="DJ43" s="19">
        <f t="shared" si="28"/>
        <v>1361.5010150806861</v>
      </c>
      <c r="DK43" s="19">
        <f t="shared" si="29"/>
        <v>1244.9065918503463</v>
      </c>
      <c r="DL43" s="19">
        <f t="shared" si="30"/>
        <v>1099.9159616845557</v>
      </c>
      <c r="DM43" s="19">
        <f t="shared" si="31"/>
        <v>935.48067603793174</v>
      </c>
      <c r="DN43" s="19">
        <f t="shared" si="32"/>
        <v>762.23343437637391</v>
      </c>
      <c r="DO43" s="173">
        <f t="shared" si="127"/>
        <v>102498.53793024956</v>
      </c>
      <c r="DP43" s="25">
        <f t="shared" si="33"/>
        <v>101864.82425786875</v>
      </c>
      <c r="DQ43" s="26">
        <f t="shared" si="33"/>
        <v>101105.27351641076</v>
      </c>
      <c r="DR43" s="26">
        <f t="shared" si="33"/>
        <v>100236.48487711092</v>
      </c>
      <c r="DS43" s="26">
        <f t="shared" si="33"/>
        <v>99303.129534979467</v>
      </c>
      <c r="DT43" s="26">
        <f t="shared" si="33"/>
        <v>98348.790857044893</v>
      </c>
      <c r="DU43" s="26">
        <f t="shared" si="33"/>
        <v>97396.800997133396</v>
      </c>
      <c r="DV43" s="26">
        <f t="shared" si="33"/>
        <v>96461.320321095467</v>
      </c>
      <c r="DW43" s="26">
        <f t="shared" si="33"/>
        <v>95545.664271464426</v>
      </c>
      <c r="DX43" s="26">
        <f t="shared" si="33"/>
        <v>94646.3672969162</v>
      </c>
      <c r="DY43" s="26">
        <f t="shared" si="33"/>
        <v>93762.872497552977</v>
      </c>
      <c r="DZ43" s="26">
        <f t="shared" si="33"/>
        <v>92888.672315653326</v>
      </c>
      <c r="EA43" s="26">
        <f t="shared" si="33"/>
        <v>92023.212339849706</v>
      </c>
      <c r="EB43" s="26">
        <f t="shared" si="33"/>
        <v>91167.860609376687</v>
      </c>
      <c r="EC43" s="26">
        <f t="shared" si="33"/>
        <v>90320.703290559817</v>
      </c>
      <c r="ED43" s="26">
        <f t="shared" si="33"/>
        <v>89484.364534015098</v>
      </c>
      <c r="EE43" s="26">
        <f t="shared" ref="EE43:EE91" si="145">ED44</f>
        <v>88661.203824896802</v>
      </c>
      <c r="EF43" s="26">
        <f t="shared" si="34"/>
        <v>87840.381572520157</v>
      </c>
      <c r="EG43" s="26">
        <f t="shared" si="34"/>
        <v>87012.558663059375</v>
      </c>
      <c r="EH43" s="26">
        <f t="shared" si="34"/>
        <v>86165.616132443218</v>
      </c>
      <c r="EI43" s="26">
        <f t="shared" si="34"/>
        <v>85302.60278943798</v>
      </c>
      <c r="EJ43" s="26">
        <f t="shared" si="128"/>
        <v>8.9788964477290553E-3</v>
      </c>
      <c r="EK43" s="26">
        <f t="shared" si="129"/>
        <v>8.1480509579218551E-3</v>
      </c>
      <c r="EL43" s="26">
        <f t="shared" si="36"/>
        <v>7.0094857141614489E-3</v>
      </c>
      <c r="EM43" s="26">
        <f t="shared" si="36"/>
        <v>5.5645183598069933E-3</v>
      </c>
      <c r="EN43" s="26">
        <f t="shared" si="36"/>
        <v>3.8735085974986269E-3</v>
      </c>
      <c r="EO43" s="26">
        <f t="shared" si="36"/>
        <v>2.006028332436142E-3</v>
      </c>
      <c r="EP43" s="26">
        <f t="shared" si="36"/>
        <v>0</v>
      </c>
      <c r="EQ43" s="26">
        <f t="shared" si="36"/>
        <v>-2.1203702742948723E-3</v>
      </c>
      <c r="ER43" s="26">
        <f t="shared" si="36"/>
        <v>-4.3518477276311956E-3</v>
      </c>
      <c r="ES43" s="26">
        <f t="shared" si="36"/>
        <v>-6.7067455381775469E-3</v>
      </c>
      <c r="ET43" s="26">
        <f t="shared" si="36"/>
        <v>-9.1913704877851082E-3</v>
      </c>
      <c r="EU43" s="26">
        <f t="shared" si="36"/>
        <v>-1.1828198158688628E-2</v>
      </c>
      <c r="EV43" s="26">
        <f t="shared" si="36"/>
        <v>-1.4626199747722007E-2</v>
      </c>
      <c r="EW43" s="26">
        <f t="shared" si="36"/>
        <v>-1.758941813414187E-2</v>
      </c>
      <c r="EX43" s="26">
        <f t="shared" si="36"/>
        <v>-2.0731451542681627E-2</v>
      </c>
      <c r="EY43" s="26">
        <f t="shared" si="36"/>
        <v>-2.4053065746654539E-2</v>
      </c>
      <c r="EZ43" s="26">
        <f t="shared" ref="EZ43:FD74" si="146">(EE43-$Z43)/BX43</f>
        <v>-2.7554984085763543E-2</v>
      </c>
      <c r="FA43" s="26">
        <f t="shared" si="37"/>
        <v>-3.1281573310637349E-2</v>
      </c>
      <c r="FB43" s="26">
        <f t="shared" si="37"/>
        <v>-3.5278284189150501E-2</v>
      </c>
      <c r="FC43" s="26">
        <f t="shared" si="37"/>
        <v>-3.9606978195737816E-2</v>
      </c>
      <c r="FD43" s="26">
        <f t="shared" si="37"/>
        <v>-4.4280276964306267E-2</v>
      </c>
      <c r="FE43" s="26">
        <f t="shared" si="130"/>
        <v>5.3010777688796473</v>
      </c>
      <c r="FF43" s="26">
        <f t="shared" si="38"/>
        <v>4.4928480403212978</v>
      </c>
      <c r="FG43" s="26">
        <f t="shared" si="38"/>
        <v>3.6566597755316232</v>
      </c>
      <c r="FH43" s="26">
        <f t="shared" si="38"/>
        <v>2.7909761149676866</v>
      </c>
      <c r="FI43" s="26">
        <f t="shared" si="38"/>
        <v>1.8940452093016533</v>
      </c>
      <c r="FJ43" s="26">
        <f t="shared" si="38"/>
        <v>0.96421175660299197</v>
      </c>
      <c r="FK43" s="26">
        <f t="shared" si="38"/>
        <v>0</v>
      </c>
      <c r="FL43" s="26">
        <f t="shared" si="38"/>
        <v>-0.99999999999999722</v>
      </c>
      <c r="FM43" s="26">
        <f t="shared" si="38"/>
        <v>-2.0371899678427612</v>
      </c>
      <c r="FN43" s="26">
        <f t="shared" si="38"/>
        <v>-3.1130364241279302</v>
      </c>
      <c r="FO43" s="26">
        <f t="shared" si="38"/>
        <v>-4.2290699120053308</v>
      </c>
      <c r="FP43" s="26">
        <f t="shared" si="38"/>
        <v>-5.3869557924405651</v>
      </c>
      <c r="FQ43" s="26">
        <f t="shared" si="38"/>
        <v>-6.5884092872111637</v>
      </c>
      <c r="FR43" s="26">
        <f t="shared" si="38"/>
        <v>-7.835193087893999</v>
      </c>
      <c r="FS43" s="26">
        <f t="shared" si="38"/>
        <v>-9.1292091070976138</v>
      </c>
      <c r="FT43" s="26">
        <f t="shared" si="38"/>
        <v>-10.472344131598279</v>
      </c>
      <c r="FU43" s="26">
        <f t="shared" si="143"/>
        <v>-11.866539622171601</v>
      </c>
      <c r="FV43" s="26">
        <f t="shared" si="131"/>
        <v>-13.314305217273532</v>
      </c>
      <c r="FW43" s="26">
        <f t="shared" si="131"/>
        <v>-14.818400091696155</v>
      </c>
      <c r="FX43" s="26">
        <f t="shared" si="39"/>
        <v>9801501.0660238042</v>
      </c>
      <c r="FY43" s="26">
        <f t="shared" si="40"/>
        <v>425367.99114443822</v>
      </c>
      <c r="FZ43" s="26">
        <f t="shared" si="132"/>
        <v>0.80532760230029166</v>
      </c>
      <c r="GA43" s="26">
        <f t="shared" si="133"/>
        <v>0.83446090304136333</v>
      </c>
      <c r="GB43" s="26">
        <f t="shared" si="42"/>
        <v>0.86488581108757678</v>
      </c>
      <c r="GC43" s="26">
        <f t="shared" si="42"/>
        <v>0.89665477601912591</v>
      </c>
      <c r="GD43" s="26">
        <f t="shared" si="42"/>
        <v>0.92976770564933631</v>
      </c>
      <c r="GE43" s="26">
        <f t="shared" si="42"/>
        <v>0.96421175660298375</v>
      </c>
      <c r="GF43" s="26">
        <f t="shared" si="42"/>
        <v>1</v>
      </c>
      <c r="GG43" s="26">
        <f t="shared" si="42"/>
        <v>1.0371571576330016</v>
      </c>
      <c r="GH43" s="26">
        <f t="shared" si="42"/>
        <v>1.075728998973263</v>
      </c>
      <c r="GI43" s="26">
        <f t="shared" si="42"/>
        <v>1.1157793790473933</v>
      </c>
      <c r="GJ43" s="26">
        <f t="shared" si="42"/>
        <v>1.1573682830669836</v>
      </c>
      <c r="GK43" s="26">
        <f t="shared" si="42"/>
        <v>1.2005768641881225</v>
      </c>
      <c r="GL43" s="26">
        <f t="shared" si="42"/>
        <v>1.2454742820156131</v>
      </c>
      <c r="GM43" s="26">
        <f t="shared" si="42"/>
        <v>1.292126343775827</v>
      </c>
      <c r="GN43" s="26">
        <f t="shared" si="42"/>
        <v>1.3406134505571614</v>
      </c>
      <c r="GO43" s="26">
        <f t="shared" si="42"/>
        <v>1.3910024189558818</v>
      </c>
      <c r="GP43" s="26">
        <f t="shared" si="140"/>
        <v>1.4433619359884171</v>
      </c>
      <c r="GQ43" s="26">
        <f t="shared" si="134"/>
        <v>1.4978249754921824</v>
      </c>
      <c r="GR43" s="26">
        <f t="shared" si="134"/>
        <v>1.5545343479007576</v>
      </c>
      <c r="GS43" s="26">
        <f t="shared" si="134"/>
        <v>1.6136666224408434</v>
      </c>
      <c r="GT43" s="26">
        <f t="shared" si="134"/>
        <v>1.6753321751871031</v>
      </c>
      <c r="GU43" s="26">
        <f t="shared" si="135"/>
        <v>5.4957501665793504</v>
      </c>
      <c r="GV43" s="26">
        <f t="shared" si="136"/>
        <v>4.6583871372799273</v>
      </c>
      <c r="GW43" s="26">
        <f t="shared" si="43"/>
        <v>3.7917739644440447</v>
      </c>
      <c r="GX43" s="26">
        <f t="shared" si="43"/>
        <v>2.8943213389485494</v>
      </c>
      <c r="GY43" s="26">
        <f t="shared" si="43"/>
        <v>1.9642775036523155</v>
      </c>
      <c r="GZ43" s="26">
        <f t="shared" si="43"/>
        <v>0.99999999999999656</v>
      </c>
      <c r="HA43" s="26">
        <f t="shared" si="43"/>
        <v>0</v>
      </c>
      <c r="HB43" s="26">
        <f t="shared" si="43"/>
        <v>-1.0371571576330103</v>
      </c>
      <c r="HC43" s="26">
        <f t="shared" si="43"/>
        <v>-2.1129189668160309</v>
      </c>
      <c r="HD43" s="26">
        <f t="shared" si="43"/>
        <v>-3.2288158031753271</v>
      </c>
      <c r="HE43" s="26">
        <f t="shared" si="43"/>
        <v>-4.3864381950723201</v>
      </c>
      <c r="HF43" s="26">
        <f t="shared" si="43"/>
        <v>-5.5875326566287002</v>
      </c>
      <c r="HG43" s="26">
        <f t="shared" si="43"/>
        <v>-6.8338835692267894</v>
      </c>
      <c r="HH43" s="26">
        <f t="shared" si="43"/>
        <v>-8.1273194316698412</v>
      </c>
      <c r="HI43" s="26">
        <f t="shared" si="43"/>
        <v>-9.4698225576547852</v>
      </c>
      <c r="HJ43" s="26">
        <f t="shared" si="43"/>
        <v>-10.863346550554171</v>
      </c>
      <c r="HK43" s="26">
        <f t="shared" si="141"/>
        <v>-12.309901558160028</v>
      </c>
      <c r="HL43" s="26">
        <f t="shared" si="137"/>
        <v>-13.812130192765727</v>
      </c>
      <c r="HM43" s="26">
        <f t="shared" si="137"/>
        <v>-15.372934439596929</v>
      </c>
      <c r="HN43" s="26">
        <f t="shared" si="137"/>
        <v>-16.995737567502385</v>
      </c>
      <c r="HO43" s="26">
        <f t="shared" si="137"/>
        <v>-18.683436680035367</v>
      </c>
      <c r="HP43" s="26">
        <f t="shared" si="44"/>
        <v>517035.39587134938</v>
      </c>
      <c r="HQ43" s="26">
        <f t="shared" si="45"/>
        <v>534460.07439310744</v>
      </c>
      <c r="HR43" s="26">
        <f t="shared" si="46"/>
        <v>552472.0471054489</v>
      </c>
      <c r="HS43" s="26">
        <f t="shared" si="47"/>
        <v>571157.39422384591</v>
      </c>
      <c r="HT43" s="26">
        <f t="shared" si="48"/>
        <v>590620.83578152489</v>
      </c>
      <c r="HU43" s="26">
        <f t="shared" si="49"/>
        <v>610951.60612200829</v>
      </c>
      <c r="HV43" s="26">
        <f t="shared" si="50"/>
        <v>632215.9078880985</v>
      </c>
      <c r="HW43" s="26">
        <f t="shared" si="51"/>
        <v>654469.2156843316</v>
      </c>
      <c r="HX43" s="26">
        <f t="shared" si="52"/>
        <v>677763.410043546</v>
      </c>
      <c r="HY43" s="26">
        <f t="shared" si="53"/>
        <v>702154.98312289943</v>
      </c>
      <c r="HZ43" s="26">
        <f t="shared" si="54"/>
        <v>727703.52867196721</v>
      </c>
      <c r="IA43" s="26">
        <f t="shared" si="55"/>
        <v>754481.31195291597</v>
      </c>
      <c r="IB43" s="26">
        <f t="shared" si="56"/>
        <v>782561.28015024471</v>
      </c>
      <c r="IC43" s="26">
        <f t="shared" si="57"/>
        <v>812017.13214298117</v>
      </c>
      <c r="ID43" s="26">
        <f t="shared" si="58"/>
        <v>842934.9028818683</v>
      </c>
      <c r="IE43" s="26">
        <f t="shared" si="59"/>
        <v>875393.15668308537</v>
      </c>
      <c r="IF43" s="26">
        <f t="shared" si="60"/>
        <v>909471.85526006983</v>
      </c>
      <c r="IG43" s="26">
        <f t="shared" si="61"/>
        <v>945315.69610119995</v>
      </c>
      <c r="IH43" s="26">
        <f t="shared" si="62"/>
        <v>983093.59837519471</v>
      </c>
      <c r="II43" s="26">
        <f t="shared" si="63"/>
        <v>-1123592159820.2808</v>
      </c>
      <c r="IJ43" s="26">
        <f t="shared" si="64"/>
        <v>536877.07177759404</v>
      </c>
      <c r="IK43" s="26">
        <f t="shared" si="65"/>
        <v>553963.63047093153</v>
      </c>
      <c r="IL43" s="26">
        <f t="shared" si="66"/>
        <v>571704.00848475238</v>
      </c>
      <c r="IM43" s="26">
        <f t="shared" si="67"/>
        <v>590191.58665949327</v>
      </c>
      <c r="IN43" s="26">
        <f t="shared" si="68"/>
        <v>609539.31349778769</v>
      </c>
      <c r="IO43" s="26">
        <f t="shared" si="69"/>
        <v>629844.76426958793</v>
      </c>
      <c r="IP43" s="26">
        <f t="shared" si="70"/>
        <v>651182.38512474147</v>
      </c>
      <c r="IQ43" s="26">
        <f t="shared" si="71"/>
        <v>673616.10137708311</v>
      </c>
      <c r="IR43" s="26">
        <f t="shared" si="72"/>
        <v>697206.64241160941</v>
      </c>
      <c r="IS43" s="26">
        <f t="shared" si="73"/>
        <v>722019.98913834628</v>
      </c>
      <c r="IT43" s="26">
        <f t="shared" si="74"/>
        <v>748125.86596136028</v>
      </c>
      <c r="IU43" s="26">
        <f t="shared" si="75"/>
        <v>775607.60779334605</v>
      </c>
      <c r="IV43" s="26">
        <f t="shared" si="76"/>
        <v>804549.8987917779</v>
      </c>
      <c r="IW43" s="26">
        <f t="shared" si="77"/>
        <v>835038.87695223303</v>
      </c>
      <c r="IX43" s="26">
        <f t="shared" si="78"/>
        <v>867174.09058024967</v>
      </c>
      <c r="IY43" s="26">
        <f t="shared" si="79"/>
        <v>901048.17580507719</v>
      </c>
      <c r="IZ43" s="26">
        <f t="shared" si="80"/>
        <v>936756.01091787196</v>
      </c>
      <c r="JA43" s="26">
        <f t="shared" si="81"/>
        <v>974460.03258847387</v>
      </c>
      <c r="JB43" s="26">
        <f t="shared" si="82"/>
        <v>1014348.6767532666</v>
      </c>
      <c r="JC43" s="26">
        <f t="shared" si="83"/>
        <v>-1157299921667.0151</v>
      </c>
      <c r="JD43" s="26">
        <f t="shared" si="84"/>
        <v>155990.17354068172</v>
      </c>
      <c r="JE43" s="26">
        <f t="shared" si="85"/>
        <v>247766.69970001117</v>
      </c>
      <c r="JF43" s="26">
        <f t="shared" si="86"/>
        <v>342925.08974036307</v>
      </c>
      <c r="JG43" s="26">
        <f t="shared" si="87"/>
        <v>441727.9475761283</v>
      </c>
      <c r="JH43" s="26">
        <f t="shared" si="88"/>
        <v>544413.16633618204</v>
      </c>
      <c r="JI43" s="26">
        <f t="shared" si="89"/>
        <v>651182.38512474147</v>
      </c>
      <c r="JJ43" s="26">
        <f t="shared" si="90"/>
        <v>762222.09466174082</v>
      </c>
      <c r="JK43" s="26">
        <f t="shared" si="91"/>
        <v>877716.68605050456</v>
      </c>
      <c r="JL43" s="26">
        <f t="shared" si="92"/>
        <v>997862.88263624883</v>
      </c>
      <c r="JM43" s="26">
        <f t="shared" si="93"/>
        <v>1122866.2902025147</v>
      </c>
      <c r="JN43" s="26">
        <f t="shared" si="94"/>
        <v>1252959.451154226</v>
      </c>
      <c r="JO43" s="26">
        <f t="shared" si="95"/>
        <v>1388379.4922016717</v>
      </c>
      <c r="JP43" s="26">
        <f t="shared" si="96"/>
        <v>1529368.7629150101</v>
      </c>
      <c r="JQ43" s="26">
        <f t="shared" si="97"/>
        <v>1676196.1638265136</v>
      </c>
      <c r="JR43" s="26">
        <f t="shared" si="98"/>
        <v>1829121.2305232761</v>
      </c>
      <c r="JS43" s="26">
        <f t="shared" si="99"/>
        <v>1988410.5714344098</v>
      </c>
      <c r="JT43" s="26">
        <f t="shared" si="100"/>
        <v>2154452.3858206952</v>
      </c>
      <c r="JU43" s="26">
        <f t="shared" si="101"/>
        <v>2327683.0308535239</v>
      </c>
      <c r="JV43" s="26">
        <f t="shared" si="102"/>
        <v>-1157298469693.9968</v>
      </c>
      <c r="JW43" s="26">
        <f t="shared" si="103"/>
        <v>1752146.0240037164</v>
      </c>
      <c r="JX43" s="26" t="e">
        <f>AH43+$AG$38*0.004*(1+$R$28)*#REF!-S43*#REF!</f>
        <v>#REF!</v>
      </c>
      <c r="JY43" s="34">
        <f t="shared" si="104"/>
        <v>5.0715958595750357E-2</v>
      </c>
      <c r="JZ43" s="4">
        <f t="shared" si="105"/>
        <v>48077.587592565338</v>
      </c>
      <c r="KA43" s="165"/>
      <c r="KB43" s="163">
        <v>16</v>
      </c>
      <c r="KC43" s="163">
        <f>((1+0.035)^(-1))*(1-((1+0.035)^(-m-n+16)))/(1-((1+0.035)^(-1)))</f>
        <v>-4.2149428750000002</v>
      </c>
      <c r="KD43" s="163">
        <f>((1+0.035)^(-1))*(1-((1+0.035)^(-m-(n/2)+16/2)))/(1-((1+0.035)^(-1)))</f>
        <v>0.48724644668626199</v>
      </c>
      <c r="KE43" s="61">
        <f>IF(KB43&lt;=n,VLOOKUP(A28+x,A28:KF139,278),0)</f>
        <v>0</v>
      </c>
      <c r="KF43" s="162">
        <f>IF(KB43&lt;=n,VLOOKUP(A28+x,A28:KF139,278),0)</f>
        <v>0</v>
      </c>
    </row>
    <row r="44" spans="1:293" ht="15.75" x14ac:dyDescent="0.3">
      <c r="A44" s="34">
        <v>43</v>
      </c>
      <c r="B44" s="34">
        <v>16</v>
      </c>
      <c r="C44" s="2">
        <v>988176</v>
      </c>
      <c r="D44" s="1">
        <f t="shared" si="106"/>
        <v>897</v>
      </c>
      <c r="E44" s="145">
        <f t="shared" si="107"/>
        <v>0.9990922669645893</v>
      </c>
      <c r="F44" s="146">
        <f t="shared" si="108"/>
        <v>9.0773303541069605E-4</v>
      </c>
      <c r="G44" s="158">
        <f t="shared" si="3"/>
        <v>1.1346662942633701E-3</v>
      </c>
      <c r="H44" s="43">
        <f t="shared" si="109"/>
        <v>1117.9151679210834</v>
      </c>
      <c r="I44" s="43">
        <f t="shared" si="139"/>
        <v>985236.95783775649</v>
      </c>
      <c r="J44" s="43">
        <f t="shared" si="110"/>
        <v>987727.5</v>
      </c>
      <c r="K44" s="147">
        <f>SUM(J44:$J$138)</f>
        <v>57634514</v>
      </c>
      <c r="L44" s="147">
        <f t="shared" si="111"/>
        <v>58.324138614983568</v>
      </c>
      <c r="M44" s="43">
        <f t="shared" si="4"/>
        <v>1234659.375</v>
      </c>
      <c r="N44" s="148">
        <f t="shared" si="5"/>
        <v>72043142.5</v>
      </c>
      <c r="O44" s="147">
        <f t="shared" si="6"/>
        <v>72.905173268729456</v>
      </c>
      <c r="P44" s="157">
        <f t="shared" si="7"/>
        <v>568191.97802492685</v>
      </c>
      <c r="Q44" s="43">
        <f t="shared" si="8"/>
        <v>1235220</v>
      </c>
      <c r="R44" s="43">
        <f t="shared" si="9"/>
        <v>633.7136723808095</v>
      </c>
      <c r="S44" s="43">
        <f>SUM(R44:$R$138)</f>
        <v>102498.53793024956</v>
      </c>
      <c r="T44" s="43">
        <f t="shared" si="112"/>
        <v>4490860.5180527521</v>
      </c>
      <c r="U44" s="153">
        <f>SUM(P44:$P$138)</f>
        <v>13822910.320268864</v>
      </c>
      <c r="V44" s="129">
        <f t="shared" si="10"/>
        <v>10242688.479080243</v>
      </c>
      <c r="W44" s="43">
        <f t="shared" si="113"/>
        <v>441187.41305644001</v>
      </c>
      <c r="X44" s="26">
        <f t="shared" si="114"/>
        <v>6.3010777688796491</v>
      </c>
      <c r="Y44" s="26">
        <f t="shared" si="115"/>
        <v>0.77647596256116957</v>
      </c>
      <c r="Z44" s="43">
        <f t="shared" si="11"/>
        <v>96461.320321095467</v>
      </c>
      <c r="AA44" s="149">
        <f t="shared" si="116"/>
        <v>1.0625312997448257E-2</v>
      </c>
      <c r="AB44" s="150">
        <f t="shared" si="138"/>
        <v>13254718.342243936</v>
      </c>
      <c r="AC44" s="150">
        <f t="shared" si="117"/>
        <v>9801501.0660238042</v>
      </c>
      <c r="AD44" s="26">
        <f t="shared" si="118"/>
        <v>6.0775537314408146</v>
      </c>
      <c r="AE44" s="26">
        <f t="shared" si="12"/>
        <v>518334.44108883821</v>
      </c>
      <c r="AF44" s="43">
        <f t="shared" si="119"/>
        <v>82261.235315779893</v>
      </c>
      <c r="AG44" s="43">
        <f t="shared" si="13"/>
        <v>539200.37128656101</v>
      </c>
      <c r="AH44" s="27">
        <f t="shared" si="14"/>
        <v>89415.524437453016</v>
      </c>
      <c r="AI44" s="28">
        <f t="shared" si="120"/>
        <v>579785.34546942043</v>
      </c>
      <c r="AJ44" s="20">
        <f t="shared" si="15"/>
        <v>96145.725201562382</v>
      </c>
      <c r="AK44" s="3">
        <f t="shared" si="16"/>
        <v>8332.6295174687402</v>
      </c>
      <c r="AL44" s="3"/>
      <c r="AM44" s="46">
        <f t="shared" si="121"/>
        <v>13254718.342243936</v>
      </c>
      <c r="AN44" s="46">
        <f t="shared" si="122"/>
        <v>12706363.492254766</v>
      </c>
      <c r="AO44" s="46">
        <f t="shared" si="122"/>
        <v>12177298.640637327</v>
      </c>
      <c r="AP44" s="3">
        <f t="shared" ref="AP44:BB60" si="147">AO45</f>
        <v>11666978.843601737</v>
      </c>
      <c r="AQ44" s="3">
        <f t="shared" si="147"/>
        <v>11174833.676019788</v>
      </c>
      <c r="AR44" s="16">
        <f t="shared" si="147"/>
        <v>10700269.162389321</v>
      </c>
      <c r="AS44" s="16">
        <f t="shared" si="147"/>
        <v>10242688.479080243</v>
      </c>
      <c r="AT44" s="16">
        <f t="shared" si="147"/>
        <v>9801501.0660238042</v>
      </c>
      <c r="AU44" s="16">
        <f t="shared" si="147"/>
        <v>9376133.074879365</v>
      </c>
      <c r="AV44" s="16">
        <f t="shared" si="147"/>
        <v>8966033.4692568444</v>
      </c>
      <c r="AW44" s="16">
        <f t="shared" si="147"/>
        <v>8570670.3942497224</v>
      </c>
      <c r="AX44" s="16">
        <f t="shared" si="147"/>
        <v>8189536.3769633677</v>
      </c>
      <c r="AY44" s="16">
        <f t="shared" si="147"/>
        <v>7822141.6503789313</v>
      </c>
      <c r="AZ44" s="16">
        <f t="shared" si="147"/>
        <v>7468011.6649380811</v>
      </c>
      <c r="BA44" s="16">
        <f t="shared" si="147"/>
        <v>7126689.7998479586</v>
      </c>
      <c r="BB44" s="16">
        <f t="shared" si="147"/>
        <v>6797732.2961992268</v>
      </c>
      <c r="BC44" s="16">
        <f t="shared" si="144"/>
        <v>6480708.0821750965</v>
      </c>
      <c r="BD44" s="16">
        <f t="shared" si="18"/>
        <v>6175211.3180029579</v>
      </c>
      <c r="BE44" s="16">
        <f t="shared" si="18"/>
        <v>5880859.0678085573</v>
      </c>
      <c r="BF44" s="16">
        <f t="shared" si="18"/>
        <v>5597293.2575317528</v>
      </c>
      <c r="BG44" s="16">
        <f t="shared" si="18"/>
        <v>5324164.9250815194</v>
      </c>
      <c r="BH44" s="172">
        <f t="shared" si="123"/>
        <v>548354.84998917021</v>
      </c>
      <c r="BI44" s="16">
        <f t="shared" ref="BI44:BX59" si="148">BH45</f>
        <v>529064.85161743569</v>
      </c>
      <c r="BJ44" s="16">
        <f t="shared" si="148"/>
        <v>510319.79703559174</v>
      </c>
      <c r="BK44" s="16">
        <f t="shared" si="148"/>
        <v>492145.1675819463</v>
      </c>
      <c r="BL44" s="16">
        <f t="shared" si="148"/>
        <v>474564.51363046817</v>
      </c>
      <c r="BM44" s="16">
        <f t="shared" si="148"/>
        <v>457580.68330907432</v>
      </c>
      <c r="BN44" s="16">
        <f t="shared" si="148"/>
        <v>441187.41305644001</v>
      </c>
      <c r="BO44" s="16">
        <f t="shared" si="148"/>
        <v>425367.99114443822</v>
      </c>
      <c r="BP44" s="16">
        <f t="shared" si="148"/>
        <v>410099.60562251828</v>
      </c>
      <c r="BQ44" s="16">
        <f t="shared" si="148"/>
        <v>395363.07500712067</v>
      </c>
      <c r="BR44" s="16">
        <f t="shared" si="148"/>
        <v>381134.01728635549</v>
      </c>
      <c r="BS44" s="16">
        <f t="shared" si="148"/>
        <v>367394.72658443713</v>
      </c>
      <c r="BT44" s="16">
        <f t="shared" si="148"/>
        <v>354129.98544085148</v>
      </c>
      <c r="BU44" s="16">
        <f t="shared" si="148"/>
        <v>341321.86509012192</v>
      </c>
      <c r="BV44" s="16">
        <f t="shared" si="148"/>
        <v>328957.50364873186</v>
      </c>
      <c r="BW44" s="16">
        <f t="shared" si="148"/>
        <v>317024.21402412985</v>
      </c>
      <c r="BX44" s="16">
        <f t="shared" si="148"/>
        <v>305496.76417213847</v>
      </c>
      <c r="BY44" s="16">
        <f t="shared" ref="BV44:CB101" si="149">BX45</f>
        <v>294352.25019440131</v>
      </c>
      <c r="BZ44" s="16">
        <f t="shared" si="149"/>
        <v>283565.81027680589</v>
      </c>
      <c r="CA44" s="16">
        <f t="shared" si="149"/>
        <v>273128.33245023253</v>
      </c>
      <c r="CB44" s="16">
        <f t="shared" si="149"/>
        <v>263021.81415063736</v>
      </c>
      <c r="CC44" s="18">
        <f t="shared" si="124"/>
        <v>5.4928480403212978</v>
      </c>
      <c r="CD44" s="18">
        <f t="shared" si="124"/>
        <v>4.6566597755316286</v>
      </c>
      <c r="CE44" s="18">
        <f t="shared" si="124"/>
        <v>3.7909761149676826</v>
      </c>
      <c r="CF44" s="18">
        <f t="shared" si="124"/>
        <v>2.8940452093016598</v>
      </c>
      <c r="CG44" s="18">
        <f t="shared" si="124"/>
        <v>1.9642117566029884</v>
      </c>
      <c r="CH44" s="18">
        <f t="shared" ref="CH44:CK107" si="150">(AR44-$V44)/BM44</f>
        <v>1.0000000000000084</v>
      </c>
      <c r="CI44" s="18">
        <f t="shared" si="150"/>
        <v>0</v>
      </c>
      <c r="CJ44" s="18">
        <f t="shared" si="150"/>
        <v>-1.0371899678427587</v>
      </c>
      <c r="CK44" s="18">
        <f t="shared" si="150"/>
        <v>-2.113036424127924</v>
      </c>
      <c r="CL44" s="18">
        <f t="shared" ref="CL44:CO107" si="151">(AV44-$V44)/BQ44</f>
        <v>-3.2290699120053272</v>
      </c>
      <c r="CM44" s="18">
        <f t="shared" si="151"/>
        <v>-4.3869557924405678</v>
      </c>
      <c r="CN44" s="18">
        <f t="shared" si="151"/>
        <v>-5.5884092872111655</v>
      </c>
      <c r="CO44" s="18">
        <f t="shared" si="151"/>
        <v>-6.8351930878940026</v>
      </c>
      <c r="CP44" s="18">
        <f t="shared" ref="CP44:CP75" si="152">(AZ44-$V44)/BU44</f>
        <v>-8.1292091070976138</v>
      </c>
      <c r="CQ44" s="18">
        <f t="shared" ref="CQ44:CQ75" si="153">(BA44-$V44)/BV44</f>
        <v>-9.4723441315982786</v>
      </c>
      <c r="CR44" s="18">
        <f t="shared" ref="CR44:CR75" si="154">(BB44-$V44)/BW44</f>
        <v>-10.866539622171599</v>
      </c>
      <c r="CS44" s="18">
        <f t="shared" si="142"/>
        <v>-12.314305217273532</v>
      </c>
      <c r="CT44" s="18">
        <f t="shared" si="125"/>
        <v>-13.818400091696157</v>
      </c>
      <c r="CU44" s="18">
        <f t="shared" si="125"/>
        <v>-15.382070945061528</v>
      </c>
      <c r="CV44" s="18">
        <f t="shared" si="125"/>
        <v>-17.008104504848248</v>
      </c>
      <c r="CW44" s="18">
        <f t="shared" si="22"/>
        <v>-18.700059422378541</v>
      </c>
      <c r="CX44" s="17">
        <f t="shared" si="23"/>
        <v>759.55074145799949</v>
      </c>
      <c r="CY44" s="17">
        <f t="shared" si="126"/>
        <v>868.78863929983038</v>
      </c>
      <c r="CZ44" s="17">
        <f t="shared" si="126"/>
        <v>933.35534213147969</v>
      </c>
      <c r="DA44" s="17">
        <f t="shared" si="126"/>
        <v>954.33867793456591</v>
      </c>
      <c r="DB44" s="17">
        <f t="shared" si="126"/>
        <v>951.98985991150846</v>
      </c>
      <c r="DC44" s="17">
        <f t="shared" si="126"/>
        <v>935.48067603793174</v>
      </c>
      <c r="DD44" s="17">
        <f t="shared" si="126"/>
        <v>915.65604963103942</v>
      </c>
      <c r="DE44" s="17">
        <f t="shared" si="126"/>
        <v>899.29697454822428</v>
      </c>
      <c r="DF44" s="3" t="e">
        <f>#REF!+$AG$35*0.004*(1+$R$28)*#REF!-S44*#REF!</f>
        <v>#REF!</v>
      </c>
      <c r="DG44" s="19">
        <f t="shared" si="25"/>
        <v>1578.6632311788289</v>
      </c>
      <c r="DH44" s="19">
        <f t="shared" si="26"/>
        <v>1563.2058440939095</v>
      </c>
      <c r="DI44" s="19">
        <f t="shared" si="27"/>
        <v>1498.6788066090694</v>
      </c>
      <c r="DJ44" s="19">
        <f t="shared" si="28"/>
        <v>1385.9087048776487</v>
      </c>
      <c r="DK44" s="19">
        <f t="shared" si="29"/>
        <v>1244.8999077554474</v>
      </c>
      <c r="DL44" s="19">
        <f t="shared" si="30"/>
        <v>1084.6041332513819</v>
      </c>
      <c r="DM44" s="19">
        <f t="shared" si="31"/>
        <v>915.65604963103942</v>
      </c>
      <c r="DN44" s="19">
        <f t="shared" si="32"/>
        <v>744.62762075640626</v>
      </c>
      <c r="DO44" s="173">
        <f t="shared" si="127"/>
        <v>101864.82425786875</v>
      </c>
      <c r="DP44" s="25">
        <f t="shared" ref="DP44:ED60" si="155">DO45</f>
        <v>101105.27351641076</v>
      </c>
      <c r="DQ44" s="26">
        <f t="shared" si="155"/>
        <v>100236.48487711092</v>
      </c>
      <c r="DR44" s="26">
        <f t="shared" si="155"/>
        <v>99303.129534979467</v>
      </c>
      <c r="DS44" s="26">
        <f t="shared" si="155"/>
        <v>98348.790857044893</v>
      </c>
      <c r="DT44" s="26">
        <f t="shared" si="155"/>
        <v>97396.800997133396</v>
      </c>
      <c r="DU44" s="26">
        <f t="shared" si="155"/>
        <v>96461.320321095467</v>
      </c>
      <c r="DV44" s="26">
        <f t="shared" si="155"/>
        <v>95545.664271464426</v>
      </c>
      <c r="DW44" s="26">
        <f t="shared" si="155"/>
        <v>94646.3672969162</v>
      </c>
      <c r="DX44" s="26">
        <f t="shared" si="155"/>
        <v>93762.872497552977</v>
      </c>
      <c r="DY44" s="26">
        <f t="shared" si="155"/>
        <v>92888.672315653326</v>
      </c>
      <c r="DZ44" s="26">
        <f t="shared" si="155"/>
        <v>92023.212339849706</v>
      </c>
      <c r="EA44" s="26">
        <f t="shared" si="155"/>
        <v>91167.860609376687</v>
      </c>
      <c r="EB44" s="26">
        <f t="shared" si="155"/>
        <v>90320.703290559817</v>
      </c>
      <c r="EC44" s="26">
        <f t="shared" si="155"/>
        <v>89484.364534015098</v>
      </c>
      <c r="ED44" s="26">
        <f t="shared" si="155"/>
        <v>88661.203824896802</v>
      </c>
      <c r="EE44" s="26">
        <f t="shared" si="145"/>
        <v>87840.381572520157</v>
      </c>
      <c r="EF44" s="26">
        <f t="shared" si="34"/>
        <v>87012.558663059375</v>
      </c>
      <c r="EG44" s="26">
        <f t="shared" si="34"/>
        <v>86165.616132443218</v>
      </c>
      <c r="EH44" s="26">
        <f t="shared" si="34"/>
        <v>85302.60278943798</v>
      </c>
      <c r="EI44" s="26">
        <f t="shared" si="34"/>
        <v>84417.209120336134</v>
      </c>
      <c r="EJ44" s="26">
        <f t="shared" si="128"/>
        <v>9.8540278013042101E-3</v>
      </c>
      <c r="EK44" s="26">
        <f t="shared" si="128"/>
        <v>8.7776634208792826E-3</v>
      </c>
      <c r="EL44" s="26">
        <f t="shared" ref="EL44:EY58" si="156">(DQ44-$Z44)/BJ44</f>
        <v>7.3976447277669744E-3</v>
      </c>
      <c r="EM44" s="26">
        <f t="shared" si="156"/>
        <v>5.7743312361404325E-3</v>
      </c>
      <c r="EN44" s="26">
        <f t="shared" si="156"/>
        <v>3.9772685941265994E-3</v>
      </c>
      <c r="EO44" s="26">
        <f t="shared" si="156"/>
        <v>2.0444059597814258E-3</v>
      </c>
      <c r="EP44" s="26">
        <f t="shared" si="156"/>
        <v>0</v>
      </c>
      <c r="EQ44" s="26">
        <f t="shared" si="156"/>
        <v>-2.1526209510205493E-3</v>
      </c>
      <c r="ER44" s="26">
        <f t="shared" si="156"/>
        <v>-4.4256395258518372E-3</v>
      </c>
      <c r="ES44" s="26">
        <f t="shared" si="156"/>
        <v>-6.8252398722209711E-3</v>
      </c>
      <c r="ET44" s="26">
        <f t="shared" si="156"/>
        <v>-9.3737316623667341E-3</v>
      </c>
      <c r="EU44" s="26">
        <f t="shared" si="156"/>
        <v>-1.2079944702814795E-2</v>
      </c>
      <c r="EV44" s="26">
        <f t="shared" si="156"/>
        <v>-1.4947787336135984E-2</v>
      </c>
      <c r="EW44" s="26">
        <f t="shared" si="156"/>
        <v>-1.7990693414599426E-2</v>
      </c>
      <c r="EX44" s="26">
        <f t="shared" si="156"/>
        <v>-2.1209292111270754E-2</v>
      </c>
      <c r="EY44" s="26">
        <f t="shared" si="156"/>
        <v>-2.4604166341707166E-2</v>
      </c>
      <c r="EZ44" s="26">
        <f t="shared" si="146"/>
        <v>-2.8219411004031664E-2</v>
      </c>
      <c r="FA44" s="26">
        <f t="shared" si="37"/>
        <v>-3.2100184903617261E-2</v>
      </c>
      <c r="FB44" s="26">
        <f t="shared" si="37"/>
        <v>-3.6307988535719392E-2</v>
      </c>
      <c r="FC44" s="26">
        <f t="shared" si="37"/>
        <v>-4.0855217880740174E-2</v>
      </c>
      <c r="FD44" s="26">
        <f t="shared" si="37"/>
        <v>-4.5791301530075566E-2</v>
      </c>
      <c r="FE44" s="26">
        <f t="shared" si="130"/>
        <v>5.2974135749657929</v>
      </c>
      <c r="FF44" s="26">
        <f t="shared" si="130"/>
        <v>4.4905602164844831</v>
      </c>
      <c r="FG44" s="26">
        <f t="shared" si="130"/>
        <v>3.6555073669772349</v>
      </c>
      <c r="FH44" s="26">
        <f t="shared" si="130"/>
        <v>2.7905030882322177</v>
      </c>
      <c r="FI44" s="26">
        <f t="shared" si="130"/>
        <v>1.8938796950700065</v>
      </c>
      <c r="FJ44" s="26">
        <f t="shared" ref="FJ44:FO91" si="157">(AS44-$AC44)/BM44</f>
        <v>0.96417403345332509</v>
      </c>
      <c r="FK44" s="26">
        <f t="shared" si="157"/>
        <v>0</v>
      </c>
      <c r="FL44" s="26">
        <f t="shared" si="157"/>
        <v>-1.0000000000000022</v>
      </c>
      <c r="FM44" s="26">
        <f t="shared" si="157"/>
        <v>-2.0372309197877585</v>
      </c>
      <c r="FN44" s="26">
        <f t="shared" si="157"/>
        <v>-3.1131654663296873</v>
      </c>
      <c r="FO44" s="26">
        <f t="shared" si="157"/>
        <v>-4.2293907548255589</v>
      </c>
      <c r="FP44" s="26">
        <f t="shared" ref="FP44:FS107" si="158">(AY44-$AC44)/BS44</f>
        <v>-5.3875553251577859</v>
      </c>
      <c r="FQ44" s="26">
        <f t="shared" si="158"/>
        <v>-6.5893584192843617</v>
      </c>
      <c r="FR44" s="26">
        <f t="shared" si="158"/>
        <v>-7.8366244291721365</v>
      </c>
      <c r="FS44" s="26">
        <f t="shared" si="158"/>
        <v>-9.1311757187702529</v>
      </c>
      <c r="FT44" s="26">
        <f t="shared" ref="FT44:FT75" si="159">(BC44-$AC44)/BW44</f>
        <v>-10.474887522616649</v>
      </c>
      <c r="FU44" s="26">
        <f t="shared" si="143"/>
        <v>-11.870141269246107</v>
      </c>
      <c r="FV44" s="26">
        <f t="shared" si="131"/>
        <v>-13.319558439338946</v>
      </c>
      <c r="FW44" s="26">
        <f t="shared" si="131"/>
        <v>-14.826215489053732</v>
      </c>
      <c r="FX44" s="26">
        <f t="shared" si="39"/>
        <v>9376133.074879365</v>
      </c>
      <c r="FY44" s="26">
        <f t="shared" si="40"/>
        <v>410099.60562251828</v>
      </c>
      <c r="FZ44" s="26">
        <f t="shared" si="132"/>
        <v>0.80456553464449765</v>
      </c>
      <c r="GA44" s="26">
        <f t="shared" ref="GA44:GA91" si="160">$W44/BI44</f>
        <v>0.83390044095286175</v>
      </c>
      <c r="GB44" s="26">
        <f t="shared" si="132"/>
        <v>0.86453125200955083</v>
      </c>
      <c r="GC44" s="26">
        <f t="shared" si="132"/>
        <v>0.89645787893056694</v>
      </c>
      <c r="GD44" s="26">
        <f t="shared" si="132"/>
        <v>0.92966793846701712</v>
      </c>
      <c r="GE44" s="26">
        <f t="shared" ref="GE44:GJ91" si="161">$W44/BM44</f>
        <v>0.96417403345332775</v>
      </c>
      <c r="GF44" s="26">
        <f t="shared" si="161"/>
        <v>1</v>
      </c>
      <c r="GG44" s="26">
        <f t="shared" si="161"/>
        <v>1.0371899678427616</v>
      </c>
      <c r="GH44" s="26">
        <f t="shared" si="161"/>
        <v>1.0758055043401746</v>
      </c>
      <c r="GI44" s="26">
        <f t="shared" si="161"/>
        <v>1.1159044456756464</v>
      </c>
      <c r="GJ44" s="26">
        <f t="shared" si="161"/>
        <v>1.1575650376150102</v>
      </c>
      <c r="GK44" s="26">
        <f t="shared" ref="GK44:GN107" si="162">$W44/BS44</f>
        <v>1.2008539620533811</v>
      </c>
      <c r="GL44" s="26">
        <f t="shared" si="162"/>
        <v>1.2458346686096404</v>
      </c>
      <c r="GM44" s="26">
        <f t="shared" si="162"/>
        <v>1.2925846779254819</v>
      </c>
      <c r="GN44" s="26">
        <f t="shared" si="162"/>
        <v>1.3411684128280281</v>
      </c>
      <c r="GO44" s="26">
        <f t="shared" ref="GO44:GO75" si="163">$W44/BW44</f>
        <v>1.3916520995549559</v>
      </c>
      <c r="GP44" s="26">
        <f t="shared" si="140"/>
        <v>1.4441639480274293</v>
      </c>
      <c r="GQ44" s="26">
        <f t="shared" si="134"/>
        <v>1.4988416523572123</v>
      </c>
      <c r="GR44" s="26">
        <f t="shared" si="134"/>
        <v>1.5558554560077962</v>
      </c>
      <c r="GS44" s="26">
        <f t="shared" si="134"/>
        <v>1.6153117807242865</v>
      </c>
      <c r="GT44" s="26">
        <f t="shared" si="134"/>
        <v>1.6773795530273545</v>
      </c>
      <c r="GU44" s="26">
        <f t="shared" si="135"/>
        <v>5.4928480403212978</v>
      </c>
      <c r="GV44" s="26">
        <f t="shared" ref="GV44:GV91" si="164">(AN44-$V44)/BI44</f>
        <v>4.6566597755316286</v>
      </c>
      <c r="GW44" s="26">
        <f t="shared" si="135"/>
        <v>3.7909761149676826</v>
      </c>
      <c r="GX44" s="26">
        <f t="shared" si="135"/>
        <v>2.8940452093016598</v>
      </c>
      <c r="GY44" s="26">
        <f t="shared" si="135"/>
        <v>1.9642117566029884</v>
      </c>
      <c r="GZ44" s="26">
        <f t="shared" ref="GZ44:HE91" si="165">(AR44-$V44)/BM44</f>
        <v>1.0000000000000084</v>
      </c>
      <c r="HA44" s="26">
        <f t="shared" si="165"/>
        <v>0</v>
      </c>
      <c r="HB44" s="26">
        <f t="shared" si="165"/>
        <v>-1.0371899678427587</v>
      </c>
      <c r="HC44" s="26">
        <f t="shared" si="165"/>
        <v>-2.113036424127924</v>
      </c>
      <c r="HD44" s="26">
        <f t="shared" si="165"/>
        <v>-3.2290699120053272</v>
      </c>
      <c r="HE44" s="26">
        <f t="shared" si="165"/>
        <v>-4.3869557924405678</v>
      </c>
      <c r="HF44" s="26">
        <f t="shared" ref="HF44:HI107" si="166">(AX44-$V44)/BS44</f>
        <v>-5.5884092872111655</v>
      </c>
      <c r="HG44" s="26">
        <f t="shared" si="166"/>
        <v>-6.8351930878940026</v>
      </c>
      <c r="HH44" s="26">
        <f t="shared" si="166"/>
        <v>-8.1292091070976138</v>
      </c>
      <c r="HI44" s="26">
        <f t="shared" si="166"/>
        <v>-9.4723441315982786</v>
      </c>
      <c r="HJ44" s="26">
        <f t="shared" ref="HJ44:HJ75" si="167">(BB44-$V44)/BW44</f>
        <v>-10.866539622171599</v>
      </c>
      <c r="HK44" s="26">
        <f t="shared" si="141"/>
        <v>-12.314305217273532</v>
      </c>
      <c r="HL44" s="26">
        <f t="shared" si="137"/>
        <v>-13.818400091696157</v>
      </c>
      <c r="HM44" s="26">
        <f t="shared" si="137"/>
        <v>-15.382070945061528</v>
      </c>
      <c r="HN44" s="26">
        <f t="shared" si="137"/>
        <v>-17.008104504848248</v>
      </c>
      <c r="HO44" s="26">
        <f t="shared" si="137"/>
        <v>-18.700059422378541</v>
      </c>
      <c r="HP44" s="26">
        <f t="shared" si="44"/>
        <v>517418.24017180369</v>
      </c>
      <c r="HQ44" s="26">
        <f t="shared" si="45"/>
        <v>534694.17753402167</v>
      </c>
      <c r="HR44" s="26">
        <f t="shared" si="46"/>
        <v>552585.75650292286</v>
      </c>
      <c r="HS44" s="26">
        <f t="shared" si="47"/>
        <v>571201.07414890639</v>
      </c>
      <c r="HT44" s="26">
        <f t="shared" si="48"/>
        <v>590634.31991288997</v>
      </c>
      <c r="HU44" s="26">
        <f t="shared" si="49"/>
        <v>610953.80582428444</v>
      </c>
      <c r="HV44" s="26">
        <f t="shared" si="50"/>
        <v>632215.9078880985</v>
      </c>
      <c r="HW44" s="26">
        <f t="shared" si="51"/>
        <v>654471.1283481475</v>
      </c>
      <c r="HX44" s="26">
        <f t="shared" si="52"/>
        <v>677772.64517011703</v>
      </c>
      <c r="HY44" s="26">
        <f t="shared" si="53"/>
        <v>702177.3210146894</v>
      </c>
      <c r="HZ44" s="26">
        <f t="shared" si="54"/>
        <v>727752.41079564649</v>
      </c>
      <c r="IA44" s="26">
        <f t="shared" si="55"/>
        <v>754567.37472844275</v>
      </c>
      <c r="IB44" s="26">
        <f t="shared" si="56"/>
        <v>782692.96378424589</v>
      </c>
      <c r="IC44" s="26">
        <f t="shared" si="57"/>
        <v>812210.75434012851</v>
      </c>
      <c r="ID44" s="26">
        <f t="shared" si="58"/>
        <v>843196.57400614815</v>
      </c>
      <c r="IE44" s="26">
        <f t="shared" si="59"/>
        <v>875727.60561747069</v>
      </c>
      <c r="IF44" s="26">
        <f t="shared" si="60"/>
        <v>909938.58386671951</v>
      </c>
      <c r="IG44" s="26">
        <f t="shared" si="61"/>
        <v>945987.52294103662</v>
      </c>
      <c r="IH44" s="26">
        <f t="shared" si="62"/>
        <v>984081.93828422588</v>
      </c>
      <c r="II44" s="26">
        <f t="shared" si="63"/>
        <v>-1074830263641.4651</v>
      </c>
      <c r="IJ44" s="26">
        <f t="shared" si="64"/>
        <v>537269.11455116258</v>
      </c>
      <c r="IK44" s="26">
        <f t="shared" si="65"/>
        <v>554203.47009766276</v>
      </c>
      <c r="IL44" s="26">
        <f t="shared" si="66"/>
        <v>571820.56992081716</v>
      </c>
      <c r="IM44" s="26">
        <f t="shared" si="67"/>
        <v>590236.39576533379</v>
      </c>
      <c r="IN44" s="26">
        <f t="shared" si="68"/>
        <v>609553.16199238808</v>
      </c>
      <c r="IO44" s="26">
        <f t="shared" si="69"/>
        <v>629847.02996293234</v>
      </c>
      <c r="IP44" s="26">
        <f t="shared" si="70"/>
        <v>651182.38512474147</v>
      </c>
      <c r="IQ44" s="26">
        <f t="shared" si="71"/>
        <v>673618.05600865395</v>
      </c>
      <c r="IR44" s="26">
        <f t="shared" si="72"/>
        <v>697216.10513516434</v>
      </c>
      <c r="IS44" s="26">
        <f t="shared" si="73"/>
        <v>722042.90275456698</v>
      </c>
      <c r="IT44" s="26">
        <f t="shared" si="74"/>
        <v>748176.0483148098</v>
      </c>
      <c r="IU44" s="26">
        <f t="shared" si="75"/>
        <v>775696.01583880465</v>
      </c>
      <c r="IV44" s="26">
        <f t="shared" si="76"/>
        <v>804685.2477599727</v>
      </c>
      <c r="IW44" s="26">
        <f t="shared" si="77"/>
        <v>835237.99653933267</v>
      </c>
      <c r="IX44" s="26">
        <f t="shared" si="78"/>
        <v>867443.33255356306</v>
      </c>
      <c r="IY44" s="26">
        <f t="shared" si="79"/>
        <v>901392.47985749214</v>
      </c>
      <c r="IZ44" s="26">
        <f t="shared" si="80"/>
        <v>937236.74138272111</v>
      </c>
      <c r="JA44" s="26">
        <f t="shared" si="81"/>
        <v>975152.37051656586</v>
      </c>
      <c r="JB44" s="26">
        <f t="shared" si="82"/>
        <v>1015367.7142193587</v>
      </c>
      <c r="JC44" s="26">
        <f t="shared" si="83"/>
        <v>-1107075168600.6899</v>
      </c>
      <c r="JD44" s="26">
        <f t="shared" si="84"/>
        <v>155720.42132102657</v>
      </c>
      <c r="JE44" s="26">
        <f t="shared" si="85"/>
        <v>247416.42769222427</v>
      </c>
      <c r="JF44" s="26">
        <f t="shared" si="86"/>
        <v>342585.0718787213</v>
      </c>
      <c r="JG44" s="26">
        <f t="shared" si="87"/>
        <v>441470.21693232877</v>
      </c>
      <c r="JH44" s="26">
        <f t="shared" si="88"/>
        <v>544274.30874536256</v>
      </c>
      <c r="JI44" s="26">
        <f t="shared" si="89"/>
        <v>651182.38512474147</v>
      </c>
      <c r="JJ44" s="26">
        <f t="shared" si="90"/>
        <v>762373.22397652187</v>
      </c>
      <c r="JK44" s="26">
        <f t="shared" si="91"/>
        <v>878034.38197963242</v>
      </c>
      <c r="JL44" s="26">
        <f t="shared" si="92"/>
        <v>998363.20212663943</v>
      </c>
      <c r="JM44" s="26">
        <f t="shared" si="93"/>
        <v>1123579.7933351267</v>
      </c>
      <c r="JN44" s="26">
        <f t="shared" si="94"/>
        <v>1253911.4058230002</v>
      </c>
      <c r="JO44" s="26">
        <f t="shared" si="95"/>
        <v>1389591.3203385819</v>
      </c>
      <c r="JP44" s="26">
        <f t="shared" si="96"/>
        <v>1530876.541180321</v>
      </c>
      <c r="JQ44" s="26">
        <f t="shared" si="97"/>
        <v>1678017.5962036997</v>
      </c>
      <c r="JR44" s="26">
        <f t="shared" si="98"/>
        <v>1831271.8455452519</v>
      </c>
      <c r="JS44" s="26">
        <f t="shared" si="99"/>
        <v>1991005.3487285264</v>
      </c>
      <c r="JT44" s="26">
        <f t="shared" si="100"/>
        <v>2157630.4692361131</v>
      </c>
      <c r="JU44" s="26">
        <f t="shared" si="101"/>
        <v>2331653.3829499795</v>
      </c>
      <c r="JV44" s="26">
        <f t="shared" si="102"/>
        <v>-1107073713170.9048</v>
      </c>
      <c r="JW44" s="26">
        <f t="shared" si="103"/>
        <v>1755935.3930242029</v>
      </c>
      <c r="JX44" s="26" t="e">
        <f>AH44+$AG$38*0.004*(1+$R$28)*#REF!-S44*#REF!</f>
        <v>#REF!</v>
      </c>
      <c r="JY44" s="34">
        <f t="shared" si="104"/>
        <v>5.0907733035410699E-2</v>
      </c>
      <c r="JZ44" s="4">
        <f t="shared" si="105"/>
        <v>47952.580662356515</v>
      </c>
      <c r="KA44" s="165"/>
      <c r="KB44" s="163">
        <v>17</v>
      </c>
      <c r="KC44" s="163">
        <f>((1+0.035)^(-1))*(1-((1+0.035)^(-m-n+17)))/(1-((1+0.035)^(-1)))</f>
        <v>-5.3624658756249977</v>
      </c>
      <c r="KD44" s="163">
        <f>((1+0.035)^(-1))*(1-((1+0.035)^(-m-(n/2)+17/2)))/(1-((1+0.035)^(-1)))</f>
        <v>0</v>
      </c>
      <c r="KE44" s="61">
        <f>IF(KB44&lt;=n,VLOOKUP(A28+x,A28:KF139,279),0)</f>
        <v>0</v>
      </c>
      <c r="KF44" s="162">
        <f>IF(KB44&lt;=n,VLOOKUP(A28+x,A28:KF139,279),0)</f>
        <v>0</v>
      </c>
    </row>
    <row r="45" spans="1:293" ht="15.75" x14ac:dyDescent="0.3">
      <c r="A45" s="34">
        <v>44</v>
      </c>
      <c r="B45" s="34">
        <v>17</v>
      </c>
      <c r="C45" s="2">
        <v>987279</v>
      </c>
      <c r="D45" s="1">
        <f t="shared" si="106"/>
        <v>1113</v>
      </c>
      <c r="E45" s="145">
        <f t="shared" si="107"/>
        <v>0.99887265909636491</v>
      </c>
      <c r="F45" s="146">
        <f t="shared" si="108"/>
        <v>1.1273409036350879E-3</v>
      </c>
      <c r="G45" s="158">
        <f t="shared" si="3"/>
        <v>1.4091761295438598E-3</v>
      </c>
      <c r="H45" s="43">
        <f t="shared" si="109"/>
        <v>1386.7970635598872</v>
      </c>
      <c r="I45" s="43">
        <f t="shared" si="139"/>
        <v>984119.04266983538</v>
      </c>
      <c r="J45" s="43">
        <f t="shared" si="110"/>
        <v>986722.5</v>
      </c>
      <c r="K45" s="147">
        <f>SUM(J45:$J$138)</f>
        <v>56646786.5</v>
      </c>
      <c r="L45" s="147">
        <f t="shared" si="111"/>
        <v>57.376675185028752</v>
      </c>
      <c r="M45" s="43">
        <f t="shared" si="4"/>
        <v>1233403.125</v>
      </c>
      <c r="N45" s="148">
        <f t="shared" si="5"/>
        <v>70808483.125</v>
      </c>
      <c r="O45" s="147">
        <f t="shared" si="6"/>
        <v>71.720843981285938</v>
      </c>
      <c r="P45" s="157">
        <f t="shared" si="7"/>
        <v>548354.84998917021</v>
      </c>
      <c r="Q45" s="43">
        <f t="shared" si="8"/>
        <v>1234098.75</v>
      </c>
      <c r="R45" s="43">
        <f t="shared" si="9"/>
        <v>759.55074145799949</v>
      </c>
      <c r="S45" s="43">
        <f>SUM(R45:$R$138)</f>
        <v>101864.82425786875</v>
      </c>
      <c r="T45" s="43">
        <f t="shared" si="112"/>
        <v>4388361.980122502</v>
      </c>
      <c r="U45" s="153">
        <f>SUM(P45:$P$138)</f>
        <v>13254718.342243936</v>
      </c>
      <c r="V45" s="129">
        <f t="shared" si="10"/>
        <v>9801501.0660238042</v>
      </c>
      <c r="W45" s="43">
        <f t="shared" si="113"/>
        <v>425367.99114443822</v>
      </c>
      <c r="X45" s="26">
        <f t="shared" si="114"/>
        <v>6.2974135749657929</v>
      </c>
      <c r="Y45" s="26">
        <f t="shared" si="115"/>
        <v>0.77571665711142901</v>
      </c>
      <c r="Z45" s="43">
        <f t="shared" si="11"/>
        <v>95545.664271464426</v>
      </c>
      <c r="AA45" s="149">
        <f t="shared" si="116"/>
        <v>1.1523851729457895E-2</v>
      </c>
      <c r="AB45" s="150">
        <f t="shared" si="138"/>
        <v>12706363.492254766</v>
      </c>
      <c r="AC45" s="150">
        <f t="shared" si="117"/>
        <v>9376133.074879365</v>
      </c>
      <c r="AD45" s="26">
        <f t="shared" si="118"/>
        <v>6.073130232077224</v>
      </c>
      <c r="AE45" s="26">
        <f t="shared" si="12"/>
        <v>518805.98636982311</v>
      </c>
      <c r="AF45" s="43">
        <f t="shared" si="119"/>
        <v>82383.978786503823</v>
      </c>
      <c r="AG45" s="43">
        <f t="shared" si="13"/>
        <v>539682.97163302195</v>
      </c>
      <c r="AH45" s="27">
        <f t="shared" si="14"/>
        <v>89541.95021229866</v>
      </c>
      <c r="AI45" s="28">
        <f t="shared" si="120"/>
        <v>580304.27057314187</v>
      </c>
      <c r="AJ45" s="20">
        <f t="shared" si="15"/>
        <v>96281.666894944807</v>
      </c>
      <c r="AK45" s="3">
        <f t="shared" si="16"/>
        <v>8344.411130895216</v>
      </c>
      <c r="AL45" s="3"/>
      <c r="AM45" s="46">
        <f t="shared" si="121"/>
        <v>12706363.492254766</v>
      </c>
      <c r="AN45" s="46">
        <f t="shared" si="122"/>
        <v>12177298.640637327</v>
      </c>
      <c r="AO45" s="46">
        <f t="shared" si="122"/>
        <v>11666978.843601737</v>
      </c>
      <c r="AP45" s="3">
        <f t="shared" si="147"/>
        <v>11174833.676019788</v>
      </c>
      <c r="AQ45" s="3">
        <f t="shared" si="147"/>
        <v>10700269.162389321</v>
      </c>
      <c r="AR45" s="16">
        <f t="shared" si="147"/>
        <v>10242688.479080243</v>
      </c>
      <c r="AS45" s="16">
        <f t="shared" si="147"/>
        <v>9801501.0660238042</v>
      </c>
      <c r="AT45" s="16">
        <f t="shared" si="147"/>
        <v>9376133.074879365</v>
      </c>
      <c r="AU45" s="16">
        <f t="shared" si="147"/>
        <v>8966033.4692568444</v>
      </c>
      <c r="AV45" s="16">
        <f t="shared" si="147"/>
        <v>8570670.3942497224</v>
      </c>
      <c r="AW45" s="16">
        <f t="shared" si="147"/>
        <v>8189536.3769633677</v>
      </c>
      <c r="AX45" s="16">
        <f t="shared" si="147"/>
        <v>7822141.6503789313</v>
      </c>
      <c r="AY45" s="16">
        <f t="shared" si="147"/>
        <v>7468011.6649380811</v>
      </c>
      <c r="AZ45" s="16">
        <f t="shared" si="147"/>
        <v>7126689.7998479586</v>
      </c>
      <c r="BA45" s="16">
        <f t="shared" si="147"/>
        <v>6797732.2961992268</v>
      </c>
      <c r="BB45" s="16">
        <f t="shared" si="147"/>
        <v>6480708.0821750965</v>
      </c>
      <c r="BC45" s="16">
        <f t="shared" si="144"/>
        <v>6175211.3180029579</v>
      </c>
      <c r="BD45" s="16">
        <f t="shared" si="18"/>
        <v>5880859.0678085573</v>
      </c>
      <c r="BE45" s="16">
        <f t="shared" si="18"/>
        <v>5597293.2575317528</v>
      </c>
      <c r="BF45" s="16">
        <f t="shared" si="18"/>
        <v>5324164.9250815194</v>
      </c>
      <c r="BG45" s="16">
        <f t="shared" si="18"/>
        <v>5061143.1109308824</v>
      </c>
      <c r="BH45" s="172">
        <f t="shared" si="123"/>
        <v>529064.85161743569</v>
      </c>
      <c r="BI45" s="16">
        <f t="shared" si="148"/>
        <v>510319.79703559174</v>
      </c>
      <c r="BJ45" s="16">
        <f t="shared" si="148"/>
        <v>492145.1675819463</v>
      </c>
      <c r="BK45" s="16">
        <f t="shared" si="148"/>
        <v>474564.51363046817</v>
      </c>
      <c r="BL45" s="16">
        <f t="shared" si="148"/>
        <v>457580.68330907432</v>
      </c>
      <c r="BM45" s="16">
        <f t="shared" si="148"/>
        <v>441187.41305644001</v>
      </c>
      <c r="BN45" s="16">
        <f t="shared" si="148"/>
        <v>425367.99114443822</v>
      </c>
      <c r="BO45" s="16">
        <f t="shared" si="148"/>
        <v>410099.60562251828</v>
      </c>
      <c r="BP45" s="16">
        <f t="shared" si="148"/>
        <v>395363.07500712067</v>
      </c>
      <c r="BQ45" s="16">
        <f t="shared" si="148"/>
        <v>381134.01728635549</v>
      </c>
      <c r="BR45" s="16">
        <f t="shared" si="148"/>
        <v>367394.72658443713</v>
      </c>
      <c r="BS45" s="16">
        <f t="shared" si="148"/>
        <v>354129.98544085148</v>
      </c>
      <c r="BT45" s="16">
        <f t="shared" si="148"/>
        <v>341321.86509012192</v>
      </c>
      <c r="BU45" s="16">
        <f t="shared" si="148"/>
        <v>328957.50364873186</v>
      </c>
      <c r="BV45" s="16">
        <f t="shared" si="148"/>
        <v>317024.21402412985</v>
      </c>
      <c r="BW45" s="16">
        <f t="shared" si="148"/>
        <v>305496.76417213847</v>
      </c>
      <c r="BX45" s="16">
        <f t="shared" si="148"/>
        <v>294352.25019440131</v>
      </c>
      <c r="BY45" s="16">
        <f t="shared" si="149"/>
        <v>283565.81027680589</v>
      </c>
      <c r="BZ45" s="16">
        <f t="shared" si="149"/>
        <v>273128.33245023253</v>
      </c>
      <c r="CA45" s="16">
        <f t="shared" si="149"/>
        <v>263021.81415063736</v>
      </c>
      <c r="CB45" s="16">
        <f t="shared" si="149"/>
        <v>253235.28071432526</v>
      </c>
      <c r="CC45" s="18">
        <f t="shared" si="124"/>
        <v>5.4905602164844884</v>
      </c>
      <c r="CD45" s="18">
        <f t="shared" si="124"/>
        <v>4.6555073669772309</v>
      </c>
      <c r="CE45" s="18">
        <f t="shared" si="124"/>
        <v>3.7905030882322239</v>
      </c>
      <c r="CF45" s="18">
        <f t="shared" si="124"/>
        <v>2.893879695070003</v>
      </c>
      <c r="CG45" s="18">
        <f t="shared" si="124"/>
        <v>1.9641740334533337</v>
      </c>
      <c r="CH45" s="18">
        <f t="shared" si="150"/>
        <v>0.99999999999999722</v>
      </c>
      <c r="CI45" s="18">
        <f t="shared" si="150"/>
        <v>0</v>
      </c>
      <c r="CJ45" s="18">
        <f t="shared" si="150"/>
        <v>-1.0372309197877525</v>
      </c>
      <c r="CK45" s="18">
        <f t="shared" si="150"/>
        <v>-2.1131654663296837</v>
      </c>
      <c r="CL45" s="18">
        <f t="shared" si="151"/>
        <v>-3.2293907548255607</v>
      </c>
      <c r="CM45" s="18">
        <f t="shared" si="151"/>
        <v>-4.3875553251577877</v>
      </c>
      <c r="CN45" s="18">
        <f t="shared" si="151"/>
        <v>-5.5893584192843653</v>
      </c>
      <c r="CO45" s="18">
        <f t="shared" si="151"/>
        <v>-6.8366244291721348</v>
      </c>
      <c r="CP45" s="18">
        <f t="shared" si="152"/>
        <v>-8.1311757187702529</v>
      </c>
      <c r="CQ45" s="18">
        <f t="shared" si="153"/>
        <v>-9.4748875226166476</v>
      </c>
      <c r="CR45" s="18">
        <f t="shared" si="154"/>
        <v>-10.870141269246107</v>
      </c>
      <c r="CS45" s="18">
        <f t="shared" si="142"/>
        <v>-12.319558439338948</v>
      </c>
      <c r="CT45" s="18">
        <f t="shared" si="125"/>
        <v>-13.826215489053737</v>
      </c>
      <c r="CU45" s="18">
        <f t="shared" si="125"/>
        <v>-15.392792724123968</v>
      </c>
      <c r="CV45" s="18">
        <f t="shared" si="125"/>
        <v>-17.02267986935119</v>
      </c>
      <c r="CW45" s="18">
        <f t="shared" si="22"/>
        <v>-18.719184553279209</v>
      </c>
      <c r="CX45" s="17">
        <f t="shared" si="23"/>
        <v>868.78863929983038</v>
      </c>
      <c r="CY45" s="17">
        <f t="shared" si="126"/>
        <v>933.35534213147969</v>
      </c>
      <c r="CZ45" s="17">
        <f t="shared" si="126"/>
        <v>954.33867793456591</v>
      </c>
      <c r="DA45" s="17">
        <f t="shared" si="126"/>
        <v>951.98985991150846</v>
      </c>
      <c r="DB45" s="17">
        <f t="shared" si="126"/>
        <v>935.48067603793174</v>
      </c>
      <c r="DC45" s="17">
        <f t="shared" si="126"/>
        <v>915.65604963103942</v>
      </c>
      <c r="DD45" s="17">
        <f t="shared" si="126"/>
        <v>899.29697454822428</v>
      </c>
      <c r="DE45" s="17">
        <f t="shared" si="126"/>
        <v>883.49479936321018</v>
      </c>
      <c r="DF45" s="3" t="e">
        <f>#REF!+$AG$35*0.004*(1+$R$28)*#REF!-S45*#REF!</f>
        <v>#REF!</v>
      </c>
      <c r="DG45" s="19">
        <f t="shared" si="25"/>
        <v>1694.062592089474</v>
      </c>
      <c r="DH45" s="19">
        <f t="shared" si="26"/>
        <v>1633.1143495004249</v>
      </c>
      <c r="DI45" s="19">
        <f t="shared" si="27"/>
        <v>1524.0808068515485</v>
      </c>
      <c r="DJ45" s="19">
        <f t="shared" si="28"/>
        <v>1386.9625112773581</v>
      </c>
      <c r="DK45" s="19">
        <f t="shared" si="29"/>
        <v>1230.7113273088321</v>
      </c>
      <c r="DL45" s="19">
        <f t="shared" si="30"/>
        <v>1065.9638361319314</v>
      </c>
      <c r="DM45" s="19">
        <f t="shared" si="31"/>
        <v>899.29697454822428</v>
      </c>
      <c r="DN45" s="19">
        <f t="shared" si="32"/>
        <v>727.59091571962847</v>
      </c>
      <c r="DO45" s="173">
        <f t="shared" si="127"/>
        <v>101105.27351641076</v>
      </c>
      <c r="DP45" s="25">
        <f t="shared" si="155"/>
        <v>100236.48487711092</v>
      </c>
      <c r="DQ45" s="26">
        <f t="shared" si="155"/>
        <v>99303.129534979467</v>
      </c>
      <c r="DR45" s="26">
        <f t="shared" si="155"/>
        <v>98348.790857044893</v>
      </c>
      <c r="DS45" s="26">
        <f t="shared" si="155"/>
        <v>97396.800997133396</v>
      </c>
      <c r="DT45" s="26">
        <f t="shared" si="155"/>
        <v>96461.320321095467</v>
      </c>
      <c r="DU45" s="26">
        <f t="shared" si="155"/>
        <v>95545.664271464426</v>
      </c>
      <c r="DV45" s="26">
        <f t="shared" si="155"/>
        <v>94646.3672969162</v>
      </c>
      <c r="DW45" s="26">
        <f t="shared" si="155"/>
        <v>93762.872497552977</v>
      </c>
      <c r="DX45" s="26">
        <f t="shared" si="155"/>
        <v>92888.672315653326</v>
      </c>
      <c r="DY45" s="26">
        <f t="shared" si="155"/>
        <v>92023.212339849706</v>
      </c>
      <c r="DZ45" s="26">
        <f t="shared" si="155"/>
        <v>91167.860609376687</v>
      </c>
      <c r="EA45" s="26">
        <f t="shared" si="155"/>
        <v>90320.703290559817</v>
      </c>
      <c r="EB45" s="26">
        <f t="shared" si="155"/>
        <v>89484.364534015098</v>
      </c>
      <c r="EC45" s="26">
        <f t="shared" si="155"/>
        <v>88661.203824896802</v>
      </c>
      <c r="ED45" s="26">
        <f t="shared" si="155"/>
        <v>87840.381572520157</v>
      </c>
      <c r="EE45" s="26">
        <f t="shared" si="145"/>
        <v>87012.558663059375</v>
      </c>
      <c r="EF45" s="26">
        <f t="shared" si="34"/>
        <v>86165.616132443218</v>
      </c>
      <c r="EG45" s="26">
        <f t="shared" si="34"/>
        <v>85302.60278943798</v>
      </c>
      <c r="EH45" s="26">
        <f t="shared" si="34"/>
        <v>84417.209120336134</v>
      </c>
      <c r="EI45" s="26">
        <f t="shared" si="34"/>
        <v>83509.656097891071</v>
      </c>
      <c r="EJ45" s="26">
        <f t="shared" si="128"/>
        <v>1.0508370056997209E-2</v>
      </c>
      <c r="EK45" s="26">
        <f t="shared" si="128"/>
        <v>9.1919236386577858E-3</v>
      </c>
      <c r="EL45" s="26">
        <f t="shared" si="156"/>
        <v>7.6348718041397649E-3</v>
      </c>
      <c r="EM45" s="26">
        <f t="shared" si="156"/>
        <v>5.9067345009348789E-3</v>
      </c>
      <c r="EN45" s="26">
        <f t="shared" si="156"/>
        <v>4.0454870434699138E-3</v>
      </c>
      <c r="EO45" s="26">
        <f t="shared" si="156"/>
        <v>2.0754355689515188E-3</v>
      </c>
      <c r="EP45" s="26">
        <f t="shared" si="156"/>
        <v>0</v>
      </c>
      <c r="EQ45" s="26">
        <f t="shared" si="156"/>
        <v>-2.1928745168704111E-3</v>
      </c>
      <c r="ER45" s="26">
        <f t="shared" si="156"/>
        <v>-4.5092520941146068E-3</v>
      </c>
      <c r="ES45" s="26">
        <f t="shared" si="156"/>
        <v>-6.9712800099258404E-3</v>
      </c>
      <c r="ET45" s="26">
        <f t="shared" si="156"/>
        <v>-9.58764967685285E-3</v>
      </c>
      <c r="EU45" s="26">
        <f t="shared" si="156"/>
        <v>-1.236213775187061E-2</v>
      </c>
      <c r="EV45" s="26">
        <f t="shared" si="156"/>
        <v>-1.5308017198151138E-2</v>
      </c>
      <c r="EW45" s="26">
        <f t="shared" si="156"/>
        <v>-1.8425783483333211E-2</v>
      </c>
      <c r="EX45" s="26">
        <f t="shared" si="156"/>
        <v>-2.1715882074684754E-2</v>
      </c>
      <c r="EY45" s="26">
        <f t="shared" si="156"/>
        <v>-2.5222141778898085E-2</v>
      </c>
      <c r="EZ45" s="26">
        <f t="shared" si="146"/>
        <v>-2.8989435626089036E-2</v>
      </c>
      <c r="FA45" s="26">
        <f t="shared" si="37"/>
        <v>-3.307891078217353E-2</v>
      </c>
      <c r="FB45" s="26">
        <f t="shared" si="37"/>
        <v>-3.7502742356078575E-2</v>
      </c>
      <c r="FC45" s="26">
        <f t="shared" si="37"/>
        <v>-4.2310008343090601E-2</v>
      </c>
      <c r="FD45" s="26">
        <f t="shared" si="37"/>
        <v>-4.7528954652851778E-2</v>
      </c>
      <c r="FE45" s="26">
        <f t="shared" si="130"/>
        <v>5.2945599338046208</v>
      </c>
      <c r="FF45" s="26">
        <f t="shared" si="130"/>
        <v>4.4890395826885774</v>
      </c>
      <c r="FG45" s="26">
        <f t="shared" si="130"/>
        <v>3.6548171548203285</v>
      </c>
      <c r="FH45" s="26">
        <f t="shared" si="130"/>
        <v>2.7902130257911124</v>
      </c>
      <c r="FI45" s="26">
        <f t="shared" si="130"/>
        <v>1.893776192504963</v>
      </c>
      <c r="FJ45" s="26">
        <f t="shared" si="157"/>
        <v>0.96414353301149802</v>
      </c>
      <c r="FK45" s="26">
        <f t="shared" si="157"/>
        <v>0</v>
      </c>
      <c r="FL45" s="26">
        <f t="shared" si="157"/>
        <v>-1.0000000000000058</v>
      </c>
      <c r="FM45" s="26">
        <f t="shared" si="157"/>
        <v>-2.0372734115727322</v>
      </c>
      <c r="FN45" s="26">
        <f t="shared" si="157"/>
        <v>-3.113331909768835</v>
      </c>
      <c r="FO45" s="26">
        <f t="shared" si="157"/>
        <v>-4.2297597435527834</v>
      </c>
      <c r="FP45" s="26">
        <f t="shared" si="158"/>
        <v>-5.3881949803428544</v>
      </c>
      <c r="FQ45" s="26">
        <f t="shared" si="158"/>
        <v>-6.5903872710805329</v>
      </c>
      <c r="FR45" s="26">
        <f t="shared" si="158"/>
        <v>-7.8380968668628155</v>
      </c>
      <c r="FS45" s="26">
        <f t="shared" si="158"/>
        <v>-9.1331351506288652</v>
      </c>
      <c r="FT45" s="26">
        <f t="shared" si="159"/>
        <v>-10.477759938147107</v>
      </c>
      <c r="FU45" s="26">
        <f t="shared" si="143"/>
        <v>-11.874459953210472</v>
      </c>
      <c r="FV45" s="26">
        <f t="shared" si="131"/>
        <v>-13.326147512843161</v>
      </c>
      <c r="FW45" s="26">
        <f t="shared" si="131"/>
        <v>-14.835400316941364</v>
      </c>
      <c r="FX45" s="26">
        <f t="shared" si="39"/>
        <v>8966033.4692568444</v>
      </c>
      <c r="FY45" s="26">
        <f t="shared" si="40"/>
        <v>395363.07500712067</v>
      </c>
      <c r="FZ45" s="26">
        <f t="shared" si="132"/>
        <v>0.80399971732013642</v>
      </c>
      <c r="GA45" s="26">
        <f t="shared" si="160"/>
        <v>0.83353221571134029</v>
      </c>
      <c r="GB45" s="26">
        <f t="shared" si="132"/>
        <v>0.86431406658810861</v>
      </c>
      <c r="GC45" s="26">
        <f t="shared" si="132"/>
        <v>0.89633333072110388</v>
      </c>
      <c r="GD45" s="26">
        <f t="shared" si="132"/>
        <v>0.92960215905163568</v>
      </c>
      <c r="GE45" s="26">
        <f t="shared" si="161"/>
        <v>0.9641435330114958</v>
      </c>
      <c r="GF45" s="26">
        <f t="shared" si="161"/>
        <v>1</v>
      </c>
      <c r="GG45" s="26">
        <f t="shared" si="161"/>
        <v>1.0372309197877501</v>
      </c>
      <c r="GH45" s="26">
        <f t="shared" si="161"/>
        <v>1.0758920547569526</v>
      </c>
      <c r="GI45" s="26">
        <f t="shared" si="161"/>
        <v>1.1160588450567208</v>
      </c>
      <c r="GJ45" s="26">
        <f t="shared" si="161"/>
        <v>1.1577955816049996</v>
      </c>
      <c r="GK45" s="26">
        <f t="shared" si="162"/>
        <v>1.2011634389415049</v>
      </c>
      <c r="GL45" s="26">
        <f t="shared" si="162"/>
        <v>1.2462371580916005</v>
      </c>
      <c r="GM45" s="26">
        <f t="shared" si="162"/>
        <v>1.2930788519074354</v>
      </c>
      <c r="GN45" s="26">
        <f t="shared" si="162"/>
        <v>1.3417523719877811</v>
      </c>
      <c r="GO45" s="26">
        <f t="shared" si="163"/>
        <v>1.3923813310989959</v>
      </c>
      <c r="GP45" s="26">
        <f t="shared" si="140"/>
        <v>1.4450984861284708</v>
      </c>
      <c r="GQ45" s="26">
        <f t="shared" si="134"/>
        <v>1.5000679762105684</v>
      </c>
      <c r="GR45" s="26">
        <f t="shared" si="134"/>
        <v>1.5573924071826042</v>
      </c>
      <c r="GS45" s="26">
        <f t="shared" si="134"/>
        <v>1.6172346484570372</v>
      </c>
      <c r="GT45" s="26">
        <f t="shared" si="134"/>
        <v>1.6797343164213201</v>
      </c>
      <c r="GU45" s="26">
        <f t="shared" si="135"/>
        <v>5.4905602164844884</v>
      </c>
      <c r="GV45" s="26">
        <f t="shared" si="164"/>
        <v>4.6555073669772309</v>
      </c>
      <c r="GW45" s="26">
        <f t="shared" si="135"/>
        <v>3.7905030882322239</v>
      </c>
      <c r="GX45" s="26">
        <f t="shared" si="135"/>
        <v>2.893879695070003</v>
      </c>
      <c r="GY45" s="26">
        <f t="shared" si="135"/>
        <v>1.9641740334533337</v>
      </c>
      <c r="GZ45" s="26">
        <f t="shared" si="165"/>
        <v>0.99999999999999722</v>
      </c>
      <c r="HA45" s="26">
        <f t="shared" si="165"/>
        <v>0</v>
      </c>
      <c r="HB45" s="26">
        <f t="shared" si="165"/>
        <v>-1.0372309197877525</v>
      </c>
      <c r="HC45" s="26">
        <f t="shared" si="165"/>
        <v>-2.1131654663296837</v>
      </c>
      <c r="HD45" s="26">
        <f t="shared" si="165"/>
        <v>-3.2293907548255607</v>
      </c>
      <c r="HE45" s="26">
        <f t="shared" si="165"/>
        <v>-4.3875553251577877</v>
      </c>
      <c r="HF45" s="26">
        <f t="shared" si="166"/>
        <v>-5.5893584192843653</v>
      </c>
      <c r="HG45" s="26">
        <f t="shared" si="166"/>
        <v>-6.8366244291721348</v>
      </c>
      <c r="HH45" s="26">
        <f t="shared" si="166"/>
        <v>-8.1311757187702529</v>
      </c>
      <c r="HI45" s="26">
        <f t="shared" si="166"/>
        <v>-9.4748875226166476</v>
      </c>
      <c r="HJ45" s="26">
        <f t="shared" si="167"/>
        <v>-10.870141269246107</v>
      </c>
      <c r="HK45" s="26">
        <f t="shared" si="141"/>
        <v>-12.319558439338948</v>
      </c>
      <c r="HL45" s="26">
        <f t="shared" si="137"/>
        <v>-13.826215489053737</v>
      </c>
      <c r="HM45" s="26">
        <f t="shared" si="137"/>
        <v>-15.392792724123968</v>
      </c>
      <c r="HN45" s="26">
        <f t="shared" si="137"/>
        <v>-17.02267986935119</v>
      </c>
      <c r="HO45" s="26">
        <f t="shared" si="137"/>
        <v>-18.719184553279209</v>
      </c>
      <c r="HP45" s="26">
        <f t="shared" si="44"/>
        <v>517718.00911380991</v>
      </c>
      <c r="HQ45" s="26">
        <f t="shared" si="45"/>
        <v>534850.02772578655</v>
      </c>
      <c r="HR45" s="26">
        <f t="shared" si="46"/>
        <v>552653.57895813882</v>
      </c>
      <c r="HS45" s="26">
        <f t="shared" si="47"/>
        <v>571227.63680785894</v>
      </c>
      <c r="HT45" s="26">
        <f t="shared" si="48"/>
        <v>590642.55438949412</v>
      </c>
      <c r="HU45" s="26">
        <f t="shared" si="49"/>
        <v>610955.58435794036</v>
      </c>
      <c r="HV45" s="26">
        <f t="shared" si="50"/>
        <v>632215.9078880985</v>
      </c>
      <c r="HW45" s="26">
        <f t="shared" si="51"/>
        <v>654473.51563259144</v>
      </c>
      <c r="HX45" s="26">
        <f t="shared" si="52"/>
        <v>677782.64542598114</v>
      </c>
      <c r="HY45" s="26">
        <f t="shared" si="53"/>
        <v>702205.73008047615</v>
      </c>
      <c r="HZ45" s="26">
        <f t="shared" si="54"/>
        <v>727808.87679343752</v>
      </c>
      <c r="IA45" s="26">
        <f t="shared" si="55"/>
        <v>754660.00357278099</v>
      </c>
      <c r="IB45" s="26">
        <f t="shared" si="56"/>
        <v>782836.39763530751</v>
      </c>
      <c r="IC45" s="26">
        <f t="shared" si="57"/>
        <v>812411.25792148826</v>
      </c>
      <c r="ID45" s="26">
        <f t="shared" si="58"/>
        <v>843459.09828450438</v>
      </c>
      <c r="IE45" s="26">
        <f t="shared" si="59"/>
        <v>876105.05835632712</v>
      </c>
      <c r="IF45" s="26">
        <f t="shared" si="60"/>
        <v>910496.64921952435</v>
      </c>
      <c r="IG45" s="26">
        <f t="shared" si="61"/>
        <v>946827.34007887205</v>
      </c>
      <c r="IH45" s="26">
        <f t="shared" si="62"/>
        <v>985242.5452309493</v>
      </c>
      <c r="II45" s="26">
        <f t="shared" si="63"/>
        <v>-1027818652944.5024</v>
      </c>
      <c r="IJ45" s="26">
        <f t="shared" si="64"/>
        <v>537576.07377169037</v>
      </c>
      <c r="IK45" s="26">
        <f t="shared" si="65"/>
        <v>554363.13743500225</v>
      </c>
      <c r="IL45" s="26">
        <f t="shared" si="66"/>
        <v>571890.09548708773</v>
      </c>
      <c r="IM45" s="26">
        <f t="shared" si="67"/>
        <v>590263.64668120979</v>
      </c>
      <c r="IN45" s="26">
        <f t="shared" si="68"/>
        <v>609561.62046060886</v>
      </c>
      <c r="IO45" s="26">
        <f t="shared" si="69"/>
        <v>629848.86185259803</v>
      </c>
      <c r="IP45" s="26">
        <f t="shared" si="70"/>
        <v>651182.38512474147</v>
      </c>
      <c r="IQ45" s="26">
        <f t="shared" si="71"/>
        <v>673620.49567499978</v>
      </c>
      <c r="IR45" s="26">
        <f t="shared" si="72"/>
        <v>697226.35106393392</v>
      </c>
      <c r="IS45" s="26">
        <f t="shared" si="73"/>
        <v>722072.04488546622</v>
      </c>
      <c r="IT45" s="26">
        <f t="shared" si="74"/>
        <v>748234.0157438626</v>
      </c>
      <c r="IU45" s="26">
        <f t="shared" si="75"/>
        <v>775791.16736609838</v>
      </c>
      <c r="IV45" s="26">
        <f t="shared" si="76"/>
        <v>804832.67292234174</v>
      </c>
      <c r="IW45" s="26">
        <f t="shared" si="77"/>
        <v>835444.19127888163</v>
      </c>
      <c r="IX45" s="26">
        <f t="shared" si="78"/>
        <v>867713.45085915772</v>
      </c>
      <c r="IY45" s="26">
        <f t="shared" si="79"/>
        <v>901781.05500740395</v>
      </c>
      <c r="IZ45" s="26">
        <f t="shared" si="80"/>
        <v>937811.54869611014</v>
      </c>
      <c r="JA45" s="26">
        <f t="shared" si="81"/>
        <v>976017.82627357182</v>
      </c>
      <c r="JB45" s="26">
        <f t="shared" si="82"/>
        <v>1016564.3684615028</v>
      </c>
      <c r="JC45" s="26">
        <f t="shared" si="83"/>
        <v>-1058653209580.2905</v>
      </c>
      <c r="JD45" s="26">
        <f t="shared" si="84"/>
        <v>155390.12726815051</v>
      </c>
      <c r="JE45" s="26">
        <f t="shared" si="85"/>
        <v>247047.21415347216</v>
      </c>
      <c r="JF45" s="26">
        <f t="shared" si="86"/>
        <v>342260.62531504111</v>
      </c>
      <c r="JG45" s="26">
        <f t="shared" si="87"/>
        <v>441233.58124900726</v>
      </c>
      <c r="JH45" s="26">
        <f t="shared" si="88"/>
        <v>544149.71486018342</v>
      </c>
      <c r="JI45" s="26">
        <f t="shared" si="89"/>
        <v>651182.38512474147</v>
      </c>
      <c r="JJ45" s="26">
        <f t="shared" si="90"/>
        <v>762510.30073496804</v>
      </c>
      <c r="JK45" s="26">
        <f t="shared" si="91"/>
        <v>878322.82898221631</v>
      </c>
      <c r="JL45" s="26">
        <f t="shared" si="92"/>
        <v>998828.07787920733</v>
      </c>
      <c r="JM45" s="26">
        <f t="shared" si="93"/>
        <v>1124243.7644919122</v>
      </c>
      <c r="JN45" s="26">
        <f t="shared" si="94"/>
        <v>1254794.4161336403</v>
      </c>
      <c r="JO45" s="26">
        <f t="shared" si="95"/>
        <v>1390725.5548098986</v>
      </c>
      <c r="JP45" s="26">
        <f t="shared" si="96"/>
        <v>1532279.0144229275</v>
      </c>
      <c r="JQ45" s="26">
        <f t="shared" si="97"/>
        <v>1679703.2293964787</v>
      </c>
      <c r="JR45" s="26">
        <f t="shared" si="98"/>
        <v>1833342.8894688403</v>
      </c>
      <c r="JS45" s="26">
        <f t="shared" si="99"/>
        <v>1993587.1982706632</v>
      </c>
      <c r="JT45" s="26">
        <f t="shared" si="100"/>
        <v>2160912.6998187904</v>
      </c>
      <c r="JU45" s="26">
        <f t="shared" si="101"/>
        <v>2335713.5747499759</v>
      </c>
      <c r="JV45" s="26">
        <f t="shared" si="102"/>
        <v>-1058651750751.1461</v>
      </c>
      <c r="JW45" s="26">
        <f t="shared" si="103"/>
        <v>1759608.2758777663</v>
      </c>
      <c r="JX45" s="26" t="e">
        <f>AH45+$AG$38*0.004*(1+$R$28)*#REF!-S45*#REF!</f>
        <v>#REF!</v>
      </c>
      <c r="JY45" s="34">
        <f t="shared" si="104"/>
        <v>5.1127340903635091E-2</v>
      </c>
      <c r="JZ45" s="4">
        <f t="shared" si="105"/>
        <v>47769.196577777504</v>
      </c>
      <c r="KA45" s="165"/>
      <c r="KB45" s="163">
        <v>18</v>
      </c>
      <c r="KC45" s="163">
        <f>((1+0.035)^(-1))*(1-((1+0.035)^(-m-n+18)))/(1-((1+0.035)^(-1)))</f>
        <v>-6.5501521812718773</v>
      </c>
      <c r="KD45" s="163">
        <f>((1+0.035)^(-1))*(1-((1+0.035)^(-m-(n/2)+18/2)))/(1-((1+0.035)^(-1)))</f>
        <v>-0.49569992767972165</v>
      </c>
      <c r="KE45" s="61">
        <f>IF(KB45&lt;=n,VLOOKUP(A28+x,A28:KF139,280),0)</f>
        <v>0</v>
      </c>
      <c r="KF45" s="162">
        <f>IF(KB45&lt;=n,VLOOKUP(A28+x,A28:KF139,280),0)</f>
        <v>0</v>
      </c>
    </row>
    <row r="46" spans="1:293" ht="15.75" x14ac:dyDescent="0.3">
      <c r="A46" s="34">
        <v>45</v>
      </c>
      <c r="B46" s="34">
        <v>18</v>
      </c>
      <c r="C46" s="2">
        <v>986166</v>
      </c>
      <c r="D46" s="1">
        <f t="shared" si="106"/>
        <v>1318</v>
      </c>
      <c r="E46" s="145">
        <f t="shared" si="107"/>
        <v>0.99866351101133077</v>
      </c>
      <c r="F46" s="146">
        <f t="shared" si="108"/>
        <v>1.3364889886692266E-3</v>
      </c>
      <c r="G46" s="158">
        <f t="shared" si="3"/>
        <v>1.6706112358365333E-3</v>
      </c>
      <c r="H46" s="43">
        <f t="shared" si="109"/>
        <v>1641.7635313287115</v>
      </c>
      <c r="I46" s="43">
        <f t="shared" si="139"/>
        <v>982732.24560627551</v>
      </c>
      <c r="J46" s="43">
        <f t="shared" si="110"/>
        <v>985507</v>
      </c>
      <c r="K46" s="147">
        <f>SUM(J46:$J$138)</f>
        <v>55660064</v>
      </c>
      <c r="L46" s="147">
        <f t="shared" si="111"/>
        <v>56.440866953433805</v>
      </c>
      <c r="M46" s="43">
        <f t="shared" si="4"/>
        <v>1231883.75</v>
      </c>
      <c r="N46" s="148">
        <f t="shared" si="5"/>
        <v>69575080</v>
      </c>
      <c r="O46" s="147">
        <f t="shared" si="6"/>
        <v>70.551083691792257</v>
      </c>
      <c r="P46" s="157">
        <f t="shared" si="7"/>
        <v>529064.85161743569</v>
      </c>
      <c r="Q46" s="43">
        <f t="shared" si="8"/>
        <v>1232707.5</v>
      </c>
      <c r="R46" s="43">
        <f t="shared" si="9"/>
        <v>868.78863929983038</v>
      </c>
      <c r="S46" s="43">
        <f>SUM(R46:$R$138)</f>
        <v>101105.27351641076</v>
      </c>
      <c r="T46" s="43">
        <f t="shared" si="112"/>
        <v>4286497.1558646336</v>
      </c>
      <c r="U46" s="153">
        <f>SUM(P46:$P$138)</f>
        <v>12706363.492254766</v>
      </c>
      <c r="V46" s="129">
        <f t="shared" si="10"/>
        <v>9376133.074879365</v>
      </c>
      <c r="W46" s="43">
        <f t="shared" si="113"/>
        <v>410099.60562251828</v>
      </c>
      <c r="X46" s="26">
        <f t="shared" si="114"/>
        <v>6.294559933804627</v>
      </c>
      <c r="Y46" s="26">
        <f t="shared" si="115"/>
        <v>0.77514052269542821</v>
      </c>
      <c r="Z46" s="43">
        <f t="shared" si="11"/>
        <v>94646.3672969162</v>
      </c>
      <c r="AA46" s="149">
        <f t="shared" si="116"/>
        <v>1.2208155956209624E-2</v>
      </c>
      <c r="AB46" s="150">
        <f t="shared" si="138"/>
        <v>12177298.640637327</v>
      </c>
      <c r="AC46" s="150">
        <f t="shared" si="117"/>
        <v>8966033.4692568444</v>
      </c>
      <c r="AD46" s="26">
        <f t="shared" si="118"/>
        <v>6.0697004565000539</v>
      </c>
      <c r="AE46" s="26">
        <f t="shared" si="12"/>
        <v>519172.33490269934</v>
      </c>
      <c r="AF46" s="43">
        <f t="shared" si="119"/>
        <v>82479.528412226195</v>
      </c>
      <c r="AG46" s="43">
        <f t="shared" si="13"/>
        <v>540057.90315082239</v>
      </c>
      <c r="AH46" s="27">
        <f t="shared" si="14"/>
        <v>89640.366326792704</v>
      </c>
      <c r="AI46" s="28">
        <f t="shared" si="120"/>
        <v>580707.42274281976</v>
      </c>
      <c r="AJ46" s="20">
        <f t="shared" si="15"/>
        <v>96387.490673970649</v>
      </c>
      <c r="AK46" s="3">
        <f t="shared" si="16"/>
        <v>8353.582525077456</v>
      </c>
      <c r="AL46" s="3"/>
      <c r="AM46" s="46">
        <f t="shared" si="121"/>
        <v>12177298.640637327</v>
      </c>
      <c r="AN46" s="46">
        <f t="shared" si="122"/>
        <v>11666978.843601737</v>
      </c>
      <c r="AO46" s="46">
        <f t="shared" si="122"/>
        <v>11174833.676019788</v>
      </c>
      <c r="AP46" s="3">
        <f t="shared" si="147"/>
        <v>10700269.162389321</v>
      </c>
      <c r="AQ46" s="3">
        <f t="shared" si="147"/>
        <v>10242688.479080243</v>
      </c>
      <c r="AR46" s="16">
        <f t="shared" si="147"/>
        <v>9801501.0660238042</v>
      </c>
      <c r="AS46" s="16">
        <f t="shared" si="147"/>
        <v>9376133.074879365</v>
      </c>
      <c r="AT46" s="16">
        <f t="shared" si="147"/>
        <v>8966033.4692568444</v>
      </c>
      <c r="AU46" s="16">
        <f t="shared" si="147"/>
        <v>8570670.3942497224</v>
      </c>
      <c r="AV46" s="16">
        <f t="shared" si="147"/>
        <v>8189536.3769633677</v>
      </c>
      <c r="AW46" s="16">
        <f t="shared" si="147"/>
        <v>7822141.6503789313</v>
      </c>
      <c r="AX46" s="16">
        <f t="shared" si="147"/>
        <v>7468011.6649380811</v>
      </c>
      <c r="AY46" s="16">
        <f t="shared" si="147"/>
        <v>7126689.7998479586</v>
      </c>
      <c r="AZ46" s="16">
        <f t="shared" si="147"/>
        <v>6797732.2961992268</v>
      </c>
      <c r="BA46" s="16">
        <f t="shared" si="147"/>
        <v>6480708.0821750965</v>
      </c>
      <c r="BB46" s="16">
        <f t="shared" si="147"/>
        <v>6175211.3180029579</v>
      </c>
      <c r="BC46" s="16">
        <f t="shared" si="144"/>
        <v>5880859.0678085573</v>
      </c>
      <c r="BD46" s="16">
        <f t="shared" si="18"/>
        <v>5597293.2575317528</v>
      </c>
      <c r="BE46" s="16">
        <f t="shared" si="18"/>
        <v>5324164.9250815194</v>
      </c>
      <c r="BF46" s="16">
        <f t="shared" si="18"/>
        <v>5061143.1109308824</v>
      </c>
      <c r="BG46" s="16">
        <f t="shared" si="18"/>
        <v>4807907.8302165577</v>
      </c>
      <c r="BH46" s="172">
        <f t="shared" si="123"/>
        <v>510319.79703559174</v>
      </c>
      <c r="BI46" s="16">
        <f t="shared" si="148"/>
        <v>492145.1675819463</v>
      </c>
      <c r="BJ46" s="16">
        <f t="shared" si="148"/>
        <v>474564.51363046817</v>
      </c>
      <c r="BK46" s="16">
        <f t="shared" si="148"/>
        <v>457580.68330907432</v>
      </c>
      <c r="BL46" s="16">
        <f t="shared" si="148"/>
        <v>441187.41305644001</v>
      </c>
      <c r="BM46" s="16">
        <f t="shared" si="148"/>
        <v>425367.99114443822</v>
      </c>
      <c r="BN46" s="16">
        <f t="shared" si="148"/>
        <v>410099.60562251828</v>
      </c>
      <c r="BO46" s="16">
        <f t="shared" si="148"/>
        <v>395363.07500712067</v>
      </c>
      <c r="BP46" s="16">
        <f t="shared" si="148"/>
        <v>381134.01728635549</v>
      </c>
      <c r="BQ46" s="16">
        <f t="shared" si="148"/>
        <v>367394.72658443713</v>
      </c>
      <c r="BR46" s="16">
        <f t="shared" si="148"/>
        <v>354129.98544085148</v>
      </c>
      <c r="BS46" s="16">
        <f t="shared" si="148"/>
        <v>341321.86509012192</v>
      </c>
      <c r="BT46" s="16">
        <f t="shared" si="148"/>
        <v>328957.50364873186</v>
      </c>
      <c r="BU46" s="16">
        <f t="shared" si="148"/>
        <v>317024.21402412985</v>
      </c>
      <c r="BV46" s="16">
        <f t="shared" si="148"/>
        <v>305496.76417213847</v>
      </c>
      <c r="BW46" s="16">
        <f t="shared" si="148"/>
        <v>294352.25019440131</v>
      </c>
      <c r="BX46" s="16">
        <f t="shared" si="148"/>
        <v>283565.81027680589</v>
      </c>
      <c r="BY46" s="16">
        <f t="shared" si="149"/>
        <v>273128.33245023253</v>
      </c>
      <c r="BZ46" s="16">
        <f t="shared" si="149"/>
        <v>263021.81415063736</v>
      </c>
      <c r="CA46" s="16">
        <f t="shared" si="149"/>
        <v>253235.28071432526</v>
      </c>
      <c r="CB46" s="16">
        <f t="shared" si="149"/>
        <v>243753.06784120487</v>
      </c>
      <c r="CC46" s="18">
        <f t="shared" si="124"/>
        <v>5.4890395826885738</v>
      </c>
      <c r="CD46" s="18">
        <f t="shared" si="124"/>
        <v>4.6548171548203348</v>
      </c>
      <c r="CE46" s="18">
        <f t="shared" si="124"/>
        <v>3.7902130257911089</v>
      </c>
      <c r="CF46" s="18">
        <f t="shared" si="124"/>
        <v>2.8937761925049714</v>
      </c>
      <c r="CG46" s="18">
        <f t="shared" si="124"/>
        <v>1.9641435330114954</v>
      </c>
      <c r="CH46" s="18">
        <f t="shared" si="150"/>
        <v>1.0000000000000022</v>
      </c>
      <c r="CI46" s="18">
        <f t="shared" si="150"/>
        <v>0</v>
      </c>
      <c r="CJ46" s="18">
        <f t="shared" si="150"/>
        <v>-1.0372734115727287</v>
      </c>
      <c r="CK46" s="18">
        <f t="shared" si="150"/>
        <v>-2.1133319097688372</v>
      </c>
      <c r="CL46" s="18">
        <f t="shared" si="151"/>
        <v>-3.2297597435527852</v>
      </c>
      <c r="CM46" s="18">
        <f t="shared" si="151"/>
        <v>-4.3881949803428579</v>
      </c>
      <c r="CN46" s="18">
        <f t="shared" si="151"/>
        <v>-5.5903872710805311</v>
      </c>
      <c r="CO46" s="18">
        <f t="shared" si="151"/>
        <v>-6.8380968668628155</v>
      </c>
      <c r="CP46" s="18">
        <f t="shared" si="152"/>
        <v>-8.1331351506288634</v>
      </c>
      <c r="CQ46" s="18">
        <f t="shared" si="153"/>
        <v>-9.4777599381471074</v>
      </c>
      <c r="CR46" s="18">
        <f t="shared" si="154"/>
        <v>-10.874459953210474</v>
      </c>
      <c r="CS46" s="18">
        <f t="shared" si="142"/>
        <v>-12.326147512843166</v>
      </c>
      <c r="CT46" s="18">
        <f t="shared" si="125"/>
        <v>-13.83540031694136</v>
      </c>
      <c r="CU46" s="18">
        <f t="shared" si="125"/>
        <v>-15.405445220894149</v>
      </c>
      <c r="CV46" s="18">
        <f t="shared" si="125"/>
        <v>-17.039450236857885</v>
      </c>
      <c r="CW46" s="18">
        <f t="shared" si="22"/>
        <v>-18.741201024139801</v>
      </c>
      <c r="CX46" s="17">
        <f t="shared" si="23"/>
        <v>933.35534213147969</v>
      </c>
      <c r="CY46" s="17">
        <f t="shared" si="126"/>
        <v>954.33867793456591</v>
      </c>
      <c r="CZ46" s="17">
        <f t="shared" si="126"/>
        <v>951.98985991150846</v>
      </c>
      <c r="DA46" s="17">
        <f t="shared" si="126"/>
        <v>935.48067603793174</v>
      </c>
      <c r="DB46" s="17">
        <f t="shared" si="126"/>
        <v>915.65604963103942</v>
      </c>
      <c r="DC46" s="17">
        <f t="shared" si="126"/>
        <v>899.29697454822428</v>
      </c>
      <c r="DD46" s="17">
        <f t="shared" si="126"/>
        <v>883.49479936321018</v>
      </c>
      <c r="DE46" s="17">
        <f t="shared" si="126"/>
        <v>874.20018189965901</v>
      </c>
      <c r="DF46" s="3" t="e">
        <f>#REF!+$AG$35*0.004*(1+$R$28)*#REF!-S46*#REF!</f>
        <v>#REF!</v>
      </c>
      <c r="DG46" s="19">
        <f t="shared" si="25"/>
        <v>1764.8215923524695</v>
      </c>
      <c r="DH46" s="19">
        <f t="shared" si="26"/>
        <v>1659.4389613045548</v>
      </c>
      <c r="DI46" s="19">
        <f t="shared" si="27"/>
        <v>1526.1220308713118</v>
      </c>
      <c r="DJ46" s="19">
        <f t="shared" si="28"/>
        <v>1373.8227946390089</v>
      </c>
      <c r="DK46" s="19">
        <f t="shared" si="29"/>
        <v>1213.1796935558225</v>
      </c>
      <c r="DL46" s="19">
        <f t="shared" si="30"/>
        <v>1050.7745213386106</v>
      </c>
      <c r="DM46" s="19">
        <f t="shared" si="31"/>
        <v>883.49479936321018</v>
      </c>
      <c r="DN46" s="19">
        <f t="shared" si="32"/>
        <v>717.07655016372769</v>
      </c>
      <c r="DO46" s="173">
        <f t="shared" si="127"/>
        <v>100236.48487711092</v>
      </c>
      <c r="DP46" s="25">
        <f t="shared" si="155"/>
        <v>99303.129534979467</v>
      </c>
      <c r="DQ46" s="26">
        <f t="shared" si="155"/>
        <v>98348.790857044893</v>
      </c>
      <c r="DR46" s="26">
        <f t="shared" si="155"/>
        <v>97396.800997133396</v>
      </c>
      <c r="DS46" s="26">
        <f t="shared" si="155"/>
        <v>96461.320321095467</v>
      </c>
      <c r="DT46" s="26">
        <f t="shared" si="155"/>
        <v>95545.664271464426</v>
      </c>
      <c r="DU46" s="26">
        <f t="shared" si="155"/>
        <v>94646.3672969162</v>
      </c>
      <c r="DV46" s="26">
        <f t="shared" si="155"/>
        <v>93762.872497552977</v>
      </c>
      <c r="DW46" s="26">
        <f t="shared" si="155"/>
        <v>92888.672315653326</v>
      </c>
      <c r="DX46" s="26">
        <f t="shared" si="155"/>
        <v>92023.212339849706</v>
      </c>
      <c r="DY46" s="26">
        <f t="shared" si="155"/>
        <v>91167.860609376687</v>
      </c>
      <c r="DZ46" s="26">
        <f t="shared" si="155"/>
        <v>90320.703290559817</v>
      </c>
      <c r="EA46" s="26">
        <f t="shared" si="155"/>
        <v>89484.364534015098</v>
      </c>
      <c r="EB46" s="26">
        <f t="shared" si="155"/>
        <v>88661.203824896802</v>
      </c>
      <c r="EC46" s="26">
        <f t="shared" si="155"/>
        <v>87840.381572520157</v>
      </c>
      <c r="ED46" s="26">
        <f t="shared" si="155"/>
        <v>87012.558663059375</v>
      </c>
      <c r="EE46" s="26">
        <f t="shared" si="145"/>
        <v>86165.616132443218</v>
      </c>
      <c r="EF46" s="26">
        <f t="shared" si="34"/>
        <v>85302.60278943798</v>
      </c>
      <c r="EG46" s="26">
        <f t="shared" si="34"/>
        <v>84417.209120336134</v>
      </c>
      <c r="EH46" s="26">
        <f t="shared" si="34"/>
        <v>83509.656097891071</v>
      </c>
      <c r="EI46" s="26">
        <f t="shared" si="34"/>
        <v>82575.016132919322</v>
      </c>
      <c r="EJ46" s="26">
        <f t="shared" si="128"/>
        <v>1.0954146032874456E-2</v>
      </c>
      <c r="EK46" s="26">
        <f t="shared" si="128"/>
        <v>9.4621720272969612E-3</v>
      </c>
      <c r="EL46" s="26">
        <f t="shared" si="156"/>
        <v>7.8017286455001984E-3</v>
      </c>
      <c r="EM46" s="26">
        <f t="shared" si="156"/>
        <v>6.0108168909730987E-3</v>
      </c>
      <c r="EN46" s="26">
        <f t="shared" si="156"/>
        <v>4.113791487399222E-3</v>
      </c>
      <c r="EO46" s="26">
        <f t="shared" si="156"/>
        <v>2.1141623095068765E-3</v>
      </c>
      <c r="EP46" s="26">
        <f t="shared" si="156"/>
        <v>0</v>
      </c>
      <c r="EQ46" s="26">
        <f t="shared" si="156"/>
        <v>-2.234641662849549E-3</v>
      </c>
      <c r="ER46" s="26">
        <f t="shared" si="156"/>
        <v>-4.6117504645151464E-3</v>
      </c>
      <c r="ES46" s="26">
        <f t="shared" si="156"/>
        <v>-7.1398818961099664E-3</v>
      </c>
      <c r="ET46" s="26">
        <f t="shared" si="156"/>
        <v>-9.822683281702816E-3</v>
      </c>
      <c r="EU46" s="26">
        <f t="shared" si="156"/>
        <v>-1.2673269569806913E-2</v>
      </c>
      <c r="EV46" s="26">
        <f t="shared" si="156"/>
        <v>-1.5692004911410089E-2</v>
      </c>
      <c r="EW46" s="26">
        <f t="shared" si="156"/>
        <v>-1.8879199781136734E-2</v>
      </c>
      <c r="EX46" s="26">
        <f t="shared" si="156"/>
        <v>-2.2278421648227572E-2</v>
      </c>
      <c r="EY46" s="26">
        <f t="shared" si="156"/>
        <v>-2.5934262873190776E-2</v>
      </c>
      <c r="EZ46" s="26">
        <f t="shared" si="146"/>
        <v>-2.9907523605170891E-2</v>
      </c>
      <c r="FA46" s="26">
        <f t="shared" si="37"/>
        <v>-3.4210162027700927E-2</v>
      </c>
      <c r="FB46" s="26">
        <f t="shared" si="37"/>
        <v>-3.8890911803694125E-2</v>
      </c>
      <c r="FC46" s="26">
        <f t="shared" si="37"/>
        <v>-4.3977723671088521E-2</v>
      </c>
      <c r="FD46" s="26">
        <f t="shared" si="37"/>
        <v>-4.9522868659281322E-2</v>
      </c>
      <c r="FE46" s="26">
        <f t="shared" si="130"/>
        <v>5.2926525485283458</v>
      </c>
      <c r="FF46" s="26">
        <f t="shared" si="130"/>
        <v>4.4881070713656044</v>
      </c>
      <c r="FG46" s="26">
        <f t="shared" si="130"/>
        <v>3.6543728899267931</v>
      </c>
      <c r="FH46" s="26">
        <f t="shared" si="130"/>
        <v>2.7900107159048888</v>
      </c>
      <c r="FI46" s="26">
        <f t="shared" si="130"/>
        <v>1.8936795838735332</v>
      </c>
      <c r="FJ46" s="26">
        <f t="shared" si="157"/>
        <v>0.96410546670228181</v>
      </c>
      <c r="FK46" s="26">
        <f t="shared" si="157"/>
        <v>0</v>
      </c>
      <c r="FL46" s="26">
        <f t="shared" si="157"/>
        <v>-1.0000000000000033</v>
      </c>
      <c r="FM46" s="26">
        <f t="shared" si="157"/>
        <v>-2.0373334760882158</v>
      </c>
      <c r="FN46" s="26">
        <f t="shared" si="157"/>
        <v>-3.1135226940036556</v>
      </c>
      <c r="FO46" s="26">
        <f t="shared" si="157"/>
        <v>-4.2301467424564372</v>
      </c>
      <c r="FP46" s="26">
        <f t="shared" si="158"/>
        <v>-5.3888832141569054</v>
      </c>
      <c r="FQ46" s="26">
        <f t="shared" si="158"/>
        <v>-6.5914324768617467</v>
      </c>
      <c r="FR46" s="26">
        <f t="shared" si="158"/>
        <v>-7.8395443538346914</v>
      </c>
      <c r="FS46" s="26">
        <f t="shared" si="158"/>
        <v>-9.135357485100366</v>
      </c>
      <c r="FT46" s="26">
        <f t="shared" si="159"/>
        <v>-10.481232602810822</v>
      </c>
      <c r="FU46" s="26">
        <f t="shared" si="143"/>
        <v>-11.879923776553523</v>
      </c>
      <c r="FV46" s="26">
        <f t="shared" si="131"/>
        <v>-13.333909783375988</v>
      </c>
      <c r="FW46" s="26">
        <f t="shared" si="131"/>
        <v>-14.846260455376376</v>
      </c>
      <c r="FX46" s="26">
        <f t="shared" si="39"/>
        <v>8570670.3942497224</v>
      </c>
      <c r="FY46" s="26">
        <f t="shared" si="40"/>
        <v>381134.01728635549</v>
      </c>
      <c r="FZ46" s="26">
        <f t="shared" si="132"/>
        <v>0.80361296583976405</v>
      </c>
      <c r="GA46" s="26">
        <f t="shared" si="160"/>
        <v>0.83328991654527063</v>
      </c>
      <c r="GB46" s="26">
        <f t="shared" si="132"/>
        <v>0.86415986413567547</v>
      </c>
      <c r="GC46" s="26">
        <f t="shared" si="132"/>
        <v>0.89623452339992071</v>
      </c>
      <c r="GD46" s="26">
        <f t="shared" si="132"/>
        <v>0.92953605086202962</v>
      </c>
      <c r="GE46" s="26">
        <f t="shared" si="161"/>
        <v>0.96410546670227615</v>
      </c>
      <c r="GF46" s="26">
        <f t="shared" si="161"/>
        <v>1</v>
      </c>
      <c r="GG46" s="26">
        <f t="shared" si="161"/>
        <v>1.0372734115727227</v>
      </c>
      <c r="GH46" s="26">
        <f t="shared" si="161"/>
        <v>1.0759984336806132</v>
      </c>
      <c r="GI46" s="26">
        <f t="shared" si="161"/>
        <v>1.1162370495491214</v>
      </c>
      <c r="GJ46" s="26">
        <f t="shared" si="161"/>
        <v>1.1580482378864105</v>
      </c>
      <c r="GK46" s="26">
        <f t="shared" si="162"/>
        <v>1.2015040569236208</v>
      </c>
      <c r="GL46" s="26">
        <f t="shared" si="162"/>
        <v>1.2466643900010617</v>
      </c>
      <c r="GM46" s="26">
        <f t="shared" si="162"/>
        <v>1.2935907967941658</v>
      </c>
      <c r="GN46" s="26">
        <f t="shared" si="162"/>
        <v>1.342402453046734</v>
      </c>
      <c r="GO46" s="26">
        <f t="shared" si="163"/>
        <v>1.3932273503996422</v>
      </c>
      <c r="GP46" s="26">
        <f t="shared" si="140"/>
        <v>1.4462237362896291</v>
      </c>
      <c r="GQ46" s="26">
        <f t="shared" si="134"/>
        <v>1.5014905335653659</v>
      </c>
      <c r="GR46" s="26">
        <f t="shared" si="134"/>
        <v>1.5591847655177635</v>
      </c>
      <c r="GS46" s="26">
        <f t="shared" si="134"/>
        <v>1.6194410370692056</v>
      </c>
      <c r="GT46" s="26">
        <f t="shared" si="134"/>
        <v>1.6824387453030185</v>
      </c>
      <c r="GU46" s="26">
        <f t="shared" si="135"/>
        <v>5.4890395826885738</v>
      </c>
      <c r="GV46" s="26">
        <f t="shared" si="164"/>
        <v>4.6548171548203348</v>
      </c>
      <c r="GW46" s="26">
        <f t="shared" si="135"/>
        <v>3.7902130257911089</v>
      </c>
      <c r="GX46" s="26">
        <f t="shared" si="135"/>
        <v>2.8937761925049714</v>
      </c>
      <c r="GY46" s="26">
        <f t="shared" si="135"/>
        <v>1.9641435330114954</v>
      </c>
      <c r="GZ46" s="26">
        <f t="shared" si="165"/>
        <v>1.0000000000000022</v>
      </c>
      <c r="HA46" s="26">
        <f t="shared" si="165"/>
        <v>0</v>
      </c>
      <c r="HB46" s="26">
        <f t="shared" si="165"/>
        <v>-1.0372734115727287</v>
      </c>
      <c r="HC46" s="26">
        <f t="shared" si="165"/>
        <v>-2.1133319097688372</v>
      </c>
      <c r="HD46" s="26">
        <f t="shared" si="165"/>
        <v>-3.2297597435527852</v>
      </c>
      <c r="HE46" s="26">
        <f t="shared" si="165"/>
        <v>-4.3881949803428579</v>
      </c>
      <c r="HF46" s="26">
        <f t="shared" si="166"/>
        <v>-5.5903872710805311</v>
      </c>
      <c r="HG46" s="26">
        <f t="shared" si="166"/>
        <v>-6.8380968668628155</v>
      </c>
      <c r="HH46" s="26">
        <f t="shared" si="166"/>
        <v>-8.1331351506288634</v>
      </c>
      <c r="HI46" s="26">
        <f t="shared" si="166"/>
        <v>-9.4777599381471074</v>
      </c>
      <c r="HJ46" s="26">
        <f t="shared" si="167"/>
        <v>-10.874459953210474</v>
      </c>
      <c r="HK46" s="26">
        <f t="shared" si="141"/>
        <v>-12.326147512843166</v>
      </c>
      <c r="HL46" s="26">
        <f t="shared" si="137"/>
        <v>-13.83540031694136</v>
      </c>
      <c r="HM46" s="26">
        <f t="shared" si="137"/>
        <v>-15.405445220894149</v>
      </c>
      <c r="HN46" s="26">
        <f t="shared" si="137"/>
        <v>-17.039450236857885</v>
      </c>
      <c r="HO46" s="26">
        <f t="shared" si="137"/>
        <v>-18.741201024139801</v>
      </c>
      <c r="HP46" s="26">
        <f t="shared" si="44"/>
        <v>517917.87706291518</v>
      </c>
      <c r="HQ46" s="26">
        <f t="shared" si="45"/>
        <v>534944.63984097203</v>
      </c>
      <c r="HR46" s="26">
        <f t="shared" si="46"/>
        <v>552696.39393942885</v>
      </c>
      <c r="HS46" s="26">
        <f t="shared" si="47"/>
        <v>571245.46750696888</v>
      </c>
      <c r="HT46" s="26">
        <f t="shared" si="48"/>
        <v>590649.96582274092</v>
      </c>
      <c r="HU46" s="26">
        <f t="shared" si="49"/>
        <v>610957.8040704442</v>
      </c>
      <c r="HV46" s="26">
        <f t="shared" si="50"/>
        <v>632215.9078880985</v>
      </c>
      <c r="HW46" s="26">
        <f t="shared" si="51"/>
        <v>654475.99268166092</v>
      </c>
      <c r="HX46" s="26">
        <f t="shared" si="52"/>
        <v>677795.85067497659</v>
      </c>
      <c r="HY46" s="26">
        <f t="shared" si="53"/>
        <v>702238.36515511456</v>
      </c>
      <c r="HZ46" s="26">
        <f t="shared" si="54"/>
        <v>727868.73192610894</v>
      </c>
      <c r="IA46" s="26">
        <f t="shared" si="55"/>
        <v>754760.11236458085</v>
      </c>
      <c r="IB46" s="26">
        <f t="shared" si="56"/>
        <v>782983.18082174507</v>
      </c>
      <c r="IC46" s="26">
        <f t="shared" si="57"/>
        <v>812609.8880375179</v>
      </c>
      <c r="ID46" s="26">
        <f t="shared" si="58"/>
        <v>843756.13328023686</v>
      </c>
      <c r="IE46" s="26">
        <f t="shared" si="59"/>
        <v>876559.31216767349</v>
      </c>
      <c r="IF46" s="26">
        <f t="shared" si="60"/>
        <v>911199.36279523466</v>
      </c>
      <c r="IG46" s="26">
        <f t="shared" si="61"/>
        <v>947815.39901542652</v>
      </c>
      <c r="IH46" s="26">
        <f t="shared" si="62"/>
        <v>986613.3931964949</v>
      </c>
      <c r="II46" s="26">
        <f t="shared" si="63"/>
        <v>-982496358746.44263</v>
      </c>
      <c r="IJ46" s="26">
        <f t="shared" si="64"/>
        <v>537780.73951010325</v>
      </c>
      <c r="IK46" s="26">
        <f t="shared" si="65"/>
        <v>554460.07381590619</v>
      </c>
      <c r="IL46" s="26">
        <f t="shared" si="66"/>
        <v>571933.99160191382</v>
      </c>
      <c r="IM46" s="26">
        <f t="shared" si="67"/>
        <v>590281.94437515177</v>
      </c>
      <c r="IN46" s="26">
        <f t="shared" si="68"/>
        <v>609569.23560606607</v>
      </c>
      <c r="IO46" s="26">
        <f t="shared" si="69"/>
        <v>629851.14815647691</v>
      </c>
      <c r="IP46" s="26">
        <f t="shared" si="70"/>
        <v>651182.38512474147</v>
      </c>
      <c r="IQ46" s="26">
        <f t="shared" si="71"/>
        <v>673623.02707559057</v>
      </c>
      <c r="IR46" s="26">
        <f t="shared" si="72"/>
        <v>697239.88238738815</v>
      </c>
      <c r="IS46" s="26">
        <f t="shared" si="73"/>
        <v>722105.5219172145</v>
      </c>
      <c r="IT46" s="26">
        <f t="shared" si="74"/>
        <v>748295.4610959267</v>
      </c>
      <c r="IU46" s="26">
        <f t="shared" si="75"/>
        <v>775894.00172194792</v>
      </c>
      <c r="IV46" s="26">
        <f t="shared" si="76"/>
        <v>804983.53895055247</v>
      </c>
      <c r="IW46" s="26">
        <f t="shared" si="77"/>
        <v>835648.45753183227</v>
      </c>
      <c r="IX46" s="26">
        <f t="shared" si="78"/>
        <v>868019.07876152592</v>
      </c>
      <c r="IY46" s="26">
        <f t="shared" si="79"/>
        <v>902248.69521166326</v>
      </c>
      <c r="IZ46" s="26">
        <f t="shared" si="80"/>
        <v>938535.34367909178</v>
      </c>
      <c r="JA46" s="26">
        <f t="shared" si="81"/>
        <v>977036.04890028632</v>
      </c>
      <c r="JB46" s="26">
        <f t="shared" si="82"/>
        <v>1017977.7922801157</v>
      </c>
      <c r="JC46" s="26">
        <f t="shared" si="83"/>
        <v>-1011971246553.3801</v>
      </c>
      <c r="JD46" s="26">
        <f t="shared" si="84"/>
        <v>155088.10522408661</v>
      </c>
      <c r="JE46" s="26">
        <f t="shared" si="85"/>
        <v>246742.95033297327</v>
      </c>
      <c r="JF46" s="26">
        <f t="shared" si="86"/>
        <v>342002.99888143613</v>
      </c>
      <c r="JG46" s="26">
        <f t="shared" si="87"/>
        <v>441050.50688148534</v>
      </c>
      <c r="JH46" s="26">
        <f t="shared" si="88"/>
        <v>544053.58504956786</v>
      </c>
      <c r="JI46" s="26">
        <f t="shared" si="89"/>
        <v>651182.38512474147</v>
      </c>
      <c r="JJ46" s="26">
        <f t="shared" si="90"/>
        <v>762618.55806412036</v>
      </c>
      <c r="JK46" s="26">
        <f t="shared" si="91"/>
        <v>878558.61028162425</v>
      </c>
      <c r="JL46" s="26">
        <f t="shared" si="92"/>
        <v>999211.0373348383</v>
      </c>
      <c r="JM46" s="26">
        <f t="shared" si="93"/>
        <v>1124791.8968473137</v>
      </c>
      <c r="JN46" s="26">
        <f t="shared" si="94"/>
        <v>1255535.6064045397</v>
      </c>
      <c r="JO46" s="26">
        <f t="shared" si="95"/>
        <v>1391675.5864163705</v>
      </c>
      <c r="JP46" s="26">
        <f t="shared" si="96"/>
        <v>1533451.6338749309</v>
      </c>
      <c r="JQ46" s="26">
        <f t="shared" si="97"/>
        <v>1681187.7851668349</v>
      </c>
      <c r="JR46" s="26">
        <f t="shared" si="98"/>
        <v>1835250.859300792</v>
      </c>
      <c r="JS46" s="26">
        <f t="shared" si="99"/>
        <v>1996088.7627773208</v>
      </c>
      <c r="JT46" s="26">
        <f t="shared" si="100"/>
        <v>2164079.6807024092</v>
      </c>
      <c r="JU46" s="26">
        <f t="shared" si="101"/>
        <v>2339727.4508098084</v>
      </c>
      <c r="JV46" s="26">
        <f t="shared" si="102"/>
        <v>-1011969784610.0731</v>
      </c>
      <c r="JW46" s="26">
        <f t="shared" si="103"/>
        <v>1763037.4827919859</v>
      </c>
      <c r="JX46" s="26" t="e">
        <f>AH46+$AG$38*0.004*(1+$R$28)*#REF!-S46*#REF!</f>
        <v>#REF!</v>
      </c>
      <c r="JY46" s="34">
        <f t="shared" si="104"/>
        <v>5.1336488988669229E-2</v>
      </c>
      <c r="JZ46" s="4">
        <f t="shared" si="105"/>
        <v>47569.306447444309</v>
      </c>
      <c r="KA46" s="165"/>
      <c r="KB46" s="163">
        <v>19</v>
      </c>
      <c r="KC46" s="163">
        <f>((1+0.035)^(-1))*(1-((1+0.035)^(-m-n+19)))/(1-((1+0.035)^(-1)))</f>
        <v>-7.7794075076163915</v>
      </c>
      <c r="KD46" s="163">
        <f>((1+0.035)^(-1))*(1-((1+0.035)^(-m-(n/2)+19/2)))/(1-((1+0.035)^(-1)))</f>
        <v>-1</v>
      </c>
      <c r="KE46" s="61">
        <f>IF(KB45&lt;=n,VLOOKUP(A28+x,A28:KF139,281),0)</f>
        <v>0</v>
      </c>
      <c r="KF46" s="162">
        <f>IF(KB45&lt;=n,VLOOKUP(A28+x,A28:KF139,281),0)</f>
        <v>0</v>
      </c>
    </row>
    <row r="47" spans="1:293" ht="15.75" x14ac:dyDescent="0.3">
      <c r="A47" s="34">
        <v>46</v>
      </c>
      <c r="B47" s="34">
        <v>19</v>
      </c>
      <c r="C47" s="2">
        <v>984848</v>
      </c>
      <c r="D47" s="1">
        <f t="shared" si="106"/>
        <v>1466</v>
      </c>
      <c r="E47" s="145">
        <f t="shared" si="107"/>
        <v>0.99851144542101933</v>
      </c>
      <c r="F47" s="146">
        <f t="shared" si="108"/>
        <v>1.488554578980672E-3</v>
      </c>
      <c r="G47" s="158">
        <f t="shared" si="3"/>
        <v>1.86069322372584E-3</v>
      </c>
      <c r="H47" s="43">
        <f t="shared" si="109"/>
        <v>1825.5084118587711</v>
      </c>
      <c r="I47" s="43">
        <f t="shared" si="139"/>
        <v>981090.48207494675</v>
      </c>
      <c r="J47" s="43">
        <f t="shared" si="110"/>
        <v>984115</v>
      </c>
      <c r="K47" s="147">
        <f>SUM(J47:$J$138)</f>
        <v>54674557</v>
      </c>
      <c r="L47" s="147">
        <f t="shared" si="111"/>
        <v>55.515731361590824</v>
      </c>
      <c r="M47" s="43">
        <f t="shared" si="4"/>
        <v>1230143.75</v>
      </c>
      <c r="N47" s="148">
        <f t="shared" si="5"/>
        <v>68343196.25</v>
      </c>
      <c r="O47" s="147">
        <f t="shared" si="6"/>
        <v>69.394664201988533</v>
      </c>
      <c r="P47" s="157">
        <f t="shared" si="7"/>
        <v>510319.79703559174</v>
      </c>
      <c r="Q47" s="43">
        <f t="shared" si="8"/>
        <v>1231060</v>
      </c>
      <c r="R47" s="43">
        <f t="shared" si="9"/>
        <v>933.35534213147969</v>
      </c>
      <c r="S47" s="43">
        <f>SUM(R47:$R$138)</f>
        <v>100236.48487711092</v>
      </c>
      <c r="T47" s="43">
        <f t="shared" si="112"/>
        <v>4185391.8823482208</v>
      </c>
      <c r="U47" s="153">
        <f>SUM(P47:$P$138)</f>
        <v>12177298.640637327</v>
      </c>
      <c r="V47" s="129">
        <f t="shared" si="10"/>
        <v>8966033.4692568444</v>
      </c>
      <c r="W47" s="43">
        <f t="shared" si="113"/>
        <v>395363.07500712067</v>
      </c>
      <c r="X47" s="26">
        <f t="shared" si="114"/>
        <v>6.2926525485283422</v>
      </c>
      <c r="Y47" s="26">
        <f t="shared" si="115"/>
        <v>0.77473591521190088</v>
      </c>
      <c r="Z47" s="43">
        <f t="shared" si="11"/>
        <v>93762.872497552977</v>
      </c>
      <c r="AA47" s="149">
        <f t="shared" si="116"/>
        <v>1.2685403186712846E-2</v>
      </c>
      <c r="AB47" s="150">
        <f t="shared" si="138"/>
        <v>11666978.843601737</v>
      </c>
      <c r="AC47" s="150">
        <f t="shared" si="117"/>
        <v>8570670.3942497224</v>
      </c>
      <c r="AD47" s="26">
        <f t="shared" si="118"/>
        <v>6.0673884637402491</v>
      </c>
      <c r="AE47" s="26">
        <f t="shared" si="12"/>
        <v>519418.34180659172</v>
      </c>
      <c r="AF47" s="43">
        <f t="shared" si="119"/>
        <v>82543.623344986321</v>
      </c>
      <c r="AG47" s="43">
        <f t="shared" si="13"/>
        <v>540309.68109845149</v>
      </c>
      <c r="AH47" s="27">
        <f t="shared" si="14"/>
        <v>89706.384107535632</v>
      </c>
      <c r="AI47" s="28">
        <f t="shared" si="120"/>
        <v>580978.15171876503</v>
      </c>
      <c r="AJ47" s="20">
        <f t="shared" si="15"/>
        <v>96458.477534984559</v>
      </c>
      <c r="AK47" s="3">
        <f t="shared" si="16"/>
        <v>8359.7347196986611</v>
      </c>
      <c r="AL47" s="3"/>
      <c r="AM47" s="46">
        <f t="shared" si="121"/>
        <v>11666978.843601737</v>
      </c>
      <c r="AN47" s="46">
        <f t="shared" si="122"/>
        <v>11174833.676019788</v>
      </c>
      <c r="AO47" s="46">
        <f t="shared" si="122"/>
        <v>10700269.162389321</v>
      </c>
      <c r="AP47" s="3">
        <f t="shared" si="147"/>
        <v>10242688.479080243</v>
      </c>
      <c r="AQ47" s="3">
        <f t="shared" si="147"/>
        <v>9801501.0660238042</v>
      </c>
      <c r="AR47" s="16">
        <f t="shared" si="147"/>
        <v>9376133.074879365</v>
      </c>
      <c r="AS47" s="16">
        <f t="shared" si="147"/>
        <v>8966033.4692568444</v>
      </c>
      <c r="AT47" s="16">
        <f t="shared" si="147"/>
        <v>8570670.3942497224</v>
      </c>
      <c r="AU47" s="16">
        <f t="shared" si="147"/>
        <v>8189536.3769633677</v>
      </c>
      <c r="AV47" s="16">
        <f t="shared" si="147"/>
        <v>7822141.6503789313</v>
      </c>
      <c r="AW47" s="16">
        <f t="shared" si="147"/>
        <v>7468011.6649380811</v>
      </c>
      <c r="AX47" s="16">
        <f t="shared" si="147"/>
        <v>7126689.7998479586</v>
      </c>
      <c r="AY47" s="16">
        <f t="shared" si="147"/>
        <v>6797732.2961992268</v>
      </c>
      <c r="AZ47" s="16">
        <f t="shared" si="147"/>
        <v>6480708.0821750965</v>
      </c>
      <c r="BA47" s="16">
        <f t="shared" si="147"/>
        <v>6175211.3180029579</v>
      </c>
      <c r="BB47" s="16">
        <f t="shared" si="147"/>
        <v>5880859.0678085573</v>
      </c>
      <c r="BC47" s="16">
        <f t="shared" si="144"/>
        <v>5597293.2575317528</v>
      </c>
      <c r="BD47" s="16">
        <f t="shared" si="18"/>
        <v>5324164.9250815194</v>
      </c>
      <c r="BE47" s="16">
        <f t="shared" si="18"/>
        <v>5061143.1109308824</v>
      </c>
      <c r="BF47" s="16">
        <f t="shared" si="18"/>
        <v>4807907.8302165577</v>
      </c>
      <c r="BG47" s="16">
        <f t="shared" si="18"/>
        <v>4564154.762375352</v>
      </c>
      <c r="BH47" s="172">
        <f t="shared" si="123"/>
        <v>492145.1675819463</v>
      </c>
      <c r="BI47" s="16">
        <f t="shared" si="148"/>
        <v>474564.51363046817</v>
      </c>
      <c r="BJ47" s="16">
        <f t="shared" si="148"/>
        <v>457580.68330907432</v>
      </c>
      <c r="BK47" s="16">
        <f t="shared" si="148"/>
        <v>441187.41305644001</v>
      </c>
      <c r="BL47" s="16">
        <f t="shared" si="148"/>
        <v>425367.99114443822</v>
      </c>
      <c r="BM47" s="16">
        <f t="shared" si="148"/>
        <v>410099.60562251828</v>
      </c>
      <c r="BN47" s="16">
        <f t="shared" si="148"/>
        <v>395363.07500712067</v>
      </c>
      <c r="BO47" s="16">
        <f t="shared" si="148"/>
        <v>381134.01728635549</v>
      </c>
      <c r="BP47" s="16">
        <f t="shared" si="148"/>
        <v>367394.72658443713</v>
      </c>
      <c r="BQ47" s="16">
        <f t="shared" si="148"/>
        <v>354129.98544085148</v>
      </c>
      <c r="BR47" s="16">
        <f t="shared" si="148"/>
        <v>341321.86509012192</v>
      </c>
      <c r="BS47" s="16">
        <f t="shared" si="148"/>
        <v>328957.50364873186</v>
      </c>
      <c r="BT47" s="16">
        <f t="shared" si="148"/>
        <v>317024.21402412985</v>
      </c>
      <c r="BU47" s="16">
        <f t="shared" si="148"/>
        <v>305496.76417213847</v>
      </c>
      <c r="BV47" s="16">
        <f t="shared" si="148"/>
        <v>294352.25019440131</v>
      </c>
      <c r="BW47" s="16">
        <f t="shared" si="148"/>
        <v>283565.81027680589</v>
      </c>
      <c r="BX47" s="16">
        <f t="shared" si="148"/>
        <v>273128.33245023253</v>
      </c>
      <c r="BY47" s="16">
        <f t="shared" si="149"/>
        <v>263021.81415063736</v>
      </c>
      <c r="BZ47" s="16">
        <f t="shared" si="149"/>
        <v>253235.28071432526</v>
      </c>
      <c r="CA47" s="16">
        <f t="shared" si="149"/>
        <v>243753.06784120487</v>
      </c>
      <c r="CB47" s="16">
        <f t="shared" si="149"/>
        <v>234558.48966382915</v>
      </c>
      <c r="CC47" s="18">
        <f t="shared" si="124"/>
        <v>5.4881070713656106</v>
      </c>
      <c r="CD47" s="18">
        <f t="shared" si="124"/>
        <v>4.6543728899267895</v>
      </c>
      <c r="CE47" s="18">
        <f t="shared" si="124"/>
        <v>3.7900107159048972</v>
      </c>
      <c r="CF47" s="18">
        <f t="shared" si="124"/>
        <v>2.8936795838735305</v>
      </c>
      <c r="CG47" s="18">
        <f t="shared" si="124"/>
        <v>1.9641054667022841</v>
      </c>
      <c r="CH47" s="18">
        <f t="shared" si="150"/>
        <v>1.0000000000000058</v>
      </c>
      <c r="CI47" s="18">
        <f t="shared" si="150"/>
        <v>0</v>
      </c>
      <c r="CJ47" s="18">
        <f t="shared" si="150"/>
        <v>-1.0373334760882178</v>
      </c>
      <c r="CK47" s="18">
        <f t="shared" si="150"/>
        <v>-2.1135226940036573</v>
      </c>
      <c r="CL47" s="18">
        <f t="shared" si="151"/>
        <v>-3.2301467424564403</v>
      </c>
      <c r="CM47" s="18">
        <f t="shared" si="151"/>
        <v>-4.3888832141569036</v>
      </c>
      <c r="CN47" s="18">
        <f t="shared" si="151"/>
        <v>-5.5914324768617467</v>
      </c>
      <c r="CO47" s="18">
        <f t="shared" si="151"/>
        <v>-6.8395443538346896</v>
      </c>
      <c r="CP47" s="18">
        <f t="shared" si="152"/>
        <v>-8.135357485100366</v>
      </c>
      <c r="CQ47" s="18">
        <f t="shared" si="153"/>
        <v>-9.4812326028108238</v>
      </c>
      <c r="CR47" s="18">
        <f t="shared" si="154"/>
        <v>-10.879923776553527</v>
      </c>
      <c r="CS47" s="18">
        <f t="shared" si="142"/>
        <v>-12.333909783375985</v>
      </c>
      <c r="CT47" s="18">
        <f t="shared" si="125"/>
        <v>-13.846260455376378</v>
      </c>
      <c r="CU47" s="18">
        <f t="shared" si="125"/>
        <v>-15.420009199788671</v>
      </c>
      <c r="CV47" s="18">
        <f t="shared" si="125"/>
        <v>-17.058762278836774</v>
      </c>
      <c r="CW47" s="18">
        <f t="shared" si="22"/>
        <v>-18.766656935719084</v>
      </c>
      <c r="CX47" s="17">
        <f t="shared" si="23"/>
        <v>954.33867793456591</v>
      </c>
      <c r="CY47" s="17">
        <f t="shared" si="126"/>
        <v>951.98985991150846</v>
      </c>
      <c r="CZ47" s="17">
        <f t="shared" si="126"/>
        <v>935.48067603793174</v>
      </c>
      <c r="DA47" s="17">
        <f t="shared" si="126"/>
        <v>915.65604963103942</v>
      </c>
      <c r="DB47" s="17">
        <f t="shared" si="126"/>
        <v>899.29697454822428</v>
      </c>
      <c r="DC47" s="17">
        <f t="shared" si="126"/>
        <v>883.49479936321018</v>
      </c>
      <c r="DD47" s="17">
        <f t="shared" si="126"/>
        <v>874.20018189965901</v>
      </c>
      <c r="DE47" s="17">
        <f t="shared" si="126"/>
        <v>865.45997580359983</v>
      </c>
      <c r="DF47" s="3" t="e">
        <f>#REF!+$AG$35*0.004*(1+$R$28)*#REF!-S47*#REF!</f>
        <v>#REF!</v>
      </c>
      <c r="DG47" s="19">
        <f t="shared" si="25"/>
        <v>1792.0102276074558</v>
      </c>
      <c r="DH47" s="19">
        <f t="shared" si="26"/>
        <v>1662.4052546480234</v>
      </c>
      <c r="DI47" s="19">
        <f t="shared" si="27"/>
        <v>1513.9650438509179</v>
      </c>
      <c r="DJ47" s="19">
        <f t="shared" si="28"/>
        <v>1357.3298416616653</v>
      </c>
      <c r="DK47" s="19">
        <f t="shared" si="29"/>
        <v>1199.0861821235972</v>
      </c>
      <c r="DL47" s="19">
        <f t="shared" si="30"/>
        <v>1036.1287656434008</v>
      </c>
      <c r="DM47" s="19">
        <f t="shared" si="31"/>
        <v>874.20018189965901</v>
      </c>
      <c r="DN47" s="19">
        <f t="shared" si="32"/>
        <v>707.12765299303862</v>
      </c>
      <c r="DO47" s="173">
        <f t="shared" si="127"/>
        <v>99303.129534979467</v>
      </c>
      <c r="DP47" s="25">
        <f t="shared" si="155"/>
        <v>98348.790857044893</v>
      </c>
      <c r="DQ47" s="26">
        <f t="shared" si="155"/>
        <v>97396.800997133396</v>
      </c>
      <c r="DR47" s="26">
        <f t="shared" si="155"/>
        <v>96461.320321095467</v>
      </c>
      <c r="DS47" s="26">
        <f t="shared" si="155"/>
        <v>95545.664271464426</v>
      </c>
      <c r="DT47" s="26">
        <f t="shared" si="155"/>
        <v>94646.3672969162</v>
      </c>
      <c r="DU47" s="26">
        <f t="shared" si="155"/>
        <v>93762.872497552977</v>
      </c>
      <c r="DV47" s="26">
        <f t="shared" si="155"/>
        <v>92888.672315653326</v>
      </c>
      <c r="DW47" s="26">
        <f t="shared" si="155"/>
        <v>92023.212339849706</v>
      </c>
      <c r="DX47" s="26">
        <f t="shared" si="155"/>
        <v>91167.860609376687</v>
      </c>
      <c r="DY47" s="26">
        <f t="shared" si="155"/>
        <v>90320.703290559817</v>
      </c>
      <c r="DZ47" s="26">
        <f t="shared" si="155"/>
        <v>89484.364534015098</v>
      </c>
      <c r="EA47" s="26">
        <f t="shared" si="155"/>
        <v>88661.203824896802</v>
      </c>
      <c r="EB47" s="26">
        <f t="shared" si="155"/>
        <v>87840.381572520157</v>
      </c>
      <c r="EC47" s="26">
        <f t="shared" si="155"/>
        <v>87012.558663059375</v>
      </c>
      <c r="ED47" s="26">
        <f t="shared" si="155"/>
        <v>86165.616132443218</v>
      </c>
      <c r="EE47" s="26">
        <f t="shared" si="145"/>
        <v>85302.60278943798</v>
      </c>
      <c r="EF47" s="26">
        <f t="shared" si="34"/>
        <v>84417.209120336134</v>
      </c>
      <c r="EG47" s="26">
        <f t="shared" si="34"/>
        <v>83509.656097891071</v>
      </c>
      <c r="EH47" s="26">
        <f t="shared" si="34"/>
        <v>82575.016132919322</v>
      </c>
      <c r="EI47" s="26">
        <f t="shared" si="34"/>
        <v>81606.783444357046</v>
      </c>
      <c r="EJ47" s="26">
        <f t="shared" si="128"/>
        <v>1.1257363482094928E-2</v>
      </c>
      <c r="EK47" s="26">
        <f t="shared" si="128"/>
        <v>9.6634245245375821E-3</v>
      </c>
      <c r="EL47" s="26">
        <f t="shared" si="156"/>
        <v>7.9416125551914317E-3</v>
      </c>
      <c r="EM47" s="26">
        <f t="shared" si="156"/>
        <v>6.1163300304700324E-3</v>
      </c>
      <c r="EN47" s="26">
        <f t="shared" si="156"/>
        <v>4.1911751965983809E-3</v>
      </c>
      <c r="EO47" s="26">
        <f t="shared" si="156"/>
        <v>2.1543419872889318E-3</v>
      </c>
      <c r="EP47" s="26">
        <f t="shared" si="156"/>
        <v>0</v>
      </c>
      <c r="EQ47" s="26">
        <f t="shared" si="156"/>
        <v>-2.2936818605798761E-3</v>
      </c>
      <c r="ER47" s="26">
        <f t="shared" si="156"/>
        <v>-4.7351255524987791E-3</v>
      </c>
      <c r="ES47" s="26">
        <f t="shared" si="156"/>
        <v>-7.3278513395181599E-3</v>
      </c>
      <c r="ET47" s="26">
        <f t="shared" si="156"/>
        <v>-1.0084818932078366E-2</v>
      </c>
      <c r="EU47" s="26">
        <f t="shared" si="156"/>
        <v>-1.3006263471972857E-2</v>
      </c>
      <c r="EV47" s="26">
        <f t="shared" si="156"/>
        <v>-1.6092362813232518E-2</v>
      </c>
      <c r="EW47" s="26">
        <f t="shared" si="156"/>
        <v>-1.9386427679789334E-2</v>
      </c>
      <c r="EX47" s="26">
        <f t="shared" si="156"/>
        <v>-2.2932774694385521E-2</v>
      </c>
      <c r="EY47" s="26">
        <f t="shared" si="156"/>
        <v>-2.6791863087068265E-2</v>
      </c>
      <c r="EZ47" s="26">
        <f t="shared" si="146"/>
        <v>-3.0975437927724198E-2</v>
      </c>
      <c r="FA47" s="26">
        <f t="shared" si="37"/>
        <v>-3.5531894597397959E-2</v>
      </c>
      <c r="FB47" s="26">
        <f t="shared" si="37"/>
        <v>-4.0488893848991604E-2</v>
      </c>
      <c r="FC47" s="26">
        <f t="shared" si="37"/>
        <v>-4.5898320229233319E-2</v>
      </c>
      <c r="FD47" s="26">
        <f t="shared" si="37"/>
        <v>-5.1825406407664552E-2</v>
      </c>
      <c r="FE47" s="26">
        <f t="shared" si="130"/>
        <v>5.2914535249123427</v>
      </c>
      <c r="FF47" s="26">
        <f t="shared" si="130"/>
        <v>4.4874800095100777</v>
      </c>
      <c r="FG47" s="26">
        <f t="shared" si="130"/>
        <v>3.6540399230558225</v>
      </c>
      <c r="FH47" s="26">
        <f t="shared" si="130"/>
        <v>2.7898136604740915</v>
      </c>
      <c r="FI47" s="26">
        <f t="shared" si="130"/>
        <v>1.8935667407944179</v>
      </c>
      <c r="FJ47" s="26">
        <f t="shared" si="157"/>
        <v>0.9640659722336804</v>
      </c>
      <c r="FK47" s="26">
        <f t="shared" si="157"/>
        <v>0</v>
      </c>
      <c r="FL47" s="26">
        <f t="shared" si="157"/>
        <v>-0.99999999999999789</v>
      </c>
      <c r="FM47" s="26">
        <f t="shared" si="157"/>
        <v>-2.0373965375868268</v>
      </c>
      <c r="FN47" s="26">
        <f t="shared" si="157"/>
        <v>-3.1137118421049741</v>
      </c>
      <c r="FO47" s="26">
        <f t="shared" si="157"/>
        <v>-4.2305540373761232</v>
      </c>
      <c r="FP47" s="26">
        <f t="shared" si="158"/>
        <v>-5.3895657596662652</v>
      </c>
      <c r="FQ47" s="26">
        <f t="shared" si="158"/>
        <v>-6.5924374846507821</v>
      </c>
      <c r="FR47" s="26">
        <f t="shared" si="158"/>
        <v>-7.8411929590749887</v>
      </c>
      <c r="FS47" s="26">
        <f t="shared" si="158"/>
        <v>-9.1380695227052371</v>
      </c>
      <c r="FT47" s="26">
        <f t="shared" si="159"/>
        <v>-10.485668684160036</v>
      </c>
      <c r="FU47" s="26">
        <f t="shared" si="143"/>
        <v>-11.886373852334627</v>
      </c>
      <c r="FV47" s="26">
        <f t="shared" si="131"/>
        <v>-13.34310347851555</v>
      </c>
      <c r="FW47" s="26">
        <f t="shared" si="131"/>
        <v>-14.858761201911426</v>
      </c>
      <c r="FX47" s="26">
        <f t="shared" si="39"/>
        <v>8189536.3769633677</v>
      </c>
      <c r="FY47" s="26">
        <f t="shared" si="40"/>
        <v>367394.72658443713</v>
      </c>
      <c r="FZ47" s="26">
        <f t="shared" si="132"/>
        <v>0.80334645354673606</v>
      </c>
      <c r="GA47" s="26">
        <f t="shared" si="160"/>
        <v>0.83310711958328232</v>
      </c>
      <c r="GB47" s="26">
        <f t="shared" si="132"/>
        <v>0.8640292071509309</v>
      </c>
      <c r="GC47" s="26">
        <f t="shared" si="132"/>
        <v>0.89613407660055533</v>
      </c>
      <c r="GD47" s="26">
        <f t="shared" si="132"/>
        <v>0.92946127409213297</v>
      </c>
      <c r="GE47" s="26">
        <f t="shared" si="161"/>
        <v>0.96406597223367718</v>
      </c>
      <c r="GF47" s="26">
        <f t="shared" si="161"/>
        <v>1</v>
      </c>
      <c r="GG47" s="26">
        <f t="shared" si="161"/>
        <v>1.0373334760882142</v>
      </c>
      <c r="GH47" s="26">
        <f t="shared" si="161"/>
        <v>1.0761261564168252</v>
      </c>
      <c r="GI47" s="26">
        <f t="shared" si="161"/>
        <v>1.1164349003514591</v>
      </c>
      <c r="GJ47" s="26">
        <f t="shared" si="161"/>
        <v>1.158329176780778</v>
      </c>
      <c r="GK47" s="26">
        <f t="shared" si="162"/>
        <v>1.2018667171954776</v>
      </c>
      <c r="GL47" s="26">
        <f t="shared" si="162"/>
        <v>1.2471068691839047</v>
      </c>
      <c r="GM47" s="26">
        <f t="shared" si="162"/>
        <v>1.2941645260253727</v>
      </c>
      <c r="GN47" s="26">
        <f t="shared" si="162"/>
        <v>1.3431630801055809</v>
      </c>
      <c r="GO47" s="26">
        <f t="shared" si="163"/>
        <v>1.3942550923934822</v>
      </c>
      <c r="GP47" s="26">
        <f t="shared" si="140"/>
        <v>1.4475359310413571</v>
      </c>
      <c r="GQ47" s="26">
        <f t="shared" si="134"/>
        <v>1.5031569768608206</v>
      </c>
      <c r="GR47" s="26">
        <f t="shared" si="134"/>
        <v>1.561247997877238</v>
      </c>
      <c r="GS47" s="26">
        <f t="shared" si="134"/>
        <v>1.6219819447141626</v>
      </c>
      <c r="GT47" s="26">
        <f t="shared" si="134"/>
        <v>1.6855628443624349</v>
      </c>
      <c r="GU47" s="26">
        <f t="shared" si="135"/>
        <v>5.4881070713656106</v>
      </c>
      <c r="GV47" s="26">
        <f t="shared" si="164"/>
        <v>4.6543728899267895</v>
      </c>
      <c r="GW47" s="26">
        <f t="shared" si="135"/>
        <v>3.7900107159048972</v>
      </c>
      <c r="GX47" s="26">
        <f t="shared" si="135"/>
        <v>2.8936795838735305</v>
      </c>
      <c r="GY47" s="26">
        <f t="shared" si="135"/>
        <v>1.9641054667022841</v>
      </c>
      <c r="GZ47" s="26">
        <f t="shared" si="165"/>
        <v>1.0000000000000058</v>
      </c>
      <c r="HA47" s="26">
        <f t="shared" si="165"/>
        <v>0</v>
      </c>
      <c r="HB47" s="26">
        <f t="shared" si="165"/>
        <v>-1.0373334760882178</v>
      </c>
      <c r="HC47" s="26">
        <f t="shared" si="165"/>
        <v>-2.1135226940036573</v>
      </c>
      <c r="HD47" s="26">
        <f t="shared" si="165"/>
        <v>-3.2301467424564403</v>
      </c>
      <c r="HE47" s="26">
        <f t="shared" si="165"/>
        <v>-4.3888832141569036</v>
      </c>
      <c r="HF47" s="26">
        <f t="shared" si="166"/>
        <v>-5.5914324768617467</v>
      </c>
      <c r="HG47" s="26">
        <f t="shared" si="166"/>
        <v>-6.8395443538346896</v>
      </c>
      <c r="HH47" s="26">
        <f t="shared" si="166"/>
        <v>-8.135357485100366</v>
      </c>
      <c r="HI47" s="26">
        <f t="shared" si="166"/>
        <v>-9.4812326028108238</v>
      </c>
      <c r="HJ47" s="26">
        <f t="shared" si="167"/>
        <v>-10.879923776553527</v>
      </c>
      <c r="HK47" s="26">
        <f t="shared" si="141"/>
        <v>-12.333909783375985</v>
      </c>
      <c r="HL47" s="26">
        <f t="shared" si="137"/>
        <v>-13.846260455376378</v>
      </c>
      <c r="HM47" s="26">
        <f t="shared" si="137"/>
        <v>-15.420009199788671</v>
      </c>
      <c r="HN47" s="26">
        <f t="shared" si="137"/>
        <v>-17.058762278836774</v>
      </c>
      <c r="HO47" s="26">
        <f t="shared" si="137"/>
        <v>-18.766656935719084</v>
      </c>
      <c r="HP47" s="26">
        <f t="shared" si="44"/>
        <v>518042.15474760096</v>
      </c>
      <c r="HQ47" s="26">
        <f t="shared" si="45"/>
        <v>535007.10322747973</v>
      </c>
      <c r="HR47" s="26">
        <f t="shared" si="46"/>
        <v>552727.6034245179</v>
      </c>
      <c r="HS47" s="26">
        <f t="shared" si="47"/>
        <v>571262.58992935799</v>
      </c>
      <c r="HT47" s="26">
        <f t="shared" si="48"/>
        <v>590658.76496532792</v>
      </c>
      <c r="HU47" s="26">
        <f t="shared" si="49"/>
        <v>610960.10706139891</v>
      </c>
      <c r="HV47" s="26">
        <f t="shared" si="50"/>
        <v>632215.9078880985</v>
      </c>
      <c r="HW47" s="26">
        <f t="shared" si="51"/>
        <v>654479.49412911257</v>
      </c>
      <c r="HX47" s="26">
        <f t="shared" si="52"/>
        <v>677810.64962447749</v>
      </c>
      <c r="HY47" s="26">
        <f t="shared" si="53"/>
        <v>702271.95472316479</v>
      </c>
      <c r="HZ47" s="26">
        <f t="shared" si="54"/>
        <v>727932.60243494797</v>
      </c>
      <c r="IA47" s="26">
        <f t="shared" si="55"/>
        <v>754860.84281335829</v>
      </c>
      <c r="IB47" s="26">
        <f t="shared" si="56"/>
        <v>783126.16549699462</v>
      </c>
      <c r="IC47" s="26">
        <f t="shared" si="57"/>
        <v>812835.57155737758</v>
      </c>
      <c r="ID47" s="26">
        <f t="shared" si="58"/>
        <v>844116.71510343591</v>
      </c>
      <c r="IE47" s="26">
        <f t="shared" si="59"/>
        <v>877136.50011979835</v>
      </c>
      <c r="IF47" s="26">
        <f t="shared" si="60"/>
        <v>912027.97771846235</v>
      </c>
      <c r="IG47" s="26">
        <f t="shared" si="61"/>
        <v>948984.58865556412</v>
      </c>
      <c r="IH47" s="26">
        <f t="shared" si="62"/>
        <v>988191.33728696138</v>
      </c>
      <c r="II47" s="26">
        <f t="shared" si="63"/>
        <v>-938805207083.63538</v>
      </c>
      <c r="IJ47" s="26">
        <f t="shared" si="64"/>
        <v>537908.01071270241</v>
      </c>
      <c r="IK47" s="26">
        <f t="shared" si="65"/>
        <v>554524.08019767224</v>
      </c>
      <c r="IL47" s="26">
        <f t="shared" si="66"/>
        <v>571965.99556478811</v>
      </c>
      <c r="IM47" s="26">
        <f t="shared" si="67"/>
        <v>590299.51706838724</v>
      </c>
      <c r="IN47" s="26">
        <f t="shared" si="68"/>
        <v>609578.27547063481</v>
      </c>
      <c r="IO47" s="26">
        <f t="shared" si="69"/>
        <v>629853.52023716026</v>
      </c>
      <c r="IP47" s="26">
        <f t="shared" si="70"/>
        <v>651182.38512474147</v>
      </c>
      <c r="IQ47" s="26">
        <f t="shared" si="71"/>
        <v>673626.60535195866</v>
      </c>
      <c r="IR47" s="26">
        <f t="shared" si="72"/>
        <v>697255.0449733783</v>
      </c>
      <c r="IS47" s="26">
        <f t="shared" si="73"/>
        <v>722139.97538562422</v>
      </c>
      <c r="IT47" s="26">
        <f t="shared" si="74"/>
        <v>748361.02668370854</v>
      </c>
      <c r="IU47" s="26">
        <f t="shared" si="75"/>
        <v>775997.47197034315</v>
      </c>
      <c r="IV47" s="26">
        <f t="shared" si="76"/>
        <v>805130.49794577574</v>
      </c>
      <c r="IW47" s="26">
        <f t="shared" si="77"/>
        <v>835880.54548420943</v>
      </c>
      <c r="IX47" s="26">
        <f t="shared" si="78"/>
        <v>868390.09341374168</v>
      </c>
      <c r="IY47" s="26">
        <f t="shared" si="79"/>
        <v>902842.89361881069</v>
      </c>
      <c r="IZ47" s="26">
        <f t="shared" si="80"/>
        <v>939388.81705001625</v>
      </c>
      <c r="JA47" s="26">
        <f t="shared" si="81"/>
        <v>978240.93135015876</v>
      </c>
      <c r="JB47" s="26">
        <f t="shared" si="82"/>
        <v>1019604.7442294152</v>
      </c>
      <c r="JC47" s="26">
        <f t="shared" si="83"/>
        <v>-966969360337.33899</v>
      </c>
      <c r="JD47" s="26">
        <f t="shared" si="84"/>
        <v>154882.95708214981</v>
      </c>
      <c r="JE47" s="26">
        <f t="shared" si="85"/>
        <v>246542.10389462102</v>
      </c>
      <c r="JF47" s="26">
        <f t="shared" si="86"/>
        <v>341837.82605551579</v>
      </c>
      <c r="JG47" s="26">
        <f t="shared" si="87"/>
        <v>440933.14685856411</v>
      </c>
      <c r="JH47" s="26">
        <f t="shared" si="88"/>
        <v>543989.93934950791</v>
      </c>
      <c r="JI47" s="26">
        <f t="shared" si="89"/>
        <v>651182.38512474147</v>
      </c>
      <c r="JJ47" s="26">
        <f t="shared" si="90"/>
        <v>762695.77218352829</v>
      </c>
      <c r="JK47" s="26">
        <f t="shared" si="91"/>
        <v>878729.67176784901</v>
      </c>
      <c r="JL47" s="26">
        <f t="shared" si="92"/>
        <v>999491.94148551766</v>
      </c>
      <c r="JM47" s="26">
        <f t="shared" si="93"/>
        <v>1125206.255548927</v>
      </c>
      <c r="JN47" s="26">
        <f t="shared" si="94"/>
        <v>1256097.8867252048</v>
      </c>
      <c r="JO47" s="26">
        <f t="shared" si="95"/>
        <v>1392398.2678059428</v>
      </c>
      <c r="JP47" s="26">
        <f t="shared" si="96"/>
        <v>1534411.470956088</v>
      </c>
      <c r="JQ47" s="26">
        <f t="shared" si="97"/>
        <v>1682482.6759198299</v>
      </c>
      <c r="JR47" s="26">
        <f t="shared" si="98"/>
        <v>1837032.1088584003</v>
      </c>
      <c r="JS47" s="26">
        <f t="shared" si="99"/>
        <v>1998422.4773959196</v>
      </c>
      <c r="JT47" s="26">
        <f t="shared" si="100"/>
        <v>2167130.4359518625</v>
      </c>
      <c r="JU47" s="26">
        <f t="shared" si="101"/>
        <v>2343621.9514438044</v>
      </c>
      <c r="JV47" s="26">
        <f t="shared" si="102"/>
        <v>-966967895610.92419</v>
      </c>
      <c r="JW47" s="26">
        <f t="shared" si="103"/>
        <v>1766255.3228730767</v>
      </c>
      <c r="JX47" s="26" t="e">
        <f>AH47+$AG$38*0.004*(1+$R$28)*#REF!-S47*#REF!</f>
        <v>#REF!</v>
      </c>
      <c r="JY47" s="34">
        <f t="shared" si="104"/>
        <v>5.1488554578980675E-2</v>
      </c>
      <c r="JZ47" s="4">
        <f t="shared" si="105"/>
        <v>47417.545090988744</v>
      </c>
      <c r="KA47" s="165"/>
      <c r="KB47" s="163">
        <v>20</v>
      </c>
      <c r="KC47" s="163">
        <f>((1+0.035)^(-1))*(1-((1+0.035)^(-m-n+20)))/(1-((1+0.035)^(-1)))</f>
        <v>-9.0516867703829593</v>
      </c>
      <c r="KD47" s="163">
        <f>((1+0.035)^(-1))*(1-((1+0.035)^(-m-(n/2)+20/2)))/(1-((1+0.035)^(-1)))</f>
        <v>-1.5130494251485129</v>
      </c>
      <c r="KE47" s="61">
        <f>IF(KB47&lt;=n,VLOOKUP(A28+x,A28:KF139,282),0)</f>
        <v>0</v>
      </c>
      <c r="KF47" s="162">
        <f>IF(KB47&lt;=n,VLOOKUP(A28+x,A28:KF139,282),0)</f>
        <v>0</v>
      </c>
    </row>
    <row r="48" spans="1:293" ht="15.75" x14ac:dyDescent="0.3">
      <c r="A48" s="34">
        <v>47</v>
      </c>
      <c r="B48" s="34">
        <v>20</v>
      </c>
      <c r="C48" s="2">
        <v>983382</v>
      </c>
      <c r="D48" s="1">
        <f t="shared" si="106"/>
        <v>1552</v>
      </c>
      <c r="E48" s="145">
        <f t="shared" si="107"/>
        <v>0.99842177302411472</v>
      </c>
      <c r="F48" s="146">
        <f t="shared" si="108"/>
        <v>1.5782269758852774E-3</v>
      </c>
      <c r="G48" s="158">
        <f t="shared" si="3"/>
        <v>1.9727837198565967E-3</v>
      </c>
      <c r="H48" s="43">
        <f t="shared" si="109"/>
        <v>1931.8779974683389</v>
      </c>
      <c r="I48" s="43">
        <f t="shared" si="139"/>
        <v>979264.97366308793</v>
      </c>
      <c r="J48" s="43">
        <f t="shared" si="110"/>
        <v>982606</v>
      </c>
      <c r="K48" s="147">
        <f>SUM(J48:$J$138)</f>
        <v>53690442</v>
      </c>
      <c r="L48" s="147">
        <f t="shared" si="111"/>
        <v>54.597747365723592</v>
      </c>
      <c r="M48" s="43">
        <f t="shared" si="4"/>
        <v>1228257.5</v>
      </c>
      <c r="N48" s="148">
        <f t="shared" si="5"/>
        <v>67113052.5</v>
      </c>
      <c r="O48" s="147">
        <f t="shared" si="6"/>
        <v>68.24718420715449</v>
      </c>
      <c r="P48" s="157">
        <f t="shared" si="7"/>
        <v>492145.1675819463</v>
      </c>
      <c r="Q48" s="43">
        <f t="shared" si="8"/>
        <v>1229227.5</v>
      </c>
      <c r="R48" s="43">
        <f t="shared" si="9"/>
        <v>954.33867793456591</v>
      </c>
      <c r="S48" s="43">
        <f>SUM(R48:$R$138)</f>
        <v>99303.129534979467</v>
      </c>
      <c r="T48" s="43">
        <f t="shared" si="112"/>
        <v>4085155.3974711103</v>
      </c>
      <c r="U48" s="153">
        <f>SUM(P48:$P$138)</f>
        <v>11666978.843601737</v>
      </c>
      <c r="V48" s="129">
        <f t="shared" si="10"/>
        <v>8570670.3942497224</v>
      </c>
      <c r="W48" s="43">
        <f t="shared" si="113"/>
        <v>381134.01728635549</v>
      </c>
      <c r="X48" s="26">
        <f t="shared" si="114"/>
        <v>6.2914535249123489</v>
      </c>
      <c r="Y48" s="26">
        <f t="shared" si="115"/>
        <v>0.77443413527553018</v>
      </c>
      <c r="Z48" s="43">
        <f t="shared" si="11"/>
        <v>92888.672315653326</v>
      </c>
      <c r="AA48" s="149">
        <f t="shared" si="116"/>
        <v>1.3033669010390273E-2</v>
      </c>
      <c r="AB48" s="150">
        <f t="shared" si="138"/>
        <v>11174833.676019788</v>
      </c>
      <c r="AC48" s="150">
        <f t="shared" si="117"/>
        <v>8189536.3769633677</v>
      </c>
      <c r="AD48" s="26">
        <f t="shared" si="118"/>
        <v>6.0658876601878715</v>
      </c>
      <c r="AE48" s="26">
        <f t="shared" si="12"/>
        <v>519575.75307702419</v>
      </c>
      <c r="AF48" s="43">
        <f t="shared" si="119"/>
        <v>82584.374345237302</v>
      </c>
      <c r="AG48" s="43">
        <f t="shared" si="13"/>
        <v>540470.80315211136</v>
      </c>
      <c r="AH48" s="27">
        <f t="shared" si="14"/>
        <v>89748.35763779415</v>
      </c>
      <c r="AI48" s="28">
        <f t="shared" si="120"/>
        <v>581151.40123882948</v>
      </c>
      <c r="AJ48" s="20">
        <f t="shared" si="15"/>
        <v>96503.610363219515</v>
      </c>
      <c r="AK48" s="3">
        <f t="shared" si="16"/>
        <v>8363.6462314790242</v>
      </c>
      <c r="AL48" s="3"/>
      <c r="AM48" s="46">
        <f t="shared" si="121"/>
        <v>11174833.676019788</v>
      </c>
      <c r="AN48" s="46">
        <f t="shared" si="122"/>
        <v>10700269.162389321</v>
      </c>
      <c r="AO48" s="46">
        <f t="shared" si="122"/>
        <v>10242688.479080243</v>
      </c>
      <c r="AP48" s="3">
        <f t="shared" si="147"/>
        <v>9801501.0660238042</v>
      </c>
      <c r="AQ48" s="3">
        <f t="shared" si="147"/>
        <v>9376133.074879365</v>
      </c>
      <c r="AR48" s="16">
        <f t="shared" si="147"/>
        <v>8966033.4692568444</v>
      </c>
      <c r="AS48" s="16">
        <f t="shared" si="147"/>
        <v>8570670.3942497224</v>
      </c>
      <c r="AT48" s="16">
        <f t="shared" si="147"/>
        <v>8189536.3769633677</v>
      </c>
      <c r="AU48" s="16">
        <f t="shared" si="147"/>
        <v>7822141.6503789313</v>
      </c>
      <c r="AV48" s="16">
        <f t="shared" si="147"/>
        <v>7468011.6649380811</v>
      </c>
      <c r="AW48" s="16">
        <f t="shared" si="147"/>
        <v>7126689.7998479586</v>
      </c>
      <c r="AX48" s="16">
        <f t="shared" si="147"/>
        <v>6797732.2961992268</v>
      </c>
      <c r="AY48" s="16">
        <f t="shared" si="147"/>
        <v>6480708.0821750965</v>
      </c>
      <c r="AZ48" s="16">
        <f t="shared" si="147"/>
        <v>6175211.3180029579</v>
      </c>
      <c r="BA48" s="16">
        <f t="shared" si="147"/>
        <v>5880859.0678085573</v>
      </c>
      <c r="BB48" s="16">
        <f t="shared" si="147"/>
        <v>5597293.2575317528</v>
      </c>
      <c r="BC48" s="16">
        <f t="shared" si="144"/>
        <v>5324164.9250815194</v>
      </c>
      <c r="BD48" s="16">
        <f t="shared" si="18"/>
        <v>5061143.1109308824</v>
      </c>
      <c r="BE48" s="16">
        <f t="shared" si="18"/>
        <v>4807907.8302165577</v>
      </c>
      <c r="BF48" s="16">
        <f t="shared" si="18"/>
        <v>4564154.762375352</v>
      </c>
      <c r="BG48" s="16">
        <f t="shared" si="18"/>
        <v>4329596.2727115229</v>
      </c>
      <c r="BH48" s="172">
        <f t="shared" si="123"/>
        <v>474564.51363046817</v>
      </c>
      <c r="BI48" s="16">
        <f t="shared" si="148"/>
        <v>457580.68330907432</v>
      </c>
      <c r="BJ48" s="16">
        <f t="shared" si="148"/>
        <v>441187.41305644001</v>
      </c>
      <c r="BK48" s="16">
        <f t="shared" si="148"/>
        <v>425367.99114443822</v>
      </c>
      <c r="BL48" s="16">
        <f t="shared" si="148"/>
        <v>410099.60562251828</v>
      </c>
      <c r="BM48" s="16">
        <f t="shared" si="148"/>
        <v>395363.07500712067</v>
      </c>
      <c r="BN48" s="16">
        <f t="shared" si="148"/>
        <v>381134.01728635549</v>
      </c>
      <c r="BO48" s="16">
        <f t="shared" si="148"/>
        <v>367394.72658443713</v>
      </c>
      <c r="BP48" s="16">
        <f t="shared" si="148"/>
        <v>354129.98544085148</v>
      </c>
      <c r="BQ48" s="16">
        <f t="shared" si="148"/>
        <v>341321.86509012192</v>
      </c>
      <c r="BR48" s="16">
        <f t="shared" si="148"/>
        <v>328957.50364873186</v>
      </c>
      <c r="BS48" s="16">
        <f t="shared" si="148"/>
        <v>317024.21402412985</v>
      </c>
      <c r="BT48" s="16">
        <f t="shared" si="148"/>
        <v>305496.76417213847</v>
      </c>
      <c r="BU48" s="16">
        <f t="shared" si="148"/>
        <v>294352.25019440131</v>
      </c>
      <c r="BV48" s="16">
        <f t="shared" si="148"/>
        <v>283565.81027680589</v>
      </c>
      <c r="BW48" s="16">
        <f t="shared" si="148"/>
        <v>273128.33245023253</v>
      </c>
      <c r="BX48" s="16">
        <f t="shared" si="148"/>
        <v>263021.81415063736</v>
      </c>
      <c r="BY48" s="16">
        <f t="shared" si="149"/>
        <v>253235.28071432526</v>
      </c>
      <c r="BZ48" s="16">
        <f t="shared" si="149"/>
        <v>243753.06784120487</v>
      </c>
      <c r="CA48" s="16">
        <f t="shared" si="149"/>
        <v>234558.48966382915</v>
      </c>
      <c r="CB48" s="16">
        <f t="shared" si="149"/>
        <v>225635.93640848066</v>
      </c>
      <c r="CC48" s="18">
        <f t="shared" si="124"/>
        <v>5.4874800095100751</v>
      </c>
      <c r="CD48" s="18">
        <f t="shared" si="124"/>
        <v>4.6540399230558309</v>
      </c>
      <c r="CE48" s="18">
        <f t="shared" si="124"/>
        <v>3.7898136604740889</v>
      </c>
      <c r="CF48" s="18">
        <f t="shared" si="124"/>
        <v>2.8935667407944203</v>
      </c>
      <c r="CG48" s="18">
        <f t="shared" si="124"/>
        <v>1.9640659722336862</v>
      </c>
      <c r="CH48" s="18">
        <f t="shared" si="150"/>
        <v>1.0000000000000033</v>
      </c>
      <c r="CI48" s="18">
        <f t="shared" si="150"/>
        <v>0</v>
      </c>
      <c r="CJ48" s="18">
        <f t="shared" si="150"/>
        <v>-1.0373965375868286</v>
      </c>
      <c r="CK48" s="18">
        <f t="shared" si="150"/>
        <v>-2.1137118421049776</v>
      </c>
      <c r="CL48" s="18">
        <f t="shared" si="151"/>
        <v>-3.2305540373761219</v>
      </c>
      <c r="CM48" s="18">
        <f t="shared" si="151"/>
        <v>-4.3895657596662652</v>
      </c>
      <c r="CN48" s="18">
        <f t="shared" si="151"/>
        <v>-5.5924374846507812</v>
      </c>
      <c r="CO48" s="18">
        <f t="shared" si="151"/>
        <v>-6.8411929590749887</v>
      </c>
      <c r="CP48" s="18">
        <f t="shared" si="152"/>
        <v>-8.1380695227052389</v>
      </c>
      <c r="CQ48" s="18">
        <f t="shared" si="153"/>
        <v>-9.4856686841600411</v>
      </c>
      <c r="CR48" s="18">
        <f t="shared" si="154"/>
        <v>-10.886373852334623</v>
      </c>
      <c r="CS48" s="18">
        <f t="shared" si="142"/>
        <v>-12.343103478515552</v>
      </c>
      <c r="CT48" s="18">
        <f t="shared" si="125"/>
        <v>-13.858761201911427</v>
      </c>
      <c r="CU48" s="18">
        <f t="shared" si="125"/>
        <v>-15.436780334122606</v>
      </c>
      <c r="CV48" s="18">
        <f t="shared" si="125"/>
        <v>-17.081094091356643</v>
      </c>
      <c r="CW48" s="18">
        <f t="shared" si="22"/>
        <v>-18.796093339761086</v>
      </c>
      <c r="CX48" s="17">
        <f t="shared" si="23"/>
        <v>951.98985991150846</v>
      </c>
      <c r="CY48" s="17">
        <f t="shared" si="126"/>
        <v>935.48067603793174</v>
      </c>
      <c r="CZ48" s="17">
        <f t="shared" si="126"/>
        <v>915.65604963103942</v>
      </c>
      <c r="DA48" s="17">
        <f t="shared" si="126"/>
        <v>899.29697454822428</v>
      </c>
      <c r="DB48" s="17">
        <f t="shared" si="126"/>
        <v>883.49479936321018</v>
      </c>
      <c r="DC48" s="17">
        <f t="shared" si="126"/>
        <v>874.20018189965901</v>
      </c>
      <c r="DD48" s="17">
        <f t="shared" si="126"/>
        <v>865.45997580359983</v>
      </c>
      <c r="DE48" s="17">
        <f t="shared" si="126"/>
        <v>855.35173047303624</v>
      </c>
      <c r="DF48" s="3" t="e">
        <f>#REF!+$AG$35*0.004*(1+$R$28)*#REF!-S48*#REF!</f>
        <v>#REF!</v>
      </c>
      <c r="DG48" s="19">
        <f t="shared" si="25"/>
        <v>1795.8624721792494</v>
      </c>
      <c r="DH48" s="19">
        <f t="shared" si="26"/>
        <v>1651.1856664271581</v>
      </c>
      <c r="DI48" s="19">
        <f t="shared" si="27"/>
        <v>1498.4590754515871</v>
      </c>
      <c r="DJ48" s="19">
        <f t="shared" si="28"/>
        <v>1344.2738528408975</v>
      </c>
      <c r="DK48" s="19">
        <f t="shared" si="29"/>
        <v>1185.5317051528673</v>
      </c>
      <c r="DL48" s="19">
        <f t="shared" si="30"/>
        <v>1027.9816281746832</v>
      </c>
      <c r="DM48" s="19">
        <f t="shared" si="31"/>
        <v>865.45997580359983</v>
      </c>
      <c r="DN48" s="19">
        <f t="shared" si="32"/>
        <v>695.81939056223166</v>
      </c>
      <c r="DO48" s="173">
        <f t="shared" si="127"/>
        <v>98348.790857044893</v>
      </c>
      <c r="DP48" s="25">
        <f t="shared" si="155"/>
        <v>97396.800997133396</v>
      </c>
      <c r="DQ48" s="26">
        <f t="shared" si="155"/>
        <v>96461.320321095467</v>
      </c>
      <c r="DR48" s="26">
        <f t="shared" si="155"/>
        <v>95545.664271464426</v>
      </c>
      <c r="DS48" s="26">
        <f t="shared" si="155"/>
        <v>94646.3672969162</v>
      </c>
      <c r="DT48" s="26">
        <f t="shared" si="155"/>
        <v>93762.872497552977</v>
      </c>
      <c r="DU48" s="26">
        <f t="shared" si="155"/>
        <v>92888.672315653326</v>
      </c>
      <c r="DV48" s="26">
        <f t="shared" si="155"/>
        <v>92023.212339849706</v>
      </c>
      <c r="DW48" s="26">
        <f t="shared" si="155"/>
        <v>91167.860609376687</v>
      </c>
      <c r="DX48" s="26">
        <f t="shared" si="155"/>
        <v>90320.703290559817</v>
      </c>
      <c r="DY48" s="26">
        <f t="shared" si="155"/>
        <v>89484.364534015098</v>
      </c>
      <c r="DZ48" s="26">
        <f t="shared" si="155"/>
        <v>88661.203824896802</v>
      </c>
      <c r="EA48" s="26">
        <f t="shared" si="155"/>
        <v>87840.381572520157</v>
      </c>
      <c r="EB48" s="26">
        <f t="shared" si="155"/>
        <v>87012.558663059375</v>
      </c>
      <c r="EC48" s="26">
        <f t="shared" si="155"/>
        <v>86165.616132443218</v>
      </c>
      <c r="ED48" s="26">
        <f t="shared" si="155"/>
        <v>85302.60278943798</v>
      </c>
      <c r="EE48" s="26">
        <f t="shared" si="145"/>
        <v>84417.209120336134</v>
      </c>
      <c r="EF48" s="26">
        <f t="shared" si="34"/>
        <v>83509.656097891071</v>
      </c>
      <c r="EG48" s="26">
        <f t="shared" si="34"/>
        <v>82575.016132919322</v>
      </c>
      <c r="EH48" s="26">
        <f t="shared" si="34"/>
        <v>81606.783444357046</v>
      </c>
      <c r="EI48" s="26">
        <f t="shared" si="34"/>
        <v>80598.972968603455</v>
      </c>
      <c r="EJ48" s="26">
        <f t="shared" si="128"/>
        <v>1.1505534831547114E-2</v>
      </c>
      <c r="EK48" s="26">
        <f t="shared" si="128"/>
        <v>9.8520956979187869E-3</v>
      </c>
      <c r="EL48" s="26">
        <f t="shared" si="156"/>
        <v>8.0978012964868992E-3</v>
      </c>
      <c r="EM48" s="26">
        <f t="shared" si="156"/>
        <v>6.2463373152797713E-3</v>
      </c>
      <c r="EN48" s="26">
        <f t="shared" si="156"/>
        <v>4.2860196819617712E-3</v>
      </c>
      <c r="EO48" s="26">
        <f t="shared" si="156"/>
        <v>2.2111325947267728E-3</v>
      </c>
      <c r="EP48" s="26">
        <f t="shared" si="156"/>
        <v>0</v>
      </c>
      <c r="EQ48" s="26">
        <f t="shared" si="156"/>
        <v>-2.3556679320074951E-3</v>
      </c>
      <c r="ER48" s="26">
        <f t="shared" si="156"/>
        <v>-4.8592657414605125E-3</v>
      </c>
      <c r="ES48" s="26">
        <f t="shared" si="156"/>
        <v>-7.5235995338753577E-3</v>
      </c>
      <c r="ET48" s="26">
        <f t="shared" si="156"/>
        <v>-1.0348776799064671E-2</v>
      </c>
      <c r="EU48" s="26">
        <f t="shared" si="156"/>
        <v>-1.333484416567233E-2</v>
      </c>
      <c r="EV48" s="26">
        <f t="shared" si="156"/>
        <v>-1.6524858313355508E-2</v>
      </c>
      <c r="EW48" s="26">
        <f t="shared" si="156"/>
        <v>-1.9962863027930461E-2</v>
      </c>
      <c r="EX48" s="26">
        <f t="shared" si="156"/>
        <v>-2.3708980206913248E-2</v>
      </c>
      <c r="EY48" s="26">
        <f t="shared" si="156"/>
        <v>-2.7774744048560486E-2</v>
      </c>
      <c r="EZ48" s="26">
        <f t="shared" si="146"/>
        <v>-3.2208215210870042E-2</v>
      </c>
      <c r="FA48" s="26">
        <f t="shared" si="37"/>
        <v>-3.7036767512433323E-2</v>
      </c>
      <c r="FB48" s="26">
        <f t="shared" si="37"/>
        <v>-4.2311903083217514E-2</v>
      </c>
      <c r="FC48" s="26">
        <f t="shared" si="37"/>
        <v>-4.8098403462034402E-2</v>
      </c>
      <c r="FD48" s="26">
        <f t="shared" si="37"/>
        <v>-5.4466941492870971E-2</v>
      </c>
      <c r="FE48" s="26">
        <f t="shared" si="130"/>
        <v>5.2906037289189305</v>
      </c>
      <c r="FF48" s="26">
        <f t="shared" si="130"/>
        <v>4.48697284874254</v>
      </c>
      <c r="FG48" s="26">
        <f t="shared" si="130"/>
        <v>3.6536960061782677</v>
      </c>
      <c r="FH48" s="26">
        <f t="shared" si="130"/>
        <v>2.7895768431552619</v>
      </c>
      <c r="FI48" s="26">
        <f t="shared" si="130"/>
        <v>1.8934353548445348</v>
      </c>
      <c r="FJ48" s="26">
        <f t="shared" si="157"/>
        <v>0.96401015011199587</v>
      </c>
      <c r="FK48" s="26">
        <f t="shared" si="157"/>
        <v>0</v>
      </c>
      <c r="FL48" s="26">
        <f t="shared" si="157"/>
        <v>-0.99999999999999789</v>
      </c>
      <c r="FM48" s="26">
        <f t="shared" si="157"/>
        <v>-2.0374572662268928</v>
      </c>
      <c r="FN48" s="26">
        <f t="shared" si="157"/>
        <v>-3.113912953788581</v>
      </c>
      <c r="FO48" s="26">
        <f t="shared" si="157"/>
        <v>-4.2309540452080405</v>
      </c>
      <c r="FP48" s="26">
        <f t="shared" si="158"/>
        <v>-5.3902138044831052</v>
      </c>
      <c r="FQ48" s="26">
        <f t="shared" si="158"/>
        <v>-6.5936052200716491</v>
      </c>
      <c r="FR48" s="26">
        <f t="shared" si="158"/>
        <v>-7.8432466802277645</v>
      </c>
      <c r="FS48" s="26">
        <f t="shared" si="158"/>
        <v>-9.1415926232473801</v>
      </c>
      <c r="FT48" s="26">
        <f t="shared" si="159"/>
        <v>-10.490934522158939</v>
      </c>
      <c r="FU48" s="26">
        <f t="shared" si="143"/>
        <v>-11.894044895610056</v>
      </c>
      <c r="FV48" s="26">
        <f t="shared" si="131"/>
        <v>-13.353702285115736</v>
      </c>
      <c r="FW48" s="26">
        <f t="shared" si="131"/>
        <v>-14.873173276119761</v>
      </c>
      <c r="FX48" s="26">
        <f t="shared" si="39"/>
        <v>7822141.6503789313</v>
      </c>
      <c r="FY48" s="26">
        <f t="shared" si="40"/>
        <v>354129.98544085148</v>
      </c>
      <c r="FZ48" s="26">
        <f t="shared" si="132"/>
        <v>0.80312371940885419</v>
      </c>
      <c r="GA48" s="26">
        <f t="shared" si="160"/>
        <v>0.83293292568671939</v>
      </c>
      <c r="GB48" s="26">
        <f t="shared" si="132"/>
        <v>0.86388234570417799</v>
      </c>
      <c r="GC48" s="26">
        <f t="shared" si="132"/>
        <v>0.89601010236084588</v>
      </c>
      <c r="GD48" s="26">
        <f t="shared" si="132"/>
        <v>0.92936938261085633</v>
      </c>
      <c r="GE48" s="26">
        <f t="shared" si="161"/>
        <v>0.96401015011199787</v>
      </c>
      <c r="GF48" s="26">
        <f t="shared" si="161"/>
        <v>1</v>
      </c>
      <c r="GG48" s="26">
        <f t="shared" si="161"/>
        <v>1.0373965375868308</v>
      </c>
      <c r="GH48" s="26">
        <f t="shared" si="161"/>
        <v>1.0762545758780835</v>
      </c>
      <c r="GI48" s="26">
        <f t="shared" si="161"/>
        <v>1.1166410835875447</v>
      </c>
      <c r="GJ48" s="26">
        <f t="shared" si="161"/>
        <v>1.1586117144582264</v>
      </c>
      <c r="GK48" s="26">
        <f t="shared" si="162"/>
        <v>1.2022236801676796</v>
      </c>
      <c r="GL48" s="26">
        <f t="shared" si="162"/>
        <v>1.2475877390033423</v>
      </c>
      <c r="GM48" s="26">
        <f t="shared" si="162"/>
        <v>1.2948228424774746</v>
      </c>
      <c r="GN48" s="26">
        <f t="shared" si="162"/>
        <v>1.3440760609126585</v>
      </c>
      <c r="GO48" s="26">
        <f t="shared" si="163"/>
        <v>1.3954393301756893</v>
      </c>
      <c r="GP48" s="26">
        <f t="shared" si="140"/>
        <v>1.4490585829054967</v>
      </c>
      <c r="GQ48" s="26">
        <f t="shared" si="134"/>
        <v>1.5050589167956925</v>
      </c>
      <c r="GR48" s="26">
        <f t="shared" si="134"/>
        <v>1.56360705800285</v>
      </c>
      <c r="GS48" s="26">
        <f t="shared" si="134"/>
        <v>1.6248996906170372</v>
      </c>
      <c r="GT48" s="26">
        <f t="shared" si="134"/>
        <v>1.6891547656503103</v>
      </c>
      <c r="GU48" s="26">
        <f t="shared" si="135"/>
        <v>5.4874800095100751</v>
      </c>
      <c r="GV48" s="26">
        <f t="shared" si="164"/>
        <v>4.6540399230558309</v>
      </c>
      <c r="GW48" s="26">
        <f t="shared" si="135"/>
        <v>3.7898136604740889</v>
      </c>
      <c r="GX48" s="26">
        <f t="shared" si="135"/>
        <v>2.8935667407944203</v>
      </c>
      <c r="GY48" s="26">
        <f t="shared" si="135"/>
        <v>1.9640659722336862</v>
      </c>
      <c r="GZ48" s="26">
        <f t="shared" si="165"/>
        <v>1.0000000000000033</v>
      </c>
      <c r="HA48" s="26">
        <f t="shared" si="165"/>
        <v>0</v>
      </c>
      <c r="HB48" s="26">
        <f t="shared" si="165"/>
        <v>-1.0373965375868286</v>
      </c>
      <c r="HC48" s="26">
        <f t="shared" si="165"/>
        <v>-2.1137118421049776</v>
      </c>
      <c r="HD48" s="26">
        <f t="shared" si="165"/>
        <v>-3.2305540373761219</v>
      </c>
      <c r="HE48" s="26">
        <f t="shared" si="165"/>
        <v>-4.3895657596662652</v>
      </c>
      <c r="HF48" s="26">
        <f t="shared" si="166"/>
        <v>-5.5924374846507812</v>
      </c>
      <c r="HG48" s="26">
        <f t="shared" si="166"/>
        <v>-6.8411929590749887</v>
      </c>
      <c r="HH48" s="26">
        <f t="shared" si="166"/>
        <v>-8.1380695227052389</v>
      </c>
      <c r="HI48" s="26">
        <f t="shared" si="166"/>
        <v>-9.4856686841600411</v>
      </c>
      <c r="HJ48" s="26">
        <f t="shared" si="167"/>
        <v>-10.886373852334623</v>
      </c>
      <c r="HK48" s="26">
        <f t="shared" si="141"/>
        <v>-12.343103478515552</v>
      </c>
      <c r="HL48" s="26">
        <f t="shared" si="137"/>
        <v>-13.858761201911427</v>
      </c>
      <c r="HM48" s="26">
        <f t="shared" si="137"/>
        <v>-15.436780334122606</v>
      </c>
      <c r="HN48" s="26">
        <f t="shared" si="137"/>
        <v>-17.081094091356643</v>
      </c>
      <c r="HO48" s="26">
        <f t="shared" si="137"/>
        <v>-18.796093339761086</v>
      </c>
      <c r="HP48" s="26">
        <f t="shared" si="44"/>
        <v>518128.26225582889</v>
      </c>
      <c r="HQ48" s="26">
        <f t="shared" si="45"/>
        <v>535056.08688036725</v>
      </c>
      <c r="HR48" s="26">
        <f t="shared" si="46"/>
        <v>552759.1451161803</v>
      </c>
      <c r="HS48" s="26">
        <f t="shared" si="47"/>
        <v>571282.97731987759</v>
      </c>
      <c r="HT48" s="26">
        <f t="shared" si="48"/>
        <v>590668.72862909676</v>
      </c>
      <c r="HU48" s="26">
        <f t="shared" si="49"/>
        <v>610963.36214612017</v>
      </c>
      <c r="HV48" s="26">
        <f t="shared" si="50"/>
        <v>632215.9078880985</v>
      </c>
      <c r="HW48" s="26">
        <f t="shared" si="51"/>
        <v>654483.17028502317</v>
      </c>
      <c r="HX48" s="26">
        <f t="shared" si="52"/>
        <v>677825.21716291574</v>
      </c>
      <c r="HY48" s="26">
        <f t="shared" si="53"/>
        <v>702307.42506014556</v>
      </c>
      <c r="HZ48" s="26">
        <f t="shared" si="54"/>
        <v>727995.71642261674</v>
      </c>
      <c r="IA48" s="26">
        <f t="shared" si="55"/>
        <v>754957.218133991</v>
      </c>
      <c r="IB48" s="26">
        <f t="shared" si="56"/>
        <v>783290.36324698199</v>
      </c>
      <c r="IC48" s="26">
        <f t="shared" si="57"/>
        <v>813113.42522290722</v>
      </c>
      <c r="ID48" s="26">
        <f t="shared" si="58"/>
        <v>844580.75357252464</v>
      </c>
      <c r="IE48" s="26">
        <f t="shared" si="59"/>
        <v>877819.56598567276</v>
      </c>
      <c r="IF48" s="26">
        <f t="shared" si="60"/>
        <v>913011.23394989606</v>
      </c>
      <c r="IG48" s="26">
        <f t="shared" si="61"/>
        <v>950331.35166272207</v>
      </c>
      <c r="IH48" s="26">
        <f t="shared" si="62"/>
        <v>990009.3998396931</v>
      </c>
      <c r="II48" s="26">
        <f t="shared" si="63"/>
        <v>-896689053698.92078</v>
      </c>
      <c r="IJ48" s="26">
        <f t="shared" si="64"/>
        <v>537996.20732566819</v>
      </c>
      <c r="IK48" s="26">
        <f t="shared" si="65"/>
        <v>554574.28535304719</v>
      </c>
      <c r="IL48" s="26">
        <f t="shared" si="66"/>
        <v>571998.34538348252</v>
      </c>
      <c r="IM48" s="26">
        <f t="shared" si="67"/>
        <v>590320.44202453562</v>
      </c>
      <c r="IN48" s="26">
        <f t="shared" si="68"/>
        <v>609588.51391964871</v>
      </c>
      <c r="IO48" s="26">
        <f t="shared" si="69"/>
        <v>629856.87297442323</v>
      </c>
      <c r="IP48" s="26">
        <f t="shared" si="70"/>
        <v>651182.38512474147</v>
      </c>
      <c r="IQ48" s="26">
        <f t="shared" si="71"/>
        <v>673630.36217024655</v>
      </c>
      <c r="IR48" s="26">
        <f t="shared" si="72"/>
        <v>697269.96989488765</v>
      </c>
      <c r="IS48" s="26">
        <f t="shared" si="73"/>
        <v>722176.35850519256</v>
      </c>
      <c r="IT48" s="26">
        <f t="shared" si="74"/>
        <v>748425.81488156714</v>
      </c>
      <c r="IU48" s="26">
        <f t="shared" si="75"/>
        <v>776096.46728668001</v>
      </c>
      <c r="IV48" s="26">
        <f t="shared" si="76"/>
        <v>805299.26261030824</v>
      </c>
      <c r="IW48" s="26">
        <f t="shared" si="77"/>
        <v>836166.28802049125</v>
      </c>
      <c r="IX48" s="26">
        <f t="shared" si="78"/>
        <v>868867.561705039</v>
      </c>
      <c r="IY48" s="26">
        <f t="shared" si="79"/>
        <v>903546.09118968539</v>
      </c>
      <c r="IZ48" s="26">
        <f t="shared" si="80"/>
        <v>940401.570968393</v>
      </c>
      <c r="JA48" s="26">
        <f t="shared" si="81"/>
        <v>979628.80759458477</v>
      </c>
      <c r="JB48" s="26">
        <f t="shared" si="82"/>
        <v>1021479.2712112628</v>
      </c>
      <c r="JC48" s="26">
        <f t="shared" si="83"/>
        <v>-923589722347.20959</v>
      </c>
      <c r="JD48" s="26">
        <f t="shared" si="84"/>
        <v>154766.40547984751</v>
      </c>
      <c r="JE48" s="26">
        <f t="shared" si="85"/>
        <v>246432.30173988582</v>
      </c>
      <c r="JF48" s="26">
        <f t="shared" si="86"/>
        <v>341746.98691136518</v>
      </c>
      <c r="JG48" s="26">
        <f t="shared" si="87"/>
        <v>440864.33766156191</v>
      </c>
      <c r="JH48" s="26">
        <f t="shared" si="88"/>
        <v>543951.31855651259</v>
      </c>
      <c r="JI48" s="26">
        <f t="shared" si="89"/>
        <v>651182.38512474147</v>
      </c>
      <c r="JJ48" s="26">
        <f t="shared" si="90"/>
        <v>762748.48688286357</v>
      </c>
      <c r="JK48" s="26">
        <f t="shared" si="91"/>
        <v>878849.55757061823</v>
      </c>
      <c r="JL48" s="26">
        <f t="shared" si="92"/>
        <v>999698.8941630068</v>
      </c>
      <c r="JM48" s="26">
        <f t="shared" si="93"/>
        <v>1125513.8951195732</v>
      </c>
      <c r="JN48" s="26">
        <f t="shared" si="94"/>
        <v>1256517.909953109</v>
      </c>
      <c r="JO48" s="26">
        <f t="shared" si="95"/>
        <v>1392995.7366395495</v>
      </c>
      <c r="JP48" s="26">
        <f t="shared" si="96"/>
        <v>1535271.6622599834</v>
      </c>
      <c r="JQ48" s="26">
        <f t="shared" si="97"/>
        <v>1683739.1890424169</v>
      </c>
      <c r="JR48" s="26">
        <f t="shared" si="98"/>
        <v>1838746.0725751331</v>
      </c>
      <c r="JS48" s="26">
        <f t="shared" si="99"/>
        <v>2000742.7185279087</v>
      </c>
      <c r="JT48" s="26">
        <f t="shared" si="100"/>
        <v>2170173.372190211</v>
      </c>
      <c r="JU48" s="26">
        <f t="shared" si="101"/>
        <v>2347584.4442415596</v>
      </c>
      <c r="JV48" s="26">
        <f t="shared" si="102"/>
        <v>-923588254986.35156</v>
      </c>
      <c r="JW48" s="26">
        <f t="shared" si="103"/>
        <v>1769455.2247228147</v>
      </c>
      <c r="JX48" s="26" t="e">
        <f>AH48+$AG$38*0.004*(1+$R$28)*#REF!-S48*#REF!</f>
        <v>#REF!</v>
      </c>
      <c r="JY48" s="34">
        <f t="shared" si="104"/>
        <v>5.157822697588528E-2</v>
      </c>
      <c r="JZ48" s="4">
        <f t="shared" si="105"/>
        <v>47331.455408876645</v>
      </c>
      <c r="KA48" s="165"/>
      <c r="KE48" s="171"/>
    </row>
    <row r="49" spans="1:287" ht="15.75" x14ac:dyDescent="0.3">
      <c r="A49" s="34">
        <v>48</v>
      </c>
      <c r="B49" s="34">
        <v>21</v>
      </c>
      <c r="C49" s="2">
        <v>981830</v>
      </c>
      <c r="D49" s="1">
        <f t="shared" si="106"/>
        <v>1603</v>
      </c>
      <c r="E49" s="145">
        <f t="shared" si="107"/>
        <v>0.99836733446727033</v>
      </c>
      <c r="F49" s="146">
        <f t="shared" si="108"/>
        <v>1.6326655327296713E-3</v>
      </c>
      <c r="G49" s="158">
        <f t="shared" si="3"/>
        <v>2.0408319159120891E-3</v>
      </c>
      <c r="H49" s="43">
        <f t="shared" si="109"/>
        <v>1994.5725741115596</v>
      </c>
      <c r="I49" s="43">
        <f t="shared" si="139"/>
        <v>977333.09566561959</v>
      </c>
      <c r="J49" s="43">
        <f t="shared" si="110"/>
        <v>981028.5</v>
      </c>
      <c r="K49" s="147">
        <f>SUM(J49:$J$138)</f>
        <v>52707836</v>
      </c>
      <c r="L49" s="147">
        <f t="shared" si="111"/>
        <v>53.683260849637918</v>
      </c>
      <c r="M49" s="43">
        <f t="shared" si="4"/>
        <v>1226285.625</v>
      </c>
      <c r="N49" s="148">
        <f t="shared" si="5"/>
        <v>65884795</v>
      </c>
      <c r="O49" s="147">
        <f t="shared" si="6"/>
        <v>67.104076062047397</v>
      </c>
      <c r="P49" s="157">
        <f t="shared" si="7"/>
        <v>474564.51363046817</v>
      </c>
      <c r="Q49" s="43">
        <f t="shared" si="8"/>
        <v>1227287.5</v>
      </c>
      <c r="R49" s="43">
        <f t="shared" si="9"/>
        <v>951.98985991150846</v>
      </c>
      <c r="S49" s="43">
        <f>SUM(R49:$R$138)</f>
        <v>98348.790857044893</v>
      </c>
      <c r="T49" s="43">
        <f t="shared" si="112"/>
        <v>3985852.2679361301</v>
      </c>
      <c r="U49" s="153">
        <f>SUM(P49:$P$138)</f>
        <v>11174833.676019788</v>
      </c>
      <c r="V49" s="129">
        <f t="shared" si="10"/>
        <v>8189536.3769633677</v>
      </c>
      <c r="W49" s="43">
        <f t="shared" si="113"/>
        <v>367394.72658443713</v>
      </c>
      <c r="X49" s="26">
        <f t="shared" si="114"/>
        <v>6.2906037289189269</v>
      </c>
      <c r="Y49" s="26">
        <f t="shared" si="115"/>
        <v>0.77417235387835692</v>
      </c>
      <c r="Z49" s="43">
        <f t="shared" si="11"/>
        <v>92023.212339849706</v>
      </c>
      <c r="AA49" s="149">
        <f t="shared" si="116"/>
        <v>1.3329227819425117E-2</v>
      </c>
      <c r="AB49" s="150">
        <f t="shared" si="138"/>
        <v>10700269.162389321</v>
      </c>
      <c r="AC49" s="150">
        <f t="shared" si="117"/>
        <v>7822141.6503789313</v>
      </c>
      <c r="AD49" s="26">
        <f t="shared" si="118"/>
        <v>6.0647760827972856</v>
      </c>
      <c r="AE49" s="26">
        <f t="shared" si="12"/>
        <v>519690.10974908317</v>
      </c>
      <c r="AF49" s="43">
        <f t="shared" si="119"/>
        <v>82613.709612637555</v>
      </c>
      <c r="AG49" s="43">
        <f t="shared" si="13"/>
        <v>540587.87359492609</v>
      </c>
      <c r="AH49" s="27">
        <f t="shared" si="14"/>
        <v>89778.5729632164</v>
      </c>
      <c r="AI49" s="28">
        <f t="shared" si="120"/>
        <v>581277.28343540442</v>
      </c>
      <c r="AJ49" s="20">
        <f t="shared" si="15"/>
        <v>96536.099960447755</v>
      </c>
      <c r="AK49" s="3">
        <f t="shared" si="16"/>
        <v>8366.4619965721395</v>
      </c>
      <c r="AL49" s="3"/>
      <c r="AM49" s="46">
        <f t="shared" si="121"/>
        <v>10700269.162389321</v>
      </c>
      <c r="AN49" s="46">
        <f t="shared" si="122"/>
        <v>10242688.479080243</v>
      </c>
      <c r="AO49" s="46">
        <f t="shared" si="122"/>
        <v>9801501.0660238042</v>
      </c>
      <c r="AP49" s="3">
        <f t="shared" si="147"/>
        <v>9376133.074879365</v>
      </c>
      <c r="AQ49" s="3">
        <f t="shared" si="147"/>
        <v>8966033.4692568444</v>
      </c>
      <c r="AR49" s="16">
        <f t="shared" si="147"/>
        <v>8570670.3942497224</v>
      </c>
      <c r="AS49" s="16">
        <f t="shared" si="147"/>
        <v>8189536.3769633677</v>
      </c>
      <c r="AT49" s="16">
        <f t="shared" si="147"/>
        <v>7822141.6503789313</v>
      </c>
      <c r="AU49" s="16">
        <f t="shared" si="147"/>
        <v>7468011.6649380811</v>
      </c>
      <c r="AV49" s="16">
        <f t="shared" si="147"/>
        <v>7126689.7998479586</v>
      </c>
      <c r="AW49" s="16">
        <f t="shared" si="147"/>
        <v>6797732.2961992268</v>
      </c>
      <c r="AX49" s="16">
        <f t="shared" si="147"/>
        <v>6480708.0821750965</v>
      </c>
      <c r="AY49" s="16">
        <f t="shared" si="147"/>
        <v>6175211.3180029579</v>
      </c>
      <c r="AZ49" s="16">
        <f t="shared" si="147"/>
        <v>5880859.0678085573</v>
      </c>
      <c r="BA49" s="16">
        <f t="shared" si="147"/>
        <v>5597293.2575317528</v>
      </c>
      <c r="BB49" s="16">
        <f t="shared" si="147"/>
        <v>5324164.9250815194</v>
      </c>
      <c r="BC49" s="16">
        <f t="shared" si="144"/>
        <v>5061143.1109308824</v>
      </c>
      <c r="BD49" s="16">
        <f t="shared" si="18"/>
        <v>4807907.8302165577</v>
      </c>
      <c r="BE49" s="16">
        <f t="shared" si="18"/>
        <v>4564154.762375352</v>
      </c>
      <c r="BF49" s="16">
        <f t="shared" si="18"/>
        <v>4329596.2727115229</v>
      </c>
      <c r="BG49" s="16">
        <f t="shared" si="18"/>
        <v>4103960.3363030413</v>
      </c>
      <c r="BH49" s="172">
        <f t="shared" si="123"/>
        <v>457580.68330907432</v>
      </c>
      <c r="BI49" s="16">
        <f t="shared" si="148"/>
        <v>441187.41305644001</v>
      </c>
      <c r="BJ49" s="16">
        <f t="shared" si="148"/>
        <v>425367.99114443822</v>
      </c>
      <c r="BK49" s="16">
        <f t="shared" si="148"/>
        <v>410099.60562251828</v>
      </c>
      <c r="BL49" s="16">
        <f t="shared" si="148"/>
        <v>395363.07500712067</v>
      </c>
      <c r="BM49" s="16">
        <f t="shared" si="148"/>
        <v>381134.01728635549</v>
      </c>
      <c r="BN49" s="16">
        <f t="shared" si="148"/>
        <v>367394.72658443713</v>
      </c>
      <c r="BO49" s="16">
        <f t="shared" si="148"/>
        <v>354129.98544085148</v>
      </c>
      <c r="BP49" s="16">
        <f t="shared" si="148"/>
        <v>341321.86509012192</v>
      </c>
      <c r="BQ49" s="16">
        <f t="shared" si="148"/>
        <v>328957.50364873186</v>
      </c>
      <c r="BR49" s="16">
        <f t="shared" si="148"/>
        <v>317024.21402412985</v>
      </c>
      <c r="BS49" s="16">
        <f t="shared" si="148"/>
        <v>305496.76417213847</v>
      </c>
      <c r="BT49" s="16">
        <f t="shared" si="148"/>
        <v>294352.25019440131</v>
      </c>
      <c r="BU49" s="16">
        <f t="shared" si="148"/>
        <v>283565.81027680589</v>
      </c>
      <c r="BV49" s="16">
        <f t="shared" si="148"/>
        <v>273128.33245023253</v>
      </c>
      <c r="BW49" s="16">
        <f t="shared" si="148"/>
        <v>263021.81415063736</v>
      </c>
      <c r="BX49" s="16">
        <f t="shared" si="148"/>
        <v>253235.28071432526</v>
      </c>
      <c r="BY49" s="16">
        <f t="shared" si="149"/>
        <v>243753.06784120487</v>
      </c>
      <c r="BZ49" s="16">
        <f t="shared" si="149"/>
        <v>234558.48966382915</v>
      </c>
      <c r="CA49" s="16">
        <f t="shared" si="149"/>
        <v>225635.93640848066</v>
      </c>
      <c r="CB49" s="16">
        <f t="shared" si="149"/>
        <v>216965.89219519592</v>
      </c>
      <c r="CC49" s="18">
        <f t="shared" si="124"/>
        <v>5.4869728487425489</v>
      </c>
      <c r="CD49" s="18">
        <f t="shared" si="124"/>
        <v>4.6536960061782651</v>
      </c>
      <c r="CE49" s="18">
        <f t="shared" si="124"/>
        <v>3.7895768431552641</v>
      </c>
      <c r="CF49" s="18">
        <f t="shared" si="124"/>
        <v>2.8934353548445406</v>
      </c>
      <c r="CG49" s="18">
        <f t="shared" si="124"/>
        <v>1.9640101501119993</v>
      </c>
      <c r="CH49" s="18">
        <f t="shared" si="150"/>
        <v>0.99999999999999789</v>
      </c>
      <c r="CI49" s="18">
        <f t="shared" si="150"/>
        <v>0</v>
      </c>
      <c r="CJ49" s="18">
        <f t="shared" si="150"/>
        <v>-1.0374572662268964</v>
      </c>
      <c r="CK49" s="18">
        <f t="shared" si="150"/>
        <v>-2.1139129537885792</v>
      </c>
      <c r="CL49" s="18">
        <f t="shared" si="151"/>
        <v>-3.230954045208041</v>
      </c>
      <c r="CM49" s="18">
        <f t="shared" si="151"/>
        <v>-4.3902138044831043</v>
      </c>
      <c r="CN49" s="18">
        <f t="shared" si="151"/>
        <v>-5.5936052200716491</v>
      </c>
      <c r="CO49" s="18">
        <f t="shared" si="151"/>
        <v>-6.8432466802277672</v>
      </c>
      <c r="CP49" s="18">
        <f t="shared" si="152"/>
        <v>-8.1415926232473854</v>
      </c>
      <c r="CQ49" s="18">
        <f t="shared" si="153"/>
        <v>-9.4909345221589376</v>
      </c>
      <c r="CR49" s="18">
        <f t="shared" si="154"/>
        <v>-10.894044895610058</v>
      </c>
      <c r="CS49" s="18">
        <f t="shared" si="142"/>
        <v>-12.353702285115737</v>
      </c>
      <c r="CT49" s="18">
        <f t="shared" si="125"/>
        <v>-13.873173276119758</v>
      </c>
      <c r="CU49" s="18">
        <f t="shared" si="125"/>
        <v>-15.456194400739609</v>
      </c>
      <c r="CV49" s="18">
        <f t="shared" si="125"/>
        <v>-17.106938574110782</v>
      </c>
      <c r="CW49" s="18">
        <f t="shared" si="22"/>
        <v>-18.830499113587354</v>
      </c>
      <c r="CX49" s="17">
        <f t="shared" si="23"/>
        <v>935.48067603793174</v>
      </c>
      <c r="CY49" s="17">
        <f t="shared" si="126"/>
        <v>915.65604963103942</v>
      </c>
      <c r="CZ49" s="17">
        <f t="shared" si="126"/>
        <v>899.29697454822428</v>
      </c>
      <c r="DA49" s="17">
        <f t="shared" si="126"/>
        <v>883.49479936321018</v>
      </c>
      <c r="DB49" s="17">
        <f t="shared" si="126"/>
        <v>874.20018189965901</v>
      </c>
      <c r="DC49" s="17">
        <f t="shared" si="126"/>
        <v>865.45997580359983</v>
      </c>
      <c r="DD49" s="17">
        <f t="shared" si="126"/>
        <v>855.35173047303624</v>
      </c>
      <c r="DE49" s="17">
        <f t="shared" si="126"/>
        <v>847.15731881688737</v>
      </c>
      <c r="DF49" s="3" t="e">
        <f>#REF!+$AG$35*0.004*(1+$R$28)*#REF!-S49*#REF!</f>
        <v>#REF!</v>
      </c>
      <c r="DG49" s="19">
        <f t="shared" si="25"/>
        <v>1785.5474997447279</v>
      </c>
      <c r="DH49" s="19">
        <f t="shared" si="26"/>
        <v>1636.62782979495</v>
      </c>
      <c r="DI49" s="19">
        <f t="shared" si="27"/>
        <v>1486.3954784149</v>
      </c>
      <c r="DJ49" s="19">
        <f t="shared" si="28"/>
        <v>1331.7589824559539</v>
      </c>
      <c r="DK49" s="19">
        <f t="shared" si="29"/>
        <v>1178.4735792823749</v>
      </c>
      <c r="DL49" s="19">
        <f t="shared" si="30"/>
        <v>1020.3845302237304</v>
      </c>
      <c r="DM49" s="19">
        <f t="shared" si="31"/>
        <v>855.35173047303624</v>
      </c>
      <c r="DN49" s="19">
        <f t="shared" si="32"/>
        <v>686.4297141167583</v>
      </c>
      <c r="DO49" s="173">
        <f t="shared" si="127"/>
        <v>97396.800997133396</v>
      </c>
      <c r="DP49" s="25">
        <f t="shared" si="155"/>
        <v>96461.320321095467</v>
      </c>
      <c r="DQ49" s="26">
        <f t="shared" si="155"/>
        <v>95545.664271464426</v>
      </c>
      <c r="DR49" s="26">
        <f t="shared" si="155"/>
        <v>94646.3672969162</v>
      </c>
      <c r="DS49" s="26">
        <f t="shared" si="155"/>
        <v>93762.872497552977</v>
      </c>
      <c r="DT49" s="26">
        <f t="shared" si="155"/>
        <v>92888.672315653326</v>
      </c>
      <c r="DU49" s="26">
        <f t="shared" si="155"/>
        <v>92023.212339849706</v>
      </c>
      <c r="DV49" s="26">
        <f t="shared" si="155"/>
        <v>91167.860609376687</v>
      </c>
      <c r="DW49" s="26">
        <f t="shared" si="155"/>
        <v>90320.703290559817</v>
      </c>
      <c r="DX49" s="26">
        <f t="shared" si="155"/>
        <v>89484.364534015098</v>
      </c>
      <c r="DY49" s="26">
        <f t="shared" si="155"/>
        <v>88661.203824896802</v>
      </c>
      <c r="DZ49" s="26">
        <f t="shared" si="155"/>
        <v>87840.381572520157</v>
      </c>
      <c r="EA49" s="26">
        <f t="shared" si="155"/>
        <v>87012.558663059375</v>
      </c>
      <c r="EB49" s="26">
        <f t="shared" si="155"/>
        <v>86165.616132443218</v>
      </c>
      <c r="EC49" s="26">
        <f t="shared" si="155"/>
        <v>85302.60278943798</v>
      </c>
      <c r="ED49" s="26">
        <f t="shared" si="155"/>
        <v>84417.209120336134</v>
      </c>
      <c r="EE49" s="26">
        <f t="shared" si="145"/>
        <v>83509.656097891071</v>
      </c>
      <c r="EF49" s="26">
        <f t="shared" si="34"/>
        <v>82575.016132919322</v>
      </c>
      <c r="EG49" s="26">
        <f t="shared" si="34"/>
        <v>81606.783444357046</v>
      </c>
      <c r="EH49" s="26">
        <f t="shared" si="34"/>
        <v>80598.972968603455</v>
      </c>
      <c r="EI49" s="26">
        <f t="shared" si="34"/>
        <v>79541.088741864602</v>
      </c>
      <c r="EJ49" s="26">
        <f t="shared" si="128"/>
        <v>1.1743477933604297E-2</v>
      </c>
      <c r="EK49" s="26">
        <f t="shared" si="128"/>
        <v>1.0059461920048035E-2</v>
      </c>
      <c r="EL49" s="26">
        <f t="shared" si="156"/>
        <v>8.2809520343495573E-3</v>
      </c>
      <c r="EM49" s="26">
        <f t="shared" si="156"/>
        <v>6.3963849784362198E-3</v>
      </c>
      <c r="EN49" s="26">
        <f t="shared" si="156"/>
        <v>4.4001584054655044E-3</v>
      </c>
      <c r="EO49" s="26">
        <f t="shared" si="156"/>
        <v>2.2707497535004294E-3</v>
      </c>
      <c r="EP49" s="26">
        <f t="shared" si="156"/>
        <v>0</v>
      </c>
      <c r="EQ49" s="26">
        <f t="shared" si="156"/>
        <v>-2.4153609285816448E-3</v>
      </c>
      <c r="ER49" s="26">
        <f t="shared" si="156"/>
        <v>-4.987987068570488E-3</v>
      </c>
      <c r="ES49" s="26">
        <f t="shared" si="156"/>
        <v>-7.7178595340559441E-3</v>
      </c>
      <c r="ET49" s="26">
        <f t="shared" si="156"/>
        <v>-1.0604895040279193E-2</v>
      </c>
      <c r="EU49" s="26">
        <f t="shared" si="156"/>
        <v>-1.369189876254351E-2</v>
      </c>
      <c r="EV49" s="26">
        <f t="shared" si="156"/>
        <v>-1.702264437754801E-2</v>
      </c>
      <c r="EW49" s="26">
        <f t="shared" si="156"/>
        <v>-2.0656919822910003E-2</v>
      </c>
      <c r="EX49" s="26">
        <f t="shared" si="156"/>
        <v>-2.4606050533539234E-2</v>
      </c>
      <c r="EY49" s="26">
        <f t="shared" si="156"/>
        <v>-2.8917765790929705E-2</v>
      </c>
      <c r="EZ49" s="26">
        <f t="shared" si="146"/>
        <v>-3.3619155348115881E-2</v>
      </c>
      <c r="FA49" s="26">
        <f t="shared" si="37"/>
        <v>-3.8761342741686008E-2</v>
      </c>
      <c r="FB49" s="26">
        <f t="shared" si="37"/>
        <v>-4.440866289010284E-2</v>
      </c>
      <c r="FC49" s="26">
        <f t="shared" si="37"/>
        <v>-5.0631293725146451E-2</v>
      </c>
      <c r="FD49" s="26">
        <f t="shared" si="37"/>
        <v>-5.7530349455827898E-2</v>
      </c>
      <c r="FE49" s="26">
        <f t="shared" si="130"/>
        <v>5.2898798332060393</v>
      </c>
      <c r="FF49" s="26">
        <f t="shared" si="130"/>
        <v>4.4864367320281149</v>
      </c>
      <c r="FG49" s="26">
        <f t="shared" si="130"/>
        <v>3.6532871698208234</v>
      </c>
      <c r="FH49" s="26">
        <f t="shared" si="130"/>
        <v>2.7893024114020331</v>
      </c>
      <c r="FI49" s="26">
        <f t="shared" si="130"/>
        <v>1.8932692281830055</v>
      </c>
      <c r="FJ49" s="26">
        <f t="shared" si="157"/>
        <v>0.96395154964192964</v>
      </c>
      <c r="FK49" s="26">
        <f t="shared" si="157"/>
        <v>0</v>
      </c>
      <c r="FL49" s="26">
        <f t="shared" si="157"/>
        <v>-0.99999999999999656</v>
      </c>
      <c r="FM49" s="26">
        <f t="shared" si="157"/>
        <v>-2.0375250508705238</v>
      </c>
      <c r="FN49" s="26">
        <f t="shared" si="157"/>
        <v>-3.1141084876227407</v>
      </c>
      <c r="FO49" s="26">
        <f t="shared" si="157"/>
        <v>-4.2313284249692469</v>
      </c>
      <c r="FP49" s="26">
        <f t="shared" si="158"/>
        <v>-5.3909910857451067</v>
      </c>
      <c r="FQ49" s="26">
        <f t="shared" si="158"/>
        <v>-6.5951001947098344</v>
      </c>
      <c r="FR49" s="26">
        <f t="shared" si="158"/>
        <v>-7.8459684214940024</v>
      </c>
      <c r="FS49" s="26">
        <f t="shared" si="158"/>
        <v>-9.1457986174047878</v>
      </c>
      <c r="FT49" s="26">
        <f t="shared" si="159"/>
        <v>-10.497222629096365</v>
      </c>
      <c r="FU49" s="26">
        <f t="shared" si="143"/>
        <v>-11.902898409968124</v>
      </c>
      <c r="FV49" s="26">
        <f t="shared" si="131"/>
        <v>-13.365931829526856</v>
      </c>
      <c r="FW49" s="26">
        <f t="shared" si="131"/>
        <v>-14.889869825956625</v>
      </c>
      <c r="FX49" s="26">
        <f t="shared" si="39"/>
        <v>7468011.6649380811</v>
      </c>
      <c r="FY49" s="26">
        <f t="shared" si="40"/>
        <v>341321.86509012192</v>
      </c>
      <c r="FZ49" s="26">
        <f t="shared" si="132"/>
        <v>0.80290698446350106</v>
      </c>
      <c r="GA49" s="26">
        <f t="shared" si="160"/>
        <v>0.83274072584984926</v>
      </c>
      <c r="GB49" s="26">
        <f t="shared" si="132"/>
        <v>0.86371032666556324</v>
      </c>
      <c r="GC49" s="26">
        <f t="shared" si="132"/>
        <v>0.89586705655750021</v>
      </c>
      <c r="GD49" s="26">
        <f t="shared" si="132"/>
        <v>0.92925907807101149</v>
      </c>
      <c r="GE49" s="26">
        <f t="shared" si="161"/>
        <v>0.96395154964193164</v>
      </c>
      <c r="GF49" s="26">
        <f t="shared" si="161"/>
        <v>1</v>
      </c>
      <c r="GG49" s="26">
        <f t="shared" si="161"/>
        <v>1.0374572662268984</v>
      </c>
      <c r="GH49" s="26">
        <f t="shared" si="161"/>
        <v>1.0763879029180594</v>
      </c>
      <c r="GI49" s="26">
        <f t="shared" si="161"/>
        <v>1.1168455575853025</v>
      </c>
      <c r="GJ49" s="26">
        <f t="shared" si="161"/>
        <v>1.1588853795138607</v>
      </c>
      <c r="GK49" s="26">
        <f t="shared" si="162"/>
        <v>1.2026141343265455</v>
      </c>
      <c r="GL49" s="26">
        <f t="shared" si="162"/>
        <v>1.2481464855179325</v>
      </c>
      <c r="GM49" s="26">
        <f t="shared" si="162"/>
        <v>1.2956242017533803</v>
      </c>
      <c r="GN49" s="26">
        <f t="shared" si="162"/>
        <v>1.3451359047541549</v>
      </c>
      <c r="GO49" s="26">
        <f t="shared" si="163"/>
        <v>1.3968222665136949</v>
      </c>
      <c r="GP49" s="26">
        <f t="shared" si="140"/>
        <v>1.4508038751476149</v>
      </c>
      <c r="GQ49" s="26">
        <f t="shared" si="134"/>
        <v>1.5072414465929092</v>
      </c>
      <c r="GR49" s="26">
        <f t="shared" si="134"/>
        <v>1.5663245747829881</v>
      </c>
      <c r="GS49" s="26">
        <f t="shared" si="134"/>
        <v>1.6282633539336706</v>
      </c>
      <c r="GT49" s="26">
        <f t="shared" si="134"/>
        <v>1.693329411675021</v>
      </c>
      <c r="GU49" s="26">
        <f t="shared" si="135"/>
        <v>5.4869728487425489</v>
      </c>
      <c r="GV49" s="26">
        <f t="shared" si="164"/>
        <v>4.6536960061782651</v>
      </c>
      <c r="GW49" s="26">
        <f t="shared" si="135"/>
        <v>3.7895768431552641</v>
      </c>
      <c r="GX49" s="26">
        <f t="shared" si="135"/>
        <v>2.8934353548445406</v>
      </c>
      <c r="GY49" s="26">
        <f t="shared" si="135"/>
        <v>1.9640101501119993</v>
      </c>
      <c r="GZ49" s="26">
        <f t="shared" si="165"/>
        <v>0.99999999999999789</v>
      </c>
      <c r="HA49" s="26">
        <f t="shared" si="165"/>
        <v>0</v>
      </c>
      <c r="HB49" s="26">
        <f t="shared" si="165"/>
        <v>-1.0374572662268964</v>
      </c>
      <c r="HC49" s="26">
        <f t="shared" si="165"/>
        <v>-2.1139129537885792</v>
      </c>
      <c r="HD49" s="26">
        <f t="shared" si="165"/>
        <v>-3.230954045208041</v>
      </c>
      <c r="HE49" s="26">
        <f t="shared" si="165"/>
        <v>-4.3902138044831043</v>
      </c>
      <c r="HF49" s="26">
        <f t="shared" si="166"/>
        <v>-5.5936052200716491</v>
      </c>
      <c r="HG49" s="26">
        <f t="shared" si="166"/>
        <v>-6.8432466802277672</v>
      </c>
      <c r="HH49" s="26">
        <f t="shared" si="166"/>
        <v>-8.1415926232473854</v>
      </c>
      <c r="HI49" s="26">
        <f t="shared" si="166"/>
        <v>-9.4909345221589376</v>
      </c>
      <c r="HJ49" s="26">
        <f t="shared" si="167"/>
        <v>-10.894044895610058</v>
      </c>
      <c r="HK49" s="26">
        <f t="shared" si="141"/>
        <v>-12.353702285115737</v>
      </c>
      <c r="HL49" s="26">
        <f t="shared" si="137"/>
        <v>-13.873173276119758</v>
      </c>
      <c r="HM49" s="26">
        <f t="shared" si="137"/>
        <v>-15.456194400739609</v>
      </c>
      <c r="HN49" s="26">
        <f t="shared" si="137"/>
        <v>-17.106938574110782</v>
      </c>
      <c r="HO49" s="26">
        <f t="shared" si="137"/>
        <v>-18.830499113587354</v>
      </c>
      <c r="HP49" s="26">
        <f t="shared" si="44"/>
        <v>518200.03869334771</v>
      </c>
      <c r="HQ49" s="26">
        <f t="shared" si="45"/>
        <v>535107.3973329087</v>
      </c>
      <c r="HR49" s="26">
        <f t="shared" si="46"/>
        <v>552796.7902856369</v>
      </c>
      <c r="HS49" s="26">
        <f t="shared" si="47"/>
        <v>571306.63902578701</v>
      </c>
      <c r="HT49" s="26">
        <f t="shared" si="48"/>
        <v>590681.66990088078</v>
      </c>
      <c r="HU49" s="26">
        <f t="shared" si="49"/>
        <v>610966.77924115339</v>
      </c>
      <c r="HV49" s="26">
        <f t="shared" si="50"/>
        <v>632215.9078880985</v>
      </c>
      <c r="HW49" s="26">
        <f t="shared" si="51"/>
        <v>654486.71044746845</v>
      </c>
      <c r="HX49" s="26">
        <f t="shared" si="52"/>
        <v>677840.89356350293</v>
      </c>
      <c r="HY49" s="26">
        <f t="shared" si="53"/>
        <v>702342.14534390566</v>
      </c>
      <c r="HZ49" s="26">
        <f t="shared" si="54"/>
        <v>728055.32478290994</v>
      </c>
      <c r="IA49" s="26">
        <f t="shared" si="55"/>
        <v>755070.61562664143</v>
      </c>
      <c r="IB49" s="26">
        <f t="shared" si="56"/>
        <v>783497.25902443135</v>
      </c>
      <c r="IC49" s="26">
        <f t="shared" si="57"/>
        <v>813477.51303164347</v>
      </c>
      <c r="ID49" s="26">
        <f t="shared" si="58"/>
        <v>845132.9832302737</v>
      </c>
      <c r="IE49" s="26">
        <f t="shared" si="59"/>
        <v>878633.41815224418</v>
      </c>
      <c r="IF49" s="26">
        <f t="shared" si="60"/>
        <v>914145.35277806234</v>
      </c>
      <c r="IG49" s="26">
        <f t="shared" si="61"/>
        <v>951884.62623743573</v>
      </c>
      <c r="IH49" s="26">
        <f t="shared" si="62"/>
        <v>992114.74327237625</v>
      </c>
      <c r="II49" s="26">
        <f t="shared" si="63"/>
        <v>-856093498781.33569</v>
      </c>
      <c r="IJ49" s="26">
        <f t="shared" si="64"/>
        <v>538069.73741705157</v>
      </c>
      <c r="IK49" s="26">
        <f t="shared" si="65"/>
        <v>554626.87895606086</v>
      </c>
      <c r="IL49" s="26">
        <f t="shared" si="66"/>
        <v>572036.95391367085</v>
      </c>
      <c r="IM49" s="26">
        <f t="shared" si="67"/>
        <v>590344.72735631384</v>
      </c>
      <c r="IN49" s="26">
        <f t="shared" si="68"/>
        <v>609601.80933138984</v>
      </c>
      <c r="IO49" s="26">
        <f t="shared" si="69"/>
        <v>629860.39258230734</v>
      </c>
      <c r="IP49" s="26">
        <f t="shared" si="70"/>
        <v>651182.38512474147</v>
      </c>
      <c r="IQ49" s="26">
        <f t="shared" si="71"/>
        <v>673633.98001109436</v>
      </c>
      <c r="IR49" s="26">
        <f t="shared" si="72"/>
        <v>697286.03190700023</v>
      </c>
      <c r="IS49" s="26">
        <f t="shared" si="73"/>
        <v>722211.97177740908</v>
      </c>
      <c r="IT49" s="26">
        <f t="shared" si="74"/>
        <v>748487.00336362922</v>
      </c>
      <c r="IU49" s="26">
        <f t="shared" si="75"/>
        <v>776212.95151801372</v>
      </c>
      <c r="IV49" s="26">
        <f t="shared" si="76"/>
        <v>805511.91802074178</v>
      </c>
      <c r="IW49" s="26">
        <f t="shared" si="77"/>
        <v>836540.71812228672</v>
      </c>
      <c r="IX49" s="26">
        <f t="shared" si="78"/>
        <v>869435.77501840109</v>
      </c>
      <c r="IY49" s="26">
        <f t="shared" si="79"/>
        <v>904383.93045276136</v>
      </c>
      <c r="IZ49" s="26">
        <f t="shared" si="80"/>
        <v>941569.71336140425</v>
      </c>
      <c r="JA49" s="26">
        <f t="shared" si="81"/>
        <v>981229.49936358514</v>
      </c>
      <c r="JB49" s="26">
        <f t="shared" si="82"/>
        <v>1023650.0004709862</v>
      </c>
      <c r="JC49" s="26">
        <f t="shared" si="83"/>
        <v>-881776300777.61426</v>
      </c>
      <c r="JD49" s="26">
        <f t="shared" si="84"/>
        <v>154707.93051365914</v>
      </c>
      <c r="JE49" s="26">
        <f t="shared" si="85"/>
        <v>246376.75089561497</v>
      </c>
      <c r="JF49" s="26">
        <f t="shared" si="86"/>
        <v>341695.13293517579</v>
      </c>
      <c r="JG49" s="26">
        <f t="shared" si="87"/>
        <v>440823.08529779711</v>
      </c>
      <c r="JH49" s="26">
        <f t="shared" si="88"/>
        <v>543924.62283897493</v>
      </c>
      <c r="JI49" s="26">
        <f t="shared" si="89"/>
        <v>651182.38512474147</v>
      </c>
      <c r="JJ49" s="26">
        <f t="shared" si="90"/>
        <v>762788.66876011621</v>
      </c>
      <c r="JK49" s="26">
        <f t="shared" si="91"/>
        <v>878946.76876122365</v>
      </c>
      <c r="JL49" s="26">
        <f t="shared" si="92"/>
        <v>999866.49465769611</v>
      </c>
      <c r="JM49" s="26">
        <f t="shared" si="93"/>
        <v>1125763.4059896893</v>
      </c>
      <c r="JN49" s="26">
        <f t="shared" si="94"/>
        <v>1256903.7217451939</v>
      </c>
      <c r="JO49" s="26">
        <f t="shared" si="95"/>
        <v>1393591.5890296199</v>
      </c>
      <c r="JP49" s="26">
        <f t="shared" si="96"/>
        <v>1536194.7471376888</v>
      </c>
      <c r="JQ49" s="26">
        <f t="shared" si="97"/>
        <v>1685046.5387636975</v>
      </c>
      <c r="JR49" s="26">
        <f t="shared" si="98"/>
        <v>1840572.0641754344</v>
      </c>
      <c r="JS49" s="26">
        <f t="shared" si="99"/>
        <v>2003194.6284127913</v>
      </c>
      <c r="JT49" s="26">
        <f t="shared" si="100"/>
        <v>2173431.3236295674</v>
      </c>
      <c r="JU49" s="26">
        <f t="shared" si="101"/>
        <v>2351889.963601131</v>
      </c>
      <c r="JV49" s="26">
        <f t="shared" si="102"/>
        <v>-881774830679.67993</v>
      </c>
      <c r="JW49" s="26">
        <f t="shared" si="103"/>
        <v>1772921.3664909296</v>
      </c>
      <c r="JX49" s="26" t="e">
        <f>AH49+$AG$38*0.004*(1+$R$28)*#REF!-S49*#REF!</f>
        <v>#REF!</v>
      </c>
      <c r="JY49" s="34">
        <f t="shared" si="104"/>
        <v>5.1632665532729674E-2</v>
      </c>
      <c r="JZ49" s="4">
        <f t="shared" si="105"/>
        <v>47284.542769680091</v>
      </c>
      <c r="KA49" s="165"/>
    </row>
    <row r="50" spans="1:287" ht="15.75" x14ac:dyDescent="0.3">
      <c r="A50" s="34">
        <v>49</v>
      </c>
      <c r="B50" s="34">
        <v>22</v>
      </c>
      <c r="C50" s="2">
        <v>980227</v>
      </c>
      <c r="D50" s="1">
        <f t="shared" si="106"/>
        <v>1631</v>
      </c>
      <c r="E50" s="145">
        <f t="shared" si="107"/>
        <v>0.99833609969935533</v>
      </c>
      <c r="F50" s="146">
        <f t="shared" si="108"/>
        <v>1.6639003006446718E-3</v>
      </c>
      <c r="G50" s="158">
        <f t="shared" si="3"/>
        <v>2.0798753758058397E-3</v>
      </c>
      <c r="H50" s="43">
        <f t="shared" si="109"/>
        <v>2028.5825772528631</v>
      </c>
      <c r="I50" s="43">
        <f>I49-H49</f>
        <v>975338.52309150808</v>
      </c>
      <c r="J50" s="43">
        <f t="shared" si="110"/>
        <v>979411.5</v>
      </c>
      <c r="K50" s="147">
        <f>SUM(J50:$J$138)</f>
        <v>51726807.5</v>
      </c>
      <c r="L50" s="147">
        <f t="shared" si="111"/>
        <v>52.770233323505678</v>
      </c>
      <c r="M50" s="43">
        <f t="shared" si="4"/>
        <v>1224264.375</v>
      </c>
      <c r="N50" s="148">
        <f t="shared" si="5"/>
        <v>64658509.375</v>
      </c>
      <c r="O50" s="147">
        <f t="shared" si="6"/>
        <v>65.962791654382102</v>
      </c>
      <c r="P50" s="157">
        <f t="shared" si="7"/>
        <v>457580.68330907432</v>
      </c>
      <c r="Q50" s="43">
        <f t="shared" si="8"/>
        <v>1225283.75</v>
      </c>
      <c r="R50" s="43">
        <f t="shared" si="9"/>
        <v>935.48067603793174</v>
      </c>
      <c r="S50" s="43">
        <f>SUM(R50:$R$138)</f>
        <v>97396.800997133396</v>
      </c>
      <c r="T50" s="43">
        <f t="shared" si="112"/>
        <v>3887503.4770790851</v>
      </c>
      <c r="U50" s="153">
        <f>SUM(P50:$P$138)</f>
        <v>10700269.162389321</v>
      </c>
      <c r="V50" s="129">
        <f t="shared" si="10"/>
        <v>7822141.6503789313</v>
      </c>
      <c r="W50" s="43">
        <f t="shared" si="113"/>
        <v>354129.98544085148</v>
      </c>
      <c r="X50" s="26">
        <f t="shared" si="114"/>
        <v>6.2898798332060482</v>
      </c>
      <c r="Y50" s="26">
        <f t="shared" si="115"/>
        <v>0.77391812713748942</v>
      </c>
      <c r="Z50" s="43">
        <f t="shared" si="11"/>
        <v>91167.860609376687</v>
      </c>
      <c r="AA50" s="149">
        <f t="shared" si="116"/>
        <v>1.3612769539813271E-2</v>
      </c>
      <c r="AB50" s="150">
        <f t="shared" si="138"/>
        <v>10242688.479080243</v>
      </c>
      <c r="AC50" s="150">
        <f t="shared" si="117"/>
        <v>7468011.6649380811</v>
      </c>
      <c r="AD50" s="26">
        <f t="shared" si="118"/>
        <v>6.0637979603435266</v>
      </c>
      <c r="AE50" s="26">
        <f t="shared" si="12"/>
        <v>519789.34510374005</v>
      </c>
      <c r="AF50" s="43">
        <f t="shared" si="119"/>
        <v>82638.994525718226</v>
      </c>
      <c r="AG50" s="43">
        <f t="shared" si="13"/>
        <v>540689.47529644251</v>
      </c>
      <c r="AH50" s="27">
        <f t="shared" si="14"/>
        <v>89804.616423689498</v>
      </c>
      <c r="AI50" s="28">
        <f t="shared" si="120"/>
        <v>581386.53257682</v>
      </c>
      <c r="AJ50" s="20">
        <f t="shared" si="15"/>
        <v>96564.103681386565</v>
      </c>
      <c r="AK50" s="3">
        <f t="shared" si="16"/>
        <v>8368.8889857201684</v>
      </c>
      <c r="AL50" s="3"/>
      <c r="AM50" s="46">
        <f t="shared" si="121"/>
        <v>10242688.479080243</v>
      </c>
      <c r="AN50" s="46">
        <f t="shared" si="122"/>
        <v>9801501.0660238042</v>
      </c>
      <c r="AO50" s="46">
        <f t="shared" si="122"/>
        <v>9376133.074879365</v>
      </c>
      <c r="AP50" s="3">
        <f t="shared" si="147"/>
        <v>8966033.4692568444</v>
      </c>
      <c r="AQ50" s="3">
        <f t="shared" si="147"/>
        <v>8570670.3942497224</v>
      </c>
      <c r="AR50" s="16">
        <f t="shared" si="147"/>
        <v>8189536.3769633677</v>
      </c>
      <c r="AS50" s="16">
        <f t="shared" si="147"/>
        <v>7822141.6503789313</v>
      </c>
      <c r="AT50" s="16">
        <f t="shared" si="147"/>
        <v>7468011.6649380811</v>
      </c>
      <c r="AU50" s="16">
        <f t="shared" si="147"/>
        <v>7126689.7998479586</v>
      </c>
      <c r="AV50" s="16">
        <f t="shared" si="147"/>
        <v>6797732.2961992268</v>
      </c>
      <c r="AW50" s="16">
        <f t="shared" si="147"/>
        <v>6480708.0821750965</v>
      </c>
      <c r="AX50" s="16">
        <f t="shared" si="147"/>
        <v>6175211.3180029579</v>
      </c>
      <c r="AY50" s="16">
        <f t="shared" si="147"/>
        <v>5880859.0678085573</v>
      </c>
      <c r="AZ50" s="16">
        <f t="shared" si="147"/>
        <v>5597293.2575317528</v>
      </c>
      <c r="BA50" s="16">
        <f t="shared" si="147"/>
        <v>5324164.9250815194</v>
      </c>
      <c r="BB50" s="16">
        <f t="shared" si="147"/>
        <v>5061143.1109308824</v>
      </c>
      <c r="BC50" s="16">
        <f t="shared" si="144"/>
        <v>4807907.8302165577</v>
      </c>
      <c r="BD50" s="16">
        <f t="shared" si="18"/>
        <v>4564154.762375352</v>
      </c>
      <c r="BE50" s="16">
        <f t="shared" si="18"/>
        <v>4329596.2727115229</v>
      </c>
      <c r="BF50" s="16">
        <f t="shared" si="18"/>
        <v>4103960.3363030413</v>
      </c>
      <c r="BG50" s="16">
        <f t="shared" si="18"/>
        <v>3886994.4441078454</v>
      </c>
      <c r="BH50" s="172">
        <f t="shared" si="123"/>
        <v>441187.41305644001</v>
      </c>
      <c r="BI50" s="16">
        <f t="shared" si="148"/>
        <v>425367.99114443822</v>
      </c>
      <c r="BJ50" s="16">
        <f t="shared" si="148"/>
        <v>410099.60562251828</v>
      </c>
      <c r="BK50" s="16">
        <f t="shared" si="148"/>
        <v>395363.07500712067</v>
      </c>
      <c r="BL50" s="16">
        <f t="shared" si="148"/>
        <v>381134.01728635549</v>
      </c>
      <c r="BM50" s="16">
        <f t="shared" si="148"/>
        <v>367394.72658443713</v>
      </c>
      <c r="BN50" s="16">
        <f t="shared" si="148"/>
        <v>354129.98544085148</v>
      </c>
      <c r="BO50" s="16">
        <f t="shared" si="148"/>
        <v>341321.86509012192</v>
      </c>
      <c r="BP50" s="16">
        <f t="shared" si="148"/>
        <v>328957.50364873186</v>
      </c>
      <c r="BQ50" s="16">
        <f t="shared" si="148"/>
        <v>317024.21402412985</v>
      </c>
      <c r="BR50" s="16">
        <f t="shared" si="148"/>
        <v>305496.76417213847</v>
      </c>
      <c r="BS50" s="16">
        <f t="shared" si="148"/>
        <v>294352.25019440131</v>
      </c>
      <c r="BT50" s="16">
        <f t="shared" si="148"/>
        <v>283565.81027680589</v>
      </c>
      <c r="BU50" s="16">
        <f t="shared" si="148"/>
        <v>273128.33245023253</v>
      </c>
      <c r="BV50" s="16">
        <f t="shared" si="148"/>
        <v>263021.81415063736</v>
      </c>
      <c r="BW50" s="16">
        <f t="shared" si="148"/>
        <v>253235.28071432526</v>
      </c>
      <c r="BX50" s="16">
        <f t="shared" si="148"/>
        <v>243753.06784120487</v>
      </c>
      <c r="BY50" s="16">
        <f t="shared" si="149"/>
        <v>234558.48966382915</v>
      </c>
      <c r="BZ50" s="16">
        <f t="shared" si="149"/>
        <v>225635.93640848066</v>
      </c>
      <c r="CA50" s="16">
        <f t="shared" si="149"/>
        <v>216965.89219519592</v>
      </c>
      <c r="CB50" s="16">
        <f t="shared" si="149"/>
        <v>208543.10761395967</v>
      </c>
      <c r="CC50" s="18">
        <f t="shared" si="124"/>
        <v>5.4864367320281122</v>
      </c>
      <c r="CD50" s="18">
        <f t="shared" si="124"/>
        <v>4.6532871698208256</v>
      </c>
      <c r="CE50" s="18">
        <f t="shared" si="124"/>
        <v>3.7893024114020388</v>
      </c>
      <c r="CF50" s="18">
        <f t="shared" si="124"/>
        <v>2.893269228183009</v>
      </c>
      <c r="CG50" s="18">
        <f t="shared" si="124"/>
        <v>1.9639515496419275</v>
      </c>
      <c r="CH50" s="18">
        <f t="shared" si="150"/>
        <v>0.99999999999999789</v>
      </c>
      <c r="CI50" s="18">
        <f t="shared" si="150"/>
        <v>0</v>
      </c>
      <c r="CJ50" s="18">
        <f t="shared" si="150"/>
        <v>-1.0375250508705223</v>
      </c>
      <c r="CK50" s="18">
        <f t="shared" si="150"/>
        <v>-2.1141084876227407</v>
      </c>
      <c r="CL50" s="18">
        <f t="shared" si="151"/>
        <v>-3.2313284249692455</v>
      </c>
      <c r="CM50" s="18">
        <f t="shared" si="151"/>
        <v>-4.3909910857451058</v>
      </c>
      <c r="CN50" s="18">
        <f t="shared" si="151"/>
        <v>-5.5951001947098371</v>
      </c>
      <c r="CO50" s="18">
        <f t="shared" si="151"/>
        <v>-6.8459684214940077</v>
      </c>
      <c r="CP50" s="18">
        <f t="shared" si="152"/>
        <v>-8.1457986174047843</v>
      </c>
      <c r="CQ50" s="18">
        <f t="shared" si="153"/>
        <v>-9.4972226290963651</v>
      </c>
      <c r="CR50" s="18">
        <f t="shared" si="154"/>
        <v>-10.902898409968126</v>
      </c>
      <c r="CS50" s="18">
        <f t="shared" si="142"/>
        <v>-12.365931829526852</v>
      </c>
      <c r="CT50" s="18">
        <f t="shared" si="125"/>
        <v>-13.889869825956625</v>
      </c>
      <c r="CU50" s="18">
        <f t="shared" si="125"/>
        <v>-15.478675220177113</v>
      </c>
      <c r="CV50" s="18">
        <f t="shared" si="125"/>
        <v>-17.137169701912338</v>
      </c>
      <c r="CW50" s="18">
        <f t="shared" si="22"/>
        <v>-18.869706370519584</v>
      </c>
      <c r="CX50" s="17">
        <f t="shared" si="23"/>
        <v>915.65604963103942</v>
      </c>
      <c r="CY50" s="17">
        <f t="shared" si="126"/>
        <v>899.29697454822428</v>
      </c>
      <c r="CZ50" s="17">
        <f t="shared" si="126"/>
        <v>883.49479936321018</v>
      </c>
      <c r="DA50" s="17">
        <f t="shared" si="126"/>
        <v>874.20018189965901</v>
      </c>
      <c r="DB50" s="17">
        <f t="shared" si="126"/>
        <v>865.45997580359983</v>
      </c>
      <c r="DC50" s="17">
        <f t="shared" si="126"/>
        <v>855.35173047303624</v>
      </c>
      <c r="DD50" s="17">
        <f t="shared" si="126"/>
        <v>847.15731881688737</v>
      </c>
      <c r="DE50" s="17">
        <f t="shared" si="126"/>
        <v>836.33875654471524</v>
      </c>
      <c r="DF50" s="3" t="e">
        <f>#REF!+$AG$35*0.004*(1+$R$28)*#REF!-S50*#REF!</f>
        <v>#REF!</v>
      </c>
      <c r="DG50" s="19">
        <f t="shared" si="25"/>
        <v>1771.90140039064</v>
      </c>
      <c r="DH50" s="19">
        <f t="shared" si="26"/>
        <v>1625.5161400129336</v>
      </c>
      <c r="DI50" s="19">
        <f t="shared" si="27"/>
        <v>1474.8754587708602</v>
      </c>
      <c r="DJ50" s="19">
        <f t="shared" si="28"/>
        <v>1325.7406709506909</v>
      </c>
      <c r="DK50" s="19">
        <f t="shared" si="29"/>
        <v>1171.9657218156176</v>
      </c>
      <c r="DL50" s="19">
        <f t="shared" si="30"/>
        <v>1011.4175693008323</v>
      </c>
      <c r="DM50" s="19">
        <f t="shared" si="31"/>
        <v>847.15731881688737</v>
      </c>
      <c r="DN50" s="19">
        <f t="shared" si="32"/>
        <v>674.41653917575525</v>
      </c>
      <c r="DO50" s="173">
        <f t="shared" si="127"/>
        <v>96461.320321095467</v>
      </c>
      <c r="DP50" s="25">
        <f t="shared" si="155"/>
        <v>95545.664271464426</v>
      </c>
      <c r="DQ50" s="26">
        <f t="shared" si="155"/>
        <v>94646.3672969162</v>
      </c>
      <c r="DR50" s="26">
        <f t="shared" si="155"/>
        <v>93762.872497552977</v>
      </c>
      <c r="DS50" s="26">
        <f t="shared" si="155"/>
        <v>92888.672315653326</v>
      </c>
      <c r="DT50" s="26">
        <f t="shared" si="155"/>
        <v>92023.212339849706</v>
      </c>
      <c r="DU50" s="26">
        <f t="shared" si="155"/>
        <v>91167.860609376687</v>
      </c>
      <c r="DV50" s="26">
        <f t="shared" si="155"/>
        <v>90320.703290559817</v>
      </c>
      <c r="DW50" s="26">
        <f t="shared" si="155"/>
        <v>89484.364534015098</v>
      </c>
      <c r="DX50" s="26">
        <f t="shared" si="155"/>
        <v>88661.203824896802</v>
      </c>
      <c r="DY50" s="26">
        <f t="shared" si="155"/>
        <v>87840.381572520157</v>
      </c>
      <c r="DZ50" s="26">
        <f t="shared" si="155"/>
        <v>87012.558663059375</v>
      </c>
      <c r="EA50" s="26">
        <f t="shared" si="155"/>
        <v>86165.616132443218</v>
      </c>
      <c r="EB50" s="26">
        <f t="shared" si="155"/>
        <v>85302.60278943798</v>
      </c>
      <c r="EC50" s="26">
        <f t="shared" si="155"/>
        <v>84417.209120336134</v>
      </c>
      <c r="ED50" s="26">
        <f t="shared" si="155"/>
        <v>83509.656097891071</v>
      </c>
      <c r="EE50" s="26">
        <f t="shared" si="145"/>
        <v>82575.016132919322</v>
      </c>
      <c r="EF50" s="26">
        <f t="shared" si="34"/>
        <v>81606.783444357046</v>
      </c>
      <c r="EG50" s="26">
        <f t="shared" si="34"/>
        <v>80598.972968603455</v>
      </c>
      <c r="EH50" s="26">
        <f t="shared" si="34"/>
        <v>79541.088741864602</v>
      </c>
      <c r="EI50" s="26">
        <f t="shared" si="34"/>
        <v>78436.477379158212</v>
      </c>
      <c r="EJ50" s="26">
        <f t="shared" si="128"/>
        <v>1.1998211089130961E-2</v>
      </c>
      <c r="EK50" s="26">
        <f t="shared" si="128"/>
        <v>1.029180322268586E-2</v>
      </c>
      <c r="EL50" s="26">
        <f t="shared" si="156"/>
        <v>8.4821020060705729E-3</v>
      </c>
      <c r="EM50" s="26">
        <f t="shared" si="156"/>
        <v>6.5636172222951084E-3</v>
      </c>
      <c r="EN50" s="26">
        <f t="shared" si="156"/>
        <v>4.514978008335978E-3</v>
      </c>
      <c r="EO50" s="26">
        <f t="shared" si="156"/>
        <v>2.328154621120934E-3</v>
      </c>
      <c r="EP50" s="26">
        <f t="shared" si="156"/>
        <v>0</v>
      </c>
      <c r="EQ50" s="26">
        <f t="shared" si="156"/>
        <v>-2.4819895982731367E-3</v>
      </c>
      <c r="ER50" s="26">
        <f t="shared" si="156"/>
        <v>-5.1176703880853351E-3</v>
      </c>
      <c r="ES50" s="26">
        <f t="shared" si="156"/>
        <v>-7.906830688614511E-3</v>
      </c>
      <c r="ET50" s="26">
        <f t="shared" si="156"/>
        <v>-1.0892027108285811E-2</v>
      </c>
      <c r="EU50" s="26">
        <f t="shared" si="156"/>
        <v>-1.4116766369453583E-2</v>
      </c>
      <c r="EV50" s="26">
        <f t="shared" si="156"/>
        <v>-1.7640506350361747E-2</v>
      </c>
      <c r="EW50" s="26">
        <f t="shared" si="156"/>
        <v>-2.1474366160850161E-2</v>
      </c>
      <c r="EX50" s="26">
        <f t="shared" si="156"/>
        <v>-2.5665747576261229E-2</v>
      </c>
      <c r="EY50" s="26">
        <f t="shared" si="156"/>
        <v>-3.0241459601850804E-2</v>
      </c>
      <c r="EZ50" s="26">
        <f t="shared" si="146"/>
        <v>-3.5252251602655729E-2</v>
      </c>
      <c r="FA50" s="26">
        <f t="shared" si="37"/>
        <v>-4.0762017093146544E-2</v>
      </c>
      <c r="FB50" s="26">
        <f t="shared" si="37"/>
        <v>-4.6840444873283905E-2</v>
      </c>
      <c r="FC50" s="26">
        <f t="shared" si="37"/>
        <v>-5.358801676095671E-2</v>
      </c>
      <c r="FD50" s="26">
        <f t="shared" si="37"/>
        <v>-6.1049168087520381E-2</v>
      </c>
      <c r="FE50" s="26">
        <f t="shared" si="130"/>
        <v>5.2891114570106872</v>
      </c>
      <c r="FF50" s="26">
        <f t="shared" si="130"/>
        <v>4.4858133420136941</v>
      </c>
      <c r="FG50" s="26">
        <f t="shared" si="130"/>
        <v>3.6528242987330199</v>
      </c>
      <c r="FH50" s="26">
        <f t="shared" si="130"/>
        <v>2.7889775222225341</v>
      </c>
      <c r="FI50" s="26">
        <f t="shared" si="130"/>
        <v>1.8930997478589981</v>
      </c>
      <c r="FJ50" s="26">
        <f t="shared" si="157"/>
        <v>0.96389512373542929</v>
      </c>
      <c r="FK50" s="26">
        <f t="shared" si="157"/>
        <v>0</v>
      </c>
      <c r="FL50" s="26">
        <f t="shared" si="157"/>
        <v>-1.0000000000000016</v>
      </c>
      <c r="FM50" s="26">
        <f t="shared" si="157"/>
        <v>-2.0375865007006908</v>
      </c>
      <c r="FN50" s="26">
        <f t="shared" si="157"/>
        <v>-3.1142844586875542</v>
      </c>
      <c r="FO50" s="26">
        <f t="shared" si="157"/>
        <v>-4.2317971859324448</v>
      </c>
      <c r="FP50" s="26">
        <f t="shared" si="158"/>
        <v>-5.3920178836115857</v>
      </c>
      <c r="FQ50" s="26">
        <f t="shared" si="158"/>
        <v>-6.5971225712303108</v>
      </c>
      <c r="FR50" s="26">
        <f t="shared" si="158"/>
        <v>-7.8492286780508129</v>
      </c>
      <c r="FS50" s="26">
        <f t="shared" si="158"/>
        <v>-9.1508324576787441</v>
      </c>
      <c r="FT50" s="26">
        <f t="shared" si="159"/>
        <v>-10.504475629216874</v>
      </c>
      <c r="FU50" s="26">
        <f t="shared" si="143"/>
        <v>-11.913109148864017</v>
      </c>
      <c r="FV50" s="26">
        <f t="shared" si="131"/>
        <v>-13.380097206136332</v>
      </c>
      <c r="FW50" s="26">
        <f t="shared" si="131"/>
        <v>-14.909200113163356</v>
      </c>
      <c r="FX50" s="26">
        <f t="shared" si="39"/>
        <v>7126689.7998479586</v>
      </c>
      <c r="FY50" s="26">
        <f t="shared" si="40"/>
        <v>328957.50364873186</v>
      </c>
      <c r="FZ50" s="26">
        <f t="shared" si="132"/>
        <v>0.80267472498257453</v>
      </c>
      <c r="GA50" s="26">
        <f t="shared" si="160"/>
        <v>0.83252617219287406</v>
      </c>
      <c r="GB50" s="26">
        <f t="shared" si="132"/>
        <v>0.86352188733098956</v>
      </c>
      <c r="GC50" s="26">
        <f t="shared" si="132"/>
        <v>0.89570829403953178</v>
      </c>
      <c r="GD50" s="26">
        <f t="shared" si="132"/>
        <v>0.92914819821707173</v>
      </c>
      <c r="GE50" s="26">
        <f t="shared" si="161"/>
        <v>0.96389512373543262</v>
      </c>
      <c r="GF50" s="26">
        <f t="shared" si="161"/>
        <v>1</v>
      </c>
      <c r="GG50" s="26">
        <f t="shared" si="161"/>
        <v>1.0375250508705258</v>
      </c>
      <c r="GH50" s="26">
        <f t="shared" si="161"/>
        <v>1.0765219869220535</v>
      </c>
      <c r="GI50" s="26">
        <f t="shared" si="161"/>
        <v>1.1170439662816967</v>
      </c>
      <c r="GJ50" s="26">
        <f t="shared" si="161"/>
        <v>1.1591938998126659</v>
      </c>
      <c r="GK50" s="26">
        <f t="shared" si="162"/>
        <v>1.2030823110982529</v>
      </c>
      <c r="GL50" s="26">
        <f t="shared" si="162"/>
        <v>1.2488458502636957</v>
      </c>
      <c r="GM50" s="26">
        <f t="shared" si="162"/>
        <v>1.2965699393539794</v>
      </c>
      <c r="GN50" s="26">
        <f t="shared" si="162"/>
        <v>1.3463901714176254</v>
      </c>
      <c r="GO50" s="26">
        <f t="shared" si="163"/>
        <v>1.3984227807512555</v>
      </c>
      <c r="GP50" s="26">
        <f t="shared" si="140"/>
        <v>1.4528226806628446</v>
      </c>
      <c r="GQ50" s="26">
        <f t="shared" si="134"/>
        <v>1.5097726198202974</v>
      </c>
      <c r="GR50" s="26">
        <f t="shared" si="134"/>
        <v>1.569475107013766</v>
      </c>
      <c r="GS50" s="26">
        <f t="shared" si="134"/>
        <v>1.6321919627913417</v>
      </c>
      <c r="GT50" s="26">
        <f t="shared" si="134"/>
        <v>1.6981140709593336</v>
      </c>
      <c r="GU50" s="26">
        <f t="shared" si="135"/>
        <v>5.4864367320281122</v>
      </c>
      <c r="GV50" s="26">
        <f t="shared" si="164"/>
        <v>4.6532871698208256</v>
      </c>
      <c r="GW50" s="26">
        <f t="shared" si="135"/>
        <v>3.7893024114020388</v>
      </c>
      <c r="GX50" s="26">
        <f t="shared" si="135"/>
        <v>2.893269228183009</v>
      </c>
      <c r="GY50" s="26">
        <f t="shared" si="135"/>
        <v>1.9639515496419275</v>
      </c>
      <c r="GZ50" s="26">
        <f t="shared" si="165"/>
        <v>0.99999999999999789</v>
      </c>
      <c r="HA50" s="26">
        <f t="shared" si="165"/>
        <v>0</v>
      </c>
      <c r="HB50" s="26">
        <f t="shared" si="165"/>
        <v>-1.0375250508705223</v>
      </c>
      <c r="HC50" s="26">
        <f t="shared" si="165"/>
        <v>-2.1141084876227407</v>
      </c>
      <c r="HD50" s="26">
        <f t="shared" si="165"/>
        <v>-3.2313284249692455</v>
      </c>
      <c r="HE50" s="26">
        <f t="shared" si="165"/>
        <v>-4.3909910857451058</v>
      </c>
      <c r="HF50" s="26">
        <f t="shared" si="166"/>
        <v>-5.5951001947098371</v>
      </c>
      <c r="HG50" s="26">
        <f t="shared" si="166"/>
        <v>-6.8459684214940077</v>
      </c>
      <c r="HH50" s="26">
        <f t="shared" si="166"/>
        <v>-8.1457986174047843</v>
      </c>
      <c r="HI50" s="26">
        <f t="shared" si="166"/>
        <v>-9.4972226290963651</v>
      </c>
      <c r="HJ50" s="26">
        <f t="shared" si="167"/>
        <v>-10.902898409968126</v>
      </c>
      <c r="HK50" s="26">
        <f t="shared" si="141"/>
        <v>-12.365931829526852</v>
      </c>
      <c r="HL50" s="26">
        <f t="shared" si="137"/>
        <v>-13.889869825956625</v>
      </c>
      <c r="HM50" s="26">
        <f t="shared" si="137"/>
        <v>-15.478675220177113</v>
      </c>
      <c r="HN50" s="26">
        <f t="shared" si="137"/>
        <v>-17.137169701912338</v>
      </c>
      <c r="HO50" s="26">
        <f t="shared" si="137"/>
        <v>-18.869706370519584</v>
      </c>
      <c r="HP50" s="26">
        <f t="shared" si="44"/>
        <v>518276.09684536204</v>
      </c>
      <c r="HQ50" s="26">
        <f t="shared" si="45"/>
        <v>535167.58130943275</v>
      </c>
      <c r="HR50" s="26">
        <f t="shared" si="46"/>
        <v>552839.77903893904</v>
      </c>
      <c r="HS50" s="26">
        <f t="shared" si="47"/>
        <v>571335.26819371385</v>
      </c>
      <c r="HT50" s="26">
        <f t="shared" si="48"/>
        <v>590694.96869373519</v>
      </c>
      <c r="HU50" s="26">
        <f t="shared" si="49"/>
        <v>610970.06953361398</v>
      </c>
      <c r="HV50" s="26">
        <f t="shared" si="50"/>
        <v>632215.9078880985</v>
      </c>
      <c r="HW50" s="26">
        <f t="shared" si="51"/>
        <v>654490.66193805833</v>
      </c>
      <c r="HX50" s="26">
        <f t="shared" si="52"/>
        <v>677855.87541064958</v>
      </c>
      <c r="HY50" s="26">
        <f t="shared" si="53"/>
        <v>702374.23090602865</v>
      </c>
      <c r="HZ50" s="26">
        <f t="shared" si="54"/>
        <v>728127.97048433509</v>
      </c>
      <c r="IA50" s="26">
        <f t="shared" si="55"/>
        <v>755217.63920194586</v>
      </c>
      <c r="IB50" s="26">
        <f t="shared" si="56"/>
        <v>783773.85060285602</v>
      </c>
      <c r="IC50" s="26">
        <f t="shared" si="57"/>
        <v>813912.8117309144</v>
      </c>
      <c r="ID50" s="26">
        <f t="shared" si="58"/>
        <v>845793.07896908489</v>
      </c>
      <c r="IE50" s="26">
        <f t="shared" si="59"/>
        <v>879572.46680003265</v>
      </c>
      <c r="IF50" s="26">
        <f t="shared" si="60"/>
        <v>915453.6772174479</v>
      </c>
      <c r="IG50" s="26">
        <f t="shared" si="61"/>
        <v>953683.95553883992</v>
      </c>
      <c r="IH50" s="26">
        <f t="shared" si="62"/>
        <v>994552.44016595546</v>
      </c>
      <c r="II50" s="26">
        <f t="shared" si="63"/>
        <v>-816966197773.48682</v>
      </c>
      <c r="IJ50" s="26">
        <f t="shared" si="64"/>
        <v>538147.65485727461</v>
      </c>
      <c r="IK50" s="26">
        <f t="shared" si="65"/>
        <v>554688.56393414049</v>
      </c>
      <c r="IL50" s="26">
        <f t="shared" si="66"/>
        <v>572081.03996981878</v>
      </c>
      <c r="IM50" s="26">
        <f t="shared" si="67"/>
        <v>590374.10637451115</v>
      </c>
      <c r="IN50" s="26">
        <f t="shared" si="68"/>
        <v>609615.47129271645</v>
      </c>
      <c r="IO50" s="26">
        <f t="shared" si="69"/>
        <v>629863.78158354177</v>
      </c>
      <c r="IP50" s="26">
        <f t="shared" si="70"/>
        <v>651182.38512474147</v>
      </c>
      <c r="IQ50" s="26">
        <f t="shared" si="71"/>
        <v>673638.01820546726</v>
      </c>
      <c r="IR50" s="26">
        <f t="shared" si="72"/>
        <v>697301.38087768969</v>
      </c>
      <c r="IS50" s="26">
        <f t="shared" si="73"/>
        <v>722244.88080826623</v>
      </c>
      <c r="IT50" s="26">
        <f t="shared" si="74"/>
        <v>748561.57880088873</v>
      </c>
      <c r="IU50" s="26">
        <f t="shared" si="75"/>
        <v>776363.98228860716</v>
      </c>
      <c r="IV50" s="26">
        <f t="shared" si="76"/>
        <v>805796.21463095688</v>
      </c>
      <c r="IW50" s="26">
        <f t="shared" si="77"/>
        <v>836988.38295197918</v>
      </c>
      <c r="IX50" s="26">
        <f t="shared" si="78"/>
        <v>870114.97717070964</v>
      </c>
      <c r="IY50" s="26">
        <f t="shared" si="79"/>
        <v>905350.65604420309</v>
      </c>
      <c r="IZ50" s="26">
        <f t="shared" si="80"/>
        <v>942917.28753397136</v>
      </c>
      <c r="JA50" s="26">
        <f t="shared" si="81"/>
        <v>983083.75731496629</v>
      </c>
      <c r="JB50" s="26">
        <f t="shared" si="82"/>
        <v>1026163.4053514625</v>
      </c>
      <c r="JC50" s="26">
        <f t="shared" si="83"/>
        <v>-841475180734.28638</v>
      </c>
      <c r="JD50" s="26">
        <f t="shared" si="84"/>
        <v>154683.56145833718</v>
      </c>
      <c r="JE50" s="26">
        <f t="shared" si="85"/>
        <v>246345.73390814645</v>
      </c>
      <c r="JF50" s="26">
        <f t="shared" si="86"/>
        <v>341663.4374331244</v>
      </c>
      <c r="JG50" s="26">
        <f t="shared" si="87"/>
        <v>440790.63504107244</v>
      </c>
      <c r="JH50" s="26">
        <f t="shared" si="88"/>
        <v>543901.9683797363</v>
      </c>
      <c r="JI50" s="26">
        <f t="shared" si="89"/>
        <v>651182.38512474147</v>
      </c>
      <c r="JJ50" s="26">
        <f t="shared" si="90"/>
        <v>762825.55282266811</v>
      </c>
      <c r="JK50" s="26">
        <f t="shared" si="91"/>
        <v>879033.97978329577</v>
      </c>
      <c r="JL50" s="26">
        <f t="shared" si="92"/>
        <v>1000015.7312756201</v>
      </c>
      <c r="JM50" s="26">
        <f t="shared" si="93"/>
        <v>1126019.1342932852</v>
      </c>
      <c r="JN50" s="26">
        <f t="shared" si="94"/>
        <v>1257328.9400828308</v>
      </c>
      <c r="JO50" s="26">
        <f t="shared" si="95"/>
        <v>1394288.0732785771</v>
      </c>
      <c r="JP50" s="26">
        <f t="shared" si="96"/>
        <v>1537216.0020971475</v>
      </c>
      <c r="JQ50" s="26">
        <f t="shared" si="97"/>
        <v>1686513.4547680472</v>
      </c>
      <c r="JR50" s="26">
        <f t="shared" si="98"/>
        <v>1842583.5725419526</v>
      </c>
      <c r="JS50" s="26">
        <f t="shared" si="99"/>
        <v>2005915.2095547533</v>
      </c>
      <c r="JT50" s="26">
        <f t="shared" si="100"/>
        <v>2177082.152719026</v>
      </c>
      <c r="JU50" s="26">
        <f t="shared" si="101"/>
        <v>2356738.3932707026</v>
      </c>
      <c r="JV50" s="26">
        <f t="shared" si="102"/>
        <v>-841473707592.10559</v>
      </c>
      <c r="JW50" s="26">
        <f t="shared" si="103"/>
        <v>1776757.735691603</v>
      </c>
      <c r="JX50" s="26" t="e">
        <f>AH50+$AG$38*0.004*(1+$R$28)*#REF!-S50*#REF!</f>
        <v>#REF!</v>
      </c>
      <c r="JY50" s="34">
        <f t="shared" si="104"/>
        <v>5.1663900300644675E-2</v>
      </c>
      <c r="JZ50" s="4">
        <f t="shared" si="105"/>
        <v>47267.527655408427</v>
      </c>
      <c r="KA50" s="165"/>
    </row>
    <row r="51" spans="1:287" ht="15.75" x14ac:dyDescent="0.3">
      <c r="A51" s="34">
        <v>50</v>
      </c>
      <c r="B51" s="34">
        <v>23</v>
      </c>
      <c r="C51" s="2">
        <v>978596</v>
      </c>
      <c r="D51" s="1">
        <f t="shared" si="106"/>
        <v>1653</v>
      </c>
      <c r="E51" s="145">
        <f t="shared" si="107"/>
        <v>0.99831084533351866</v>
      </c>
      <c r="F51" s="146">
        <f t="shared" si="108"/>
        <v>1.6891546664813406E-3</v>
      </c>
      <c r="G51" s="158">
        <f t="shared" si="3"/>
        <v>2.1114433331016758E-3</v>
      </c>
      <c r="H51" s="43">
        <f t="shared" si="109"/>
        <v>2055.0887849404126</v>
      </c>
      <c r="I51" s="43">
        <f t="shared" si="139"/>
        <v>973309.9405142552</v>
      </c>
      <c r="J51" s="43">
        <f t="shared" si="110"/>
        <v>977769.5</v>
      </c>
      <c r="K51" s="147">
        <f>SUM(J51:$J$138)</f>
        <v>50747396</v>
      </c>
      <c r="L51" s="147">
        <f t="shared" si="111"/>
        <v>51.857350735134823</v>
      </c>
      <c r="M51" s="43">
        <f t="shared" si="4"/>
        <v>1222211.875</v>
      </c>
      <c r="N51" s="148">
        <f t="shared" si="5"/>
        <v>63434245</v>
      </c>
      <c r="O51" s="147">
        <f t="shared" si="6"/>
        <v>64.821688418918527</v>
      </c>
      <c r="P51" s="157">
        <f t="shared" si="7"/>
        <v>441187.41305644001</v>
      </c>
      <c r="Q51" s="43">
        <f t="shared" si="8"/>
        <v>1223245</v>
      </c>
      <c r="R51" s="43">
        <f t="shared" si="9"/>
        <v>915.65604963103942</v>
      </c>
      <c r="S51" s="43">
        <f>SUM(R51:$R$138)</f>
        <v>96461.320321095467</v>
      </c>
      <c r="T51" s="43">
        <f t="shared" si="112"/>
        <v>3790106.6760819517</v>
      </c>
      <c r="U51" s="153">
        <f>SUM(P51:$P$138)</f>
        <v>10242688.479080243</v>
      </c>
      <c r="V51" s="129">
        <f t="shared" si="10"/>
        <v>7468011.6649380811</v>
      </c>
      <c r="W51" s="43">
        <f t="shared" si="113"/>
        <v>341321.86509012192</v>
      </c>
      <c r="X51" s="26">
        <f t="shared" si="114"/>
        <v>6.2891114570106845</v>
      </c>
      <c r="Y51" s="26">
        <f t="shared" si="115"/>
        <v>0.7736437055752029</v>
      </c>
      <c r="Z51" s="43">
        <f t="shared" si="11"/>
        <v>90320.703290559817</v>
      </c>
      <c r="AA51" s="149">
        <f t="shared" si="116"/>
        <v>1.3918386719138101E-2</v>
      </c>
      <c r="AB51" s="150">
        <f t="shared" si="138"/>
        <v>9801501.0660238042</v>
      </c>
      <c r="AC51" s="150">
        <f t="shared" si="117"/>
        <v>7126689.7998479586</v>
      </c>
      <c r="AD51" s="26">
        <f t="shared" si="118"/>
        <v>6.0627551625858906</v>
      </c>
      <c r="AE51" s="26">
        <f t="shared" si="12"/>
        <v>519894.94476726803</v>
      </c>
      <c r="AF51" s="43">
        <f t="shared" si="119"/>
        <v>82665.881869166682</v>
      </c>
      <c r="AG51" s="43">
        <f t="shared" si="13"/>
        <v>540797.59471018868</v>
      </c>
      <c r="AH51" s="27">
        <f t="shared" si="14"/>
        <v>89832.310387441408</v>
      </c>
      <c r="AI51" s="28">
        <f t="shared" si="120"/>
        <v>581502.79001095565</v>
      </c>
      <c r="AJ51" s="20">
        <f t="shared" si="15"/>
        <v>96593.882137033783</v>
      </c>
      <c r="AK51" s="3">
        <f t="shared" si="16"/>
        <v>8371.4697852095942</v>
      </c>
      <c r="AL51" s="3"/>
      <c r="AM51" s="46">
        <f t="shared" si="121"/>
        <v>9801501.0660238042</v>
      </c>
      <c r="AN51" s="46">
        <f t="shared" si="122"/>
        <v>9376133.074879365</v>
      </c>
      <c r="AO51" s="46">
        <f t="shared" si="122"/>
        <v>8966033.4692568444</v>
      </c>
      <c r="AP51" s="3">
        <f t="shared" si="147"/>
        <v>8570670.3942497224</v>
      </c>
      <c r="AQ51" s="3">
        <f t="shared" si="147"/>
        <v>8189536.3769633677</v>
      </c>
      <c r="AR51" s="16">
        <f t="shared" si="147"/>
        <v>7822141.6503789313</v>
      </c>
      <c r="AS51" s="16">
        <f t="shared" si="147"/>
        <v>7468011.6649380811</v>
      </c>
      <c r="AT51" s="16">
        <f t="shared" si="147"/>
        <v>7126689.7998479586</v>
      </c>
      <c r="AU51" s="16">
        <f t="shared" si="147"/>
        <v>6797732.2961992268</v>
      </c>
      <c r="AV51" s="16">
        <f t="shared" si="147"/>
        <v>6480708.0821750965</v>
      </c>
      <c r="AW51" s="16">
        <f t="shared" si="147"/>
        <v>6175211.3180029579</v>
      </c>
      <c r="AX51" s="16">
        <f t="shared" si="147"/>
        <v>5880859.0678085573</v>
      </c>
      <c r="AY51" s="16">
        <f t="shared" si="147"/>
        <v>5597293.2575317528</v>
      </c>
      <c r="AZ51" s="16">
        <f t="shared" si="147"/>
        <v>5324164.9250815194</v>
      </c>
      <c r="BA51" s="16">
        <f t="shared" si="147"/>
        <v>5061143.1109308824</v>
      </c>
      <c r="BB51" s="16">
        <f t="shared" si="147"/>
        <v>4807907.8302165577</v>
      </c>
      <c r="BC51" s="16">
        <f t="shared" si="144"/>
        <v>4564154.762375352</v>
      </c>
      <c r="BD51" s="16">
        <f t="shared" si="18"/>
        <v>4329596.2727115229</v>
      </c>
      <c r="BE51" s="16">
        <f t="shared" si="18"/>
        <v>4103960.3363030413</v>
      </c>
      <c r="BF51" s="16">
        <f t="shared" si="18"/>
        <v>3886994.4441078454</v>
      </c>
      <c r="BG51" s="16">
        <f t="shared" si="18"/>
        <v>3678451.3364938861</v>
      </c>
      <c r="BH51" s="172">
        <f t="shared" si="123"/>
        <v>425367.99114443822</v>
      </c>
      <c r="BI51" s="16">
        <f t="shared" si="148"/>
        <v>410099.60562251828</v>
      </c>
      <c r="BJ51" s="16">
        <f t="shared" si="148"/>
        <v>395363.07500712067</v>
      </c>
      <c r="BK51" s="16">
        <f t="shared" si="148"/>
        <v>381134.01728635549</v>
      </c>
      <c r="BL51" s="16">
        <f t="shared" si="148"/>
        <v>367394.72658443713</v>
      </c>
      <c r="BM51" s="16">
        <f t="shared" si="148"/>
        <v>354129.98544085148</v>
      </c>
      <c r="BN51" s="16">
        <f t="shared" si="148"/>
        <v>341321.86509012192</v>
      </c>
      <c r="BO51" s="16">
        <f t="shared" si="148"/>
        <v>328957.50364873186</v>
      </c>
      <c r="BP51" s="16">
        <f t="shared" si="148"/>
        <v>317024.21402412985</v>
      </c>
      <c r="BQ51" s="16">
        <f t="shared" si="148"/>
        <v>305496.76417213847</v>
      </c>
      <c r="BR51" s="16">
        <f t="shared" si="148"/>
        <v>294352.25019440131</v>
      </c>
      <c r="BS51" s="16">
        <f t="shared" si="148"/>
        <v>283565.81027680589</v>
      </c>
      <c r="BT51" s="16">
        <f t="shared" si="148"/>
        <v>273128.33245023253</v>
      </c>
      <c r="BU51" s="16">
        <f t="shared" si="148"/>
        <v>263021.81415063736</v>
      </c>
      <c r="BV51" s="16">
        <f t="shared" si="148"/>
        <v>253235.28071432526</v>
      </c>
      <c r="BW51" s="16">
        <f t="shared" si="148"/>
        <v>243753.06784120487</v>
      </c>
      <c r="BX51" s="16">
        <f t="shared" si="148"/>
        <v>234558.48966382915</v>
      </c>
      <c r="BY51" s="16">
        <f t="shared" si="149"/>
        <v>225635.93640848066</v>
      </c>
      <c r="BZ51" s="16">
        <f t="shared" si="149"/>
        <v>216965.89219519592</v>
      </c>
      <c r="CA51" s="16">
        <f t="shared" si="149"/>
        <v>208543.10761395967</v>
      </c>
      <c r="CB51" s="16">
        <f t="shared" si="149"/>
        <v>200357.2736090158</v>
      </c>
      <c r="CC51" s="18">
        <f t="shared" si="124"/>
        <v>5.4858133420136967</v>
      </c>
      <c r="CD51" s="18">
        <f t="shared" si="124"/>
        <v>4.6528242987330257</v>
      </c>
      <c r="CE51" s="18">
        <f t="shared" si="124"/>
        <v>3.7889775222225377</v>
      </c>
      <c r="CF51" s="18">
        <f t="shared" si="124"/>
        <v>2.8930997478589959</v>
      </c>
      <c r="CG51" s="18">
        <f t="shared" si="124"/>
        <v>1.9638951237354272</v>
      </c>
      <c r="CH51" s="18">
        <f t="shared" si="150"/>
        <v>0.99999999999999656</v>
      </c>
      <c r="CI51" s="18">
        <f t="shared" si="150"/>
        <v>0</v>
      </c>
      <c r="CJ51" s="18">
        <f t="shared" si="150"/>
        <v>-1.0375865007006908</v>
      </c>
      <c r="CK51" s="18">
        <f t="shared" si="150"/>
        <v>-2.1142844586875529</v>
      </c>
      <c r="CL51" s="18">
        <f t="shared" si="151"/>
        <v>-3.2317971859324439</v>
      </c>
      <c r="CM51" s="18">
        <f t="shared" si="151"/>
        <v>-4.3920178836115884</v>
      </c>
      <c r="CN51" s="18">
        <f t="shared" si="151"/>
        <v>-5.5971225712303161</v>
      </c>
      <c r="CO51" s="18">
        <f t="shared" si="151"/>
        <v>-6.8492286780508103</v>
      </c>
      <c r="CP51" s="18">
        <f t="shared" si="152"/>
        <v>-8.1508324576787441</v>
      </c>
      <c r="CQ51" s="18">
        <f t="shared" si="153"/>
        <v>-9.5044756292168753</v>
      </c>
      <c r="CR51" s="18">
        <f t="shared" si="154"/>
        <v>-10.913109148864013</v>
      </c>
      <c r="CS51" s="18">
        <f t="shared" si="142"/>
        <v>-12.380097206136332</v>
      </c>
      <c r="CT51" s="18">
        <f t="shared" si="125"/>
        <v>-13.909200113163353</v>
      </c>
      <c r="CU51" s="18">
        <f t="shared" si="125"/>
        <v>-15.504977739121001</v>
      </c>
      <c r="CV51" s="18">
        <f t="shared" si="125"/>
        <v>-17.171592299560256</v>
      </c>
      <c r="CW51" s="18">
        <f t="shared" si="22"/>
        <v>-18.914014251557823</v>
      </c>
      <c r="CX51" s="17">
        <f t="shared" si="23"/>
        <v>899.29697454822428</v>
      </c>
      <c r="CY51" s="17">
        <f t="shared" si="126"/>
        <v>883.49479936321018</v>
      </c>
      <c r="CZ51" s="17">
        <f t="shared" si="126"/>
        <v>874.20018189965901</v>
      </c>
      <c r="DA51" s="17">
        <f t="shared" si="126"/>
        <v>865.45997580359983</v>
      </c>
      <c r="DB51" s="17">
        <f t="shared" si="126"/>
        <v>855.35173047303624</v>
      </c>
      <c r="DC51" s="17">
        <f t="shared" si="126"/>
        <v>847.15731881688737</v>
      </c>
      <c r="DD51" s="17">
        <f t="shared" si="126"/>
        <v>836.33875654471524</v>
      </c>
      <c r="DE51" s="17">
        <f t="shared" si="126"/>
        <v>823.16070911830457</v>
      </c>
      <c r="DF51" s="3" t="e">
        <f>#REF!+$AG$35*0.004*(1+$R$28)*#REF!-S51*#REF!</f>
        <v>#REF!</v>
      </c>
      <c r="DG51" s="19">
        <f t="shared" si="25"/>
        <v>1761.7049147760292</v>
      </c>
      <c r="DH51" s="19">
        <f t="shared" si="26"/>
        <v>1614.9510793246604</v>
      </c>
      <c r="DI51" s="19">
        <f t="shared" si="27"/>
        <v>1469.8537517146913</v>
      </c>
      <c r="DJ51" s="19">
        <f t="shared" si="28"/>
        <v>1320.2753402485005</v>
      </c>
      <c r="DK51" s="19">
        <f t="shared" si="29"/>
        <v>1164.0896774084301</v>
      </c>
      <c r="DL51" s="19">
        <f t="shared" si="30"/>
        <v>1004.3642608801467</v>
      </c>
      <c r="DM51" s="19">
        <f t="shared" si="31"/>
        <v>836.33875654471524</v>
      </c>
      <c r="DN51" s="19">
        <f t="shared" si="32"/>
        <v>660.04490821703064</v>
      </c>
      <c r="DO51" s="173">
        <f t="shared" si="127"/>
        <v>95545.664271464426</v>
      </c>
      <c r="DP51" s="25">
        <f t="shared" si="155"/>
        <v>94646.3672969162</v>
      </c>
      <c r="DQ51" s="26">
        <f t="shared" si="155"/>
        <v>93762.872497552977</v>
      </c>
      <c r="DR51" s="26">
        <f t="shared" si="155"/>
        <v>92888.672315653326</v>
      </c>
      <c r="DS51" s="26">
        <f t="shared" si="155"/>
        <v>92023.212339849706</v>
      </c>
      <c r="DT51" s="26">
        <f t="shared" si="155"/>
        <v>91167.860609376687</v>
      </c>
      <c r="DU51" s="26">
        <f t="shared" si="155"/>
        <v>90320.703290559817</v>
      </c>
      <c r="DV51" s="26">
        <f t="shared" si="155"/>
        <v>89484.364534015098</v>
      </c>
      <c r="DW51" s="26">
        <f t="shared" si="155"/>
        <v>88661.203824896802</v>
      </c>
      <c r="DX51" s="26">
        <f t="shared" si="155"/>
        <v>87840.381572520157</v>
      </c>
      <c r="DY51" s="26">
        <f t="shared" si="155"/>
        <v>87012.558663059375</v>
      </c>
      <c r="DZ51" s="26">
        <f t="shared" si="155"/>
        <v>86165.616132443218</v>
      </c>
      <c r="EA51" s="26">
        <f t="shared" si="155"/>
        <v>85302.60278943798</v>
      </c>
      <c r="EB51" s="26">
        <f t="shared" si="155"/>
        <v>84417.209120336134</v>
      </c>
      <c r="EC51" s="26">
        <f t="shared" si="155"/>
        <v>83509.656097891071</v>
      </c>
      <c r="ED51" s="26">
        <f t="shared" si="155"/>
        <v>82575.016132919322</v>
      </c>
      <c r="EE51" s="26">
        <f t="shared" si="145"/>
        <v>81606.783444357046</v>
      </c>
      <c r="EF51" s="26">
        <f t="shared" si="34"/>
        <v>80598.972968603455</v>
      </c>
      <c r="EG51" s="26">
        <f t="shared" si="34"/>
        <v>79541.088741864602</v>
      </c>
      <c r="EH51" s="26">
        <f t="shared" si="34"/>
        <v>78436.477379158212</v>
      </c>
      <c r="EI51" s="26">
        <f t="shared" si="34"/>
        <v>77283.157471351093</v>
      </c>
      <c r="EJ51" s="26">
        <f t="shared" si="128"/>
        <v>1.2283390122625418E-2</v>
      </c>
      <c r="EK51" s="26">
        <f t="shared" si="128"/>
        <v>1.0547837518132116E-2</v>
      </c>
      <c r="EL51" s="26">
        <f t="shared" si="156"/>
        <v>8.7063497442981096E-3</v>
      </c>
      <c r="EM51" s="26">
        <f t="shared" si="156"/>
        <v>6.7377061837126176E-3</v>
      </c>
      <c r="EN51" s="26">
        <f t="shared" si="156"/>
        <v>4.6340051342533542E-3</v>
      </c>
      <c r="EO51" s="26">
        <f t="shared" si="156"/>
        <v>2.3922213696822513E-3</v>
      </c>
      <c r="EP51" s="26">
        <f t="shared" si="156"/>
        <v>0</v>
      </c>
      <c r="EQ51" s="26">
        <f t="shared" si="156"/>
        <v>-2.5423914860376018E-3</v>
      </c>
      <c r="ER51" s="26">
        <f t="shared" si="156"/>
        <v>-5.234614241600816E-3</v>
      </c>
      <c r="ES51" s="26">
        <f t="shared" si="156"/>
        <v>-8.1189786895486463E-3</v>
      </c>
      <c r="ET51" s="26">
        <f t="shared" si="156"/>
        <v>-1.1238727155357632E-2</v>
      </c>
      <c r="EU51" s="26">
        <f t="shared" si="156"/>
        <v>-1.4652990619921934E-2</v>
      </c>
      <c r="EV51" s="26">
        <f t="shared" si="156"/>
        <v>-1.8372683844639949E-2</v>
      </c>
      <c r="EW51" s="26">
        <f t="shared" si="156"/>
        <v>-2.2444884236265835E-2</v>
      </c>
      <c r="EX51" s="26">
        <f t="shared" si="156"/>
        <v>-2.6896122741887175E-2</v>
      </c>
      <c r="EY51" s="26">
        <f t="shared" si="156"/>
        <v>-3.177677813961502E-2</v>
      </c>
      <c r="EZ51" s="26">
        <f t="shared" si="146"/>
        <v>-3.7150306768651269E-2</v>
      </c>
      <c r="FA51" s="26">
        <f t="shared" si="37"/>
        <v>-4.3085912983101236E-2</v>
      </c>
      <c r="FB51" s="26">
        <f t="shared" si="37"/>
        <v>-4.9683452268143642E-2</v>
      </c>
      <c r="FC51" s="26">
        <f t="shared" si="37"/>
        <v>-5.6986903318813335E-2</v>
      </c>
      <c r="FD51" s="26">
        <f t="shared" si="37"/>
        <v>-6.5071487470181127E-2</v>
      </c>
      <c r="FE51" s="26">
        <f t="shared" si="130"/>
        <v>5.2882288321209954</v>
      </c>
      <c r="FF51" s="26">
        <f t="shared" si="130"/>
        <v>4.4851144555889535</v>
      </c>
      <c r="FG51" s="26">
        <f t="shared" si="130"/>
        <v>3.6522899726428855</v>
      </c>
      <c r="FH51" s="26">
        <f t="shared" si="130"/>
        <v>2.7886426530037753</v>
      </c>
      <c r="FI51" s="26">
        <f t="shared" si="130"/>
        <v>1.8929282327930728</v>
      </c>
      <c r="FJ51" s="26">
        <f t="shared" si="157"/>
        <v>0.96383214955721874</v>
      </c>
      <c r="FK51" s="26">
        <f t="shared" si="157"/>
        <v>0</v>
      </c>
      <c r="FL51" s="26">
        <f t="shared" si="157"/>
        <v>-1</v>
      </c>
      <c r="FM51" s="26">
        <f t="shared" si="157"/>
        <v>-2.0376415715163452</v>
      </c>
      <c r="FN51" s="26">
        <f t="shared" si="157"/>
        <v>-3.1145288377223874</v>
      </c>
      <c r="FO51" s="26">
        <f t="shared" si="157"/>
        <v>-4.2324484736114902</v>
      </c>
      <c r="FP51" s="26">
        <f t="shared" si="158"/>
        <v>-5.3934447909050407</v>
      </c>
      <c r="FQ51" s="26">
        <f t="shared" si="158"/>
        <v>-6.5995528863519946</v>
      </c>
      <c r="FR51" s="26">
        <f t="shared" si="158"/>
        <v>-7.8531383246185813</v>
      </c>
      <c r="FS51" s="26">
        <f t="shared" si="158"/>
        <v>-9.1566307944556069</v>
      </c>
      <c r="FT51" s="26">
        <f t="shared" si="159"/>
        <v>-10.512831941635266</v>
      </c>
      <c r="FU51" s="26">
        <f t="shared" si="143"/>
        <v>-11.924929816632302</v>
      </c>
      <c r="FV51" s="26">
        <f t="shared" si="131"/>
        <v>-13.396489547093733</v>
      </c>
      <c r="FW51" s="26">
        <f t="shared" si="131"/>
        <v>-14.931818651133806</v>
      </c>
      <c r="FX51" s="26">
        <f t="shared" si="39"/>
        <v>6797732.2961992268</v>
      </c>
      <c r="FY51" s="26">
        <f t="shared" si="40"/>
        <v>317024.21402412985</v>
      </c>
      <c r="FZ51" s="26">
        <f t="shared" si="132"/>
        <v>0.80241549010729973</v>
      </c>
      <c r="GA51" s="26">
        <f t="shared" si="160"/>
        <v>0.83229015685593277</v>
      </c>
      <c r="GB51" s="26">
        <f t="shared" si="132"/>
        <v>0.86331245042034988</v>
      </c>
      <c r="GC51" s="26">
        <f t="shared" si="132"/>
        <v>0.89554290514477564</v>
      </c>
      <c r="GD51" s="26">
        <f t="shared" si="132"/>
        <v>0.92903310905764191</v>
      </c>
      <c r="GE51" s="26">
        <f t="shared" si="161"/>
        <v>0.96383214955721719</v>
      </c>
      <c r="GF51" s="26">
        <f t="shared" si="161"/>
        <v>1</v>
      </c>
      <c r="GG51" s="26">
        <f t="shared" si="161"/>
        <v>1.0375865007006893</v>
      </c>
      <c r="GH51" s="26">
        <f t="shared" si="161"/>
        <v>1.0766428871712073</v>
      </c>
      <c r="GI51" s="26">
        <f t="shared" si="161"/>
        <v>1.1172683482100552</v>
      </c>
      <c r="GJ51" s="26">
        <f t="shared" si="161"/>
        <v>1.1595694100000937</v>
      </c>
      <c r="GK51" s="26">
        <f t="shared" si="162"/>
        <v>1.2036777803252685</v>
      </c>
      <c r="GL51" s="26">
        <f t="shared" si="162"/>
        <v>1.2496757916988166</v>
      </c>
      <c r="GM51" s="26">
        <f t="shared" si="162"/>
        <v>1.2976941330601601</v>
      </c>
      <c r="GN51" s="26">
        <f t="shared" si="162"/>
        <v>1.3478448347612635</v>
      </c>
      <c r="GO51" s="26">
        <f t="shared" si="163"/>
        <v>1.4002772072287482</v>
      </c>
      <c r="GP51" s="26">
        <f t="shared" si="140"/>
        <v>1.4551673895040285</v>
      </c>
      <c r="GQ51" s="26">
        <f t="shared" si="134"/>
        <v>1.5127105660696216</v>
      </c>
      <c r="GR51" s="26">
        <f t="shared" si="134"/>
        <v>1.5731590879871924</v>
      </c>
      <c r="GS51" s="26">
        <f t="shared" si="134"/>
        <v>1.6366969352060916</v>
      </c>
      <c r="GT51" s="26">
        <f t="shared" si="134"/>
        <v>1.703566129354452</v>
      </c>
      <c r="GU51" s="26">
        <f t="shared" si="135"/>
        <v>5.4858133420136967</v>
      </c>
      <c r="GV51" s="26">
        <f t="shared" si="164"/>
        <v>4.6528242987330257</v>
      </c>
      <c r="GW51" s="26">
        <f t="shared" si="135"/>
        <v>3.7889775222225377</v>
      </c>
      <c r="GX51" s="26">
        <f t="shared" si="135"/>
        <v>2.8930997478589959</v>
      </c>
      <c r="GY51" s="26">
        <f t="shared" si="135"/>
        <v>1.9638951237354272</v>
      </c>
      <c r="GZ51" s="26">
        <f t="shared" si="165"/>
        <v>0.99999999999999656</v>
      </c>
      <c r="HA51" s="26">
        <f t="shared" si="165"/>
        <v>0</v>
      </c>
      <c r="HB51" s="26">
        <f t="shared" si="165"/>
        <v>-1.0375865007006908</v>
      </c>
      <c r="HC51" s="26">
        <f t="shared" si="165"/>
        <v>-2.1142844586875529</v>
      </c>
      <c r="HD51" s="26">
        <f t="shared" si="165"/>
        <v>-3.2317971859324439</v>
      </c>
      <c r="HE51" s="26">
        <f t="shared" si="165"/>
        <v>-4.3920178836115884</v>
      </c>
      <c r="HF51" s="26">
        <f t="shared" si="166"/>
        <v>-5.5971225712303161</v>
      </c>
      <c r="HG51" s="26">
        <f t="shared" si="166"/>
        <v>-6.8492286780508103</v>
      </c>
      <c r="HH51" s="26">
        <f t="shared" si="166"/>
        <v>-8.1508324576787441</v>
      </c>
      <c r="HI51" s="26">
        <f t="shared" si="166"/>
        <v>-9.5044756292168753</v>
      </c>
      <c r="HJ51" s="26">
        <f t="shared" si="167"/>
        <v>-10.913109148864013</v>
      </c>
      <c r="HK51" s="26">
        <f t="shared" si="141"/>
        <v>-12.380097206136332</v>
      </c>
      <c r="HL51" s="26">
        <f t="shared" si="137"/>
        <v>-13.909200113163353</v>
      </c>
      <c r="HM51" s="26">
        <f t="shared" si="137"/>
        <v>-15.504977739121001</v>
      </c>
      <c r="HN51" s="26">
        <f t="shared" si="137"/>
        <v>-17.171592299560256</v>
      </c>
      <c r="HO51" s="26">
        <f t="shared" si="137"/>
        <v>-18.914014251557823</v>
      </c>
      <c r="HP51" s="26">
        <f t="shared" si="44"/>
        <v>518363.90461430949</v>
      </c>
      <c r="HQ51" s="26">
        <f t="shared" si="45"/>
        <v>535235.31755504711</v>
      </c>
      <c r="HR51" s="26">
        <f t="shared" si="46"/>
        <v>552889.87586168433</v>
      </c>
      <c r="HS51" s="26">
        <f t="shared" si="47"/>
        <v>571364.67481603881</v>
      </c>
      <c r="HT51" s="26">
        <f t="shared" si="48"/>
        <v>590708.25937022408</v>
      </c>
      <c r="HU51" s="26">
        <f t="shared" si="49"/>
        <v>610973.74166715343</v>
      </c>
      <c r="HV51" s="26">
        <f t="shared" si="50"/>
        <v>632215.9078880985</v>
      </c>
      <c r="HW51" s="26">
        <f t="shared" si="51"/>
        <v>654494.24414211814</v>
      </c>
      <c r="HX51" s="26">
        <f t="shared" si="52"/>
        <v>677869.34487914795</v>
      </c>
      <c r="HY51" s="26">
        <f t="shared" si="53"/>
        <v>702415.80738650577</v>
      </c>
      <c r="HZ51" s="26">
        <f t="shared" si="54"/>
        <v>728225.80514956114</v>
      </c>
      <c r="IA51" s="26">
        <f t="shared" si="55"/>
        <v>755418.73862617672</v>
      </c>
      <c r="IB51" s="26">
        <f t="shared" si="56"/>
        <v>784105.62241657556</v>
      </c>
      <c r="IC51" s="26">
        <f t="shared" si="57"/>
        <v>814434.23659147648</v>
      </c>
      <c r="ID51" s="26">
        <f t="shared" si="58"/>
        <v>846554.00205633789</v>
      </c>
      <c r="IE51" s="26">
        <f t="shared" si="59"/>
        <v>880654.97060112038</v>
      </c>
      <c r="IF51" s="26">
        <f t="shared" si="60"/>
        <v>916968.72830488626</v>
      </c>
      <c r="IG51" s="26">
        <f t="shared" si="61"/>
        <v>955766.67612228752</v>
      </c>
      <c r="IH51" s="26">
        <f t="shared" si="62"/>
        <v>997404.66577911063</v>
      </c>
      <c r="II51" s="26">
        <f t="shared" si="63"/>
        <v>-779256280543.22034</v>
      </c>
      <c r="IJ51" s="26">
        <f t="shared" si="64"/>
        <v>538237.60563216754</v>
      </c>
      <c r="IK51" s="26">
        <f t="shared" si="65"/>
        <v>554757.98750214558</v>
      </c>
      <c r="IL51" s="26">
        <f t="shared" si="66"/>
        <v>572132.41196994553</v>
      </c>
      <c r="IM51" s="26">
        <f t="shared" si="67"/>
        <v>590404.28396981361</v>
      </c>
      <c r="IN51" s="26">
        <f t="shared" si="68"/>
        <v>609629.12622248963</v>
      </c>
      <c r="IO51" s="26">
        <f t="shared" si="69"/>
        <v>629867.56388108747</v>
      </c>
      <c r="IP51" s="26">
        <f t="shared" si="70"/>
        <v>651182.38512474147</v>
      </c>
      <c r="IQ51" s="26">
        <f t="shared" si="71"/>
        <v>673641.67901040858</v>
      </c>
      <c r="IR51" s="26">
        <f t="shared" si="72"/>
        <v>697315.18033551052</v>
      </c>
      <c r="IS51" s="26">
        <f t="shared" si="73"/>
        <v>722287.53041836584</v>
      </c>
      <c r="IT51" s="26">
        <f t="shared" si="74"/>
        <v>748662.01873496827</v>
      </c>
      <c r="IU51" s="26">
        <f t="shared" si="75"/>
        <v>776570.56883136544</v>
      </c>
      <c r="IV51" s="26">
        <f t="shared" si="76"/>
        <v>806137.22961066174</v>
      </c>
      <c r="IW51" s="26">
        <f t="shared" si="77"/>
        <v>837524.62136121059</v>
      </c>
      <c r="IX51" s="26">
        <f t="shared" si="78"/>
        <v>870897.92462219449</v>
      </c>
      <c r="IY51" s="26">
        <f t="shared" si="79"/>
        <v>906465.06463534723</v>
      </c>
      <c r="IZ51" s="26">
        <f t="shared" si="80"/>
        <v>944477.79015403287</v>
      </c>
      <c r="JA51" s="26">
        <f t="shared" si="81"/>
        <v>985230.05794732063</v>
      </c>
      <c r="JB51" s="26">
        <f t="shared" si="82"/>
        <v>1029104.2129121552</v>
      </c>
      <c r="JC51" s="26">
        <f t="shared" si="83"/>
        <v>-802633965981.14136</v>
      </c>
      <c r="JD51" s="26">
        <f t="shared" si="84"/>
        <v>154663.91911685618</v>
      </c>
      <c r="JE51" s="26">
        <f t="shared" si="85"/>
        <v>246320.10216507618</v>
      </c>
      <c r="JF51" s="26">
        <f t="shared" si="86"/>
        <v>341628.06246483349</v>
      </c>
      <c r="JG51" s="26">
        <f t="shared" si="87"/>
        <v>440754.75240371085</v>
      </c>
      <c r="JH51" s="26">
        <f t="shared" si="88"/>
        <v>543878.05671353021</v>
      </c>
      <c r="JI51" s="26">
        <f t="shared" si="89"/>
        <v>651182.38512474147</v>
      </c>
      <c r="JJ51" s="26">
        <f t="shared" si="90"/>
        <v>762863.23084937152</v>
      </c>
      <c r="JK51" s="26">
        <f t="shared" si="91"/>
        <v>879121.4589500794</v>
      </c>
      <c r="JL51" s="26">
        <f t="shared" si="92"/>
        <v>1000188.1777021961</v>
      </c>
      <c r="JM51" s="26">
        <f t="shared" si="93"/>
        <v>1126329.4720178279</v>
      </c>
      <c r="JN51" s="26">
        <f t="shared" si="94"/>
        <v>1257864.3802878729</v>
      </c>
      <c r="JO51" s="26">
        <f t="shared" si="95"/>
        <v>1395099.0281141526</v>
      </c>
      <c r="JP51" s="26">
        <f t="shared" si="96"/>
        <v>1538410.6874023378</v>
      </c>
      <c r="JQ51" s="26">
        <f t="shared" si="97"/>
        <v>1688183.0998646151</v>
      </c>
      <c r="JR51" s="26">
        <f t="shared" si="98"/>
        <v>1844877.9420119273</v>
      </c>
      <c r="JS51" s="26">
        <f t="shared" si="99"/>
        <v>2009036.2475961521</v>
      </c>
      <c r="JT51" s="26">
        <f t="shared" si="100"/>
        <v>2181275.3207731731</v>
      </c>
      <c r="JU51" s="26">
        <f t="shared" si="101"/>
        <v>2362369.6073431205</v>
      </c>
      <c r="JV51" s="26">
        <f t="shared" si="102"/>
        <v>-802632489404.3822</v>
      </c>
      <c r="JW51" s="26">
        <f t="shared" si="103"/>
        <v>1781070.6831684732</v>
      </c>
      <c r="JX51" s="26" t="e">
        <f>AH51+$AG$38*0.004*(1+$R$28)*#REF!-S51*#REF!</f>
        <v>#REF!</v>
      </c>
      <c r="JY51" s="34">
        <f t="shared" si="104"/>
        <v>5.1689154666481343E-2</v>
      </c>
      <c r="JZ51" s="4">
        <f t="shared" si="105"/>
        <v>47261.330199938093</v>
      </c>
      <c r="KA51" s="165"/>
    </row>
    <row r="52" spans="1:287" ht="15.75" x14ac:dyDescent="0.3">
      <c r="A52" s="34">
        <v>51</v>
      </c>
      <c r="B52" s="34">
        <v>24</v>
      </c>
      <c r="C52" s="2">
        <v>976943</v>
      </c>
      <c r="D52" s="1">
        <f t="shared" si="106"/>
        <v>1681</v>
      </c>
      <c r="E52" s="145">
        <f t="shared" si="107"/>
        <v>0.99827932642948458</v>
      </c>
      <c r="F52" s="146">
        <f t="shared" si="108"/>
        <v>1.7206735705154186E-3</v>
      </c>
      <c r="G52" s="158">
        <f t="shared" si="3"/>
        <v>2.1508419631442732E-3</v>
      </c>
      <c r="H52" s="43">
        <f t="shared" si="109"/>
        <v>2089.0156920068794</v>
      </c>
      <c r="I52" s="43">
        <f t="shared" si="139"/>
        <v>971254.85172931477</v>
      </c>
      <c r="J52" s="43">
        <f t="shared" si="110"/>
        <v>976102.5</v>
      </c>
      <c r="K52" s="147">
        <f>SUM(J52:$J$138)</f>
        <v>49769626.5</v>
      </c>
      <c r="L52" s="147">
        <f t="shared" si="111"/>
        <v>50.944248026752838</v>
      </c>
      <c r="M52" s="43">
        <f t="shared" si="4"/>
        <v>1220128.125</v>
      </c>
      <c r="N52" s="148">
        <f t="shared" si="5"/>
        <v>62212033.125</v>
      </c>
      <c r="O52" s="147">
        <f t="shared" si="6"/>
        <v>63.680310033441046</v>
      </c>
      <c r="P52" s="157">
        <f t="shared" si="7"/>
        <v>425367.99114443822</v>
      </c>
      <c r="Q52" s="43">
        <f t="shared" si="8"/>
        <v>1221178.75</v>
      </c>
      <c r="R52" s="43">
        <f t="shared" si="9"/>
        <v>899.29697454822428</v>
      </c>
      <c r="S52" s="43">
        <f>SUM(R52:$R$138)</f>
        <v>95545.664271464426</v>
      </c>
      <c r="T52" s="43">
        <f t="shared" si="112"/>
        <v>3693645.3557608565</v>
      </c>
      <c r="U52" s="153">
        <f>SUM(P52:$P$138)</f>
        <v>9801501.0660238042</v>
      </c>
      <c r="V52" s="129">
        <f t="shared" si="10"/>
        <v>7126689.7998479586</v>
      </c>
      <c r="W52" s="43">
        <f t="shared" si="113"/>
        <v>328957.50364873186</v>
      </c>
      <c r="X52" s="26">
        <f t="shared" si="114"/>
        <v>6.288228832120998</v>
      </c>
      <c r="Y52" s="26">
        <f t="shared" si="115"/>
        <v>0.77334804333462615</v>
      </c>
      <c r="Z52" s="43">
        <f t="shared" si="11"/>
        <v>89484.364534015098</v>
      </c>
      <c r="AA52" s="149">
        <f t="shared" si="116"/>
        <v>1.424954360374321E-2</v>
      </c>
      <c r="AB52" s="150">
        <f t="shared" si="138"/>
        <v>9376133.074879365</v>
      </c>
      <c r="AC52" s="150">
        <f t="shared" si="117"/>
        <v>6797732.2961992268</v>
      </c>
      <c r="AD52" s="26">
        <f t="shared" si="118"/>
        <v>6.0615768754556214</v>
      </c>
      <c r="AE52" s="26">
        <f t="shared" si="12"/>
        <v>520015.10515307618</v>
      </c>
      <c r="AF52" s="43">
        <f t="shared" si="119"/>
        <v>82696.593752564964</v>
      </c>
      <c r="AG52" s="43">
        <f t="shared" si="13"/>
        <v>540920.61528210458</v>
      </c>
      <c r="AH52" s="27">
        <f t="shared" si="14"/>
        <v>89863.943627341636</v>
      </c>
      <c r="AI52" s="28">
        <f t="shared" si="120"/>
        <v>581635.07019581145</v>
      </c>
      <c r="AJ52" s="20">
        <f t="shared" si="15"/>
        <v>96627.896373485637</v>
      </c>
      <c r="AK52" s="3">
        <f t="shared" si="16"/>
        <v>8374.4176857020884</v>
      </c>
      <c r="AL52" s="3"/>
      <c r="AM52" s="46">
        <f t="shared" si="121"/>
        <v>9376133.074879365</v>
      </c>
      <c r="AN52" s="46">
        <f t="shared" si="122"/>
        <v>8966033.4692568444</v>
      </c>
      <c r="AO52" s="46">
        <f t="shared" si="122"/>
        <v>8570670.3942497224</v>
      </c>
      <c r="AP52" s="3">
        <f t="shared" si="147"/>
        <v>8189536.3769633677</v>
      </c>
      <c r="AQ52" s="3">
        <f t="shared" si="147"/>
        <v>7822141.6503789313</v>
      </c>
      <c r="AR52" s="16">
        <f t="shared" si="147"/>
        <v>7468011.6649380811</v>
      </c>
      <c r="AS52" s="16">
        <f t="shared" si="147"/>
        <v>7126689.7998479586</v>
      </c>
      <c r="AT52" s="16">
        <f t="shared" si="147"/>
        <v>6797732.2961992268</v>
      </c>
      <c r="AU52" s="16">
        <f t="shared" si="147"/>
        <v>6480708.0821750965</v>
      </c>
      <c r="AV52" s="16">
        <f t="shared" si="147"/>
        <v>6175211.3180029579</v>
      </c>
      <c r="AW52" s="16">
        <f t="shared" si="147"/>
        <v>5880859.0678085573</v>
      </c>
      <c r="AX52" s="16">
        <f t="shared" si="147"/>
        <v>5597293.2575317528</v>
      </c>
      <c r="AY52" s="16">
        <f t="shared" si="147"/>
        <v>5324164.9250815194</v>
      </c>
      <c r="AZ52" s="16">
        <f t="shared" si="147"/>
        <v>5061143.1109308824</v>
      </c>
      <c r="BA52" s="16">
        <f t="shared" si="147"/>
        <v>4807907.8302165577</v>
      </c>
      <c r="BB52" s="16">
        <f t="shared" si="147"/>
        <v>4564154.762375352</v>
      </c>
      <c r="BC52" s="16">
        <f t="shared" si="144"/>
        <v>4329596.2727115229</v>
      </c>
      <c r="BD52" s="16">
        <f t="shared" si="18"/>
        <v>4103960.3363030413</v>
      </c>
      <c r="BE52" s="16">
        <f t="shared" si="18"/>
        <v>3886994.4441078454</v>
      </c>
      <c r="BF52" s="16">
        <f t="shared" si="18"/>
        <v>3678451.3364938861</v>
      </c>
      <c r="BG52" s="16">
        <f t="shared" si="18"/>
        <v>3478094.06288487</v>
      </c>
      <c r="BH52" s="172">
        <f t="shared" si="123"/>
        <v>410099.60562251828</v>
      </c>
      <c r="BI52" s="16">
        <f t="shared" si="148"/>
        <v>395363.07500712067</v>
      </c>
      <c r="BJ52" s="16">
        <f t="shared" si="148"/>
        <v>381134.01728635549</v>
      </c>
      <c r="BK52" s="16">
        <f t="shared" si="148"/>
        <v>367394.72658443713</v>
      </c>
      <c r="BL52" s="16">
        <f t="shared" si="148"/>
        <v>354129.98544085148</v>
      </c>
      <c r="BM52" s="16">
        <f t="shared" si="148"/>
        <v>341321.86509012192</v>
      </c>
      <c r="BN52" s="16">
        <f t="shared" si="148"/>
        <v>328957.50364873186</v>
      </c>
      <c r="BO52" s="16">
        <f t="shared" si="148"/>
        <v>317024.21402412985</v>
      </c>
      <c r="BP52" s="16">
        <f t="shared" si="148"/>
        <v>305496.76417213847</v>
      </c>
      <c r="BQ52" s="16">
        <f t="shared" si="148"/>
        <v>294352.25019440131</v>
      </c>
      <c r="BR52" s="16">
        <f t="shared" si="148"/>
        <v>283565.81027680589</v>
      </c>
      <c r="BS52" s="16">
        <f t="shared" si="148"/>
        <v>273128.33245023253</v>
      </c>
      <c r="BT52" s="16">
        <f t="shared" si="148"/>
        <v>263021.81415063736</v>
      </c>
      <c r="BU52" s="16">
        <f t="shared" si="148"/>
        <v>253235.28071432526</v>
      </c>
      <c r="BV52" s="16">
        <f t="shared" si="148"/>
        <v>243753.06784120487</v>
      </c>
      <c r="BW52" s="16">
        <f t="shared" si="148"/>
        <v>234558.48966382915</v>
      </c>
      <c r="BX52" s="16">
        <f t="shared" si="148"/>
        <v>225635.93640848066</v>
      </c>
      <c r="BY52" s="16">
        <f t="shared" si="149"/>
        <v>216965.89219519592</v>
      </c>
      <c r="BZ52" s="16">
        <f t="shared" si="149"/>
        <v>208543.10761395967</v>
      </c>
      <c r="CA52" s="16">
        <f t="shared" si="149"/>
        <v>200357.2736090158</v>
      </c>
      <c r="CB52" s="16">
        <f t="shared" si="149"/>
        <v>192402.00403895453</v>
      </c>
      <c r="CC52" s="18">
        <f t="shared" si="124"/>
        <v>5.4851144555889597</v>
      </c>
      <c r="CD52" s="18">
        <f t="shared" si="124"/>
        <v>4.6522899726428886</v>
      </c>
      <c r="CE52" s="18">
        <f t="shared" si="124"/>
        <v>3.7886426530037731</v>
      </c>
      <c r="CF52" s="18">
        <f t="shared" si="124"/>
        <v>2.8929282327930705</v>
      </c>
      <c r="CG52" s="18">
        <f t="shared" si="124"/>
        <v>1.9638321495572153</v>
      </c>
      <c r="CH52" s="18">
        <f t="shared" si="150"/>
        <v>1.0000000000000016</v>
      </c>
      <c r="CI52" s="18">
        <f t="shared" si="150"/>
        <v>0</v>
      </c>
      <c r="CJ52" s="18">
        <f t="shared" si="150"/>
        <v>-1.0376415715163438</v>
      </c>
      <c r="CK52" s="18">
        <f t="shared" si="150"/>
        <v>-2.114528837722387</v>
      </c>
      <c r="CL52" s="18">
        <f t="shared" si="151"/>
        <v>-3.2324484736114929</v>
      </c>
      <c r="CM52" s="18">
        <f t="shared" si="151"/>
        <v>-4.393444790905046</v>
      </c>
      <c r="CN52" s="18">
        <f t="shared" si="151"/>
        <v>-5.599552886351991</v>
      </c>
      <c r="CO52" s="18">
        <f t="shared" si="151"/>
        <v>-6.8531383246185831</v>
      </c>
      <c r="CP52" s="18">
        <f t="shared" si="152"/>
        <v>-8.1566307944556105</v>
      </c>
      <c r="CQ52" s="18">
        <f t="shared" si="153"/>
        <v>-9.5128319416352625</v>
      </c>
      <c r="CR52" s="18">
        <f t="shared" si="154"/>
        <v>-10.924929816632302</v>
      </c>
      <c r="CS52" s="18">
        <f t="shared" si="142"/>
        <v>-12.396489547093729</v>
      </c>
      <c r="CT52" s="18">
        <f t="shared" si="125"/>
        <v>-13.931818651133806</v>
      </c>
      <c r="CU52" s="18">
        <f t="shared" si="125"/>
        <v>-15.534895364354162</v>
      </c>
      <c r="CV52" s="18">
        <f t="shared" si="125"/>
        <v>-17.210448122203367</v>
      </c>
      <c r="CW52" s="18">
        <f t="shared" si="22"/>
        <v>-18.96339778365499</v>
      </c>
      <c r="CX52" s="17">
        <f t="shared" si="23"/>
        <v>883.49479936321018</v>
      </c>
      <c r="CY52" s="17">
        <f t="shared" si="126"/>
        <v>874.20018189965901</v>
      </c>
      <c r="CZ52" s="17">
        <f t="shared" si="126"/>
        <v>865.45997580359983</v>
      </c>
      <c r="DA52" s="17">
        <f t="shared" si="126"/>
        <v>855.35173047303624</v>
      </c>
      <c r="DB52" s="17">
        <f t="shared" si="126"/>
        <v>847.15731881688737</v>
      </c>
      <c r="DC52" s="17">
        <f t="shared" si="126"/>
        <v>836.33875654471524</v>
      </c>
      <c r="DD52" s="17">
        <f t="shared" si="126"/>
        <v>823.16070911830457</v>
      </c>
      <c r="DE52" s="17">
        <f t="shared" si="126"/>
        <v>820.82225237662601</v>
      </c>
      <c r="DF52" s="3" t="e">
        <f>#REF!+$AG$35*0.004*(1+$R$28)*#REF!-S52*#REF!</f>
        <v>#REF!</v>
      </c>
      <c r="DG52" s="19">
        <f t="shared" si="25"/>
        <v>1752.0534608748121</v>
      </c>
      <c r="DH52" s="19">
        <f t="shared" si="26"/>
        <v>1610.8824853081624</v>
      </c>
      <c r="DI52" s="19">
        <f t="shared" si="27"/>
        <v>1465.3851766871956</v>
      </c>
      <c r="DJ52" s="19">
        <f t="shared" si="28"/>
        <v>1313.4420573145528</v>
      </c>
      <c r="DK52" s="19">
        <f t="shared" si="29"/>
        <v>1158.1268413425059</v>
      </c>
      <c r="DL52" s="19">
        <f t="shared" si="30"/>
        <v>994.68707699345282</v>
      </c>
      <c r="DM52" s="19">
        <f t="shared" si="31"/>
        <v>823.16070911830457</v>
      </c>
      <c r="DN52" s="19">
        <f t="shared" si="32"/>
        <v>656.5134522992247</v>
      </c>
      <c r="DO52" s="173">
        <f t="shared" si="127"/>
        <v>94646.3672969162</v>
      </c>
      <c r="DP52" s="25">
        <f t="shared" si="155"/>
        <v>93762.872497552977</v>
      </c>
      <c r="DQ52" s="26">
        <f t="shared" si="155"/>
        <v>92888.672315653326</v>
      </c>
      <c r="DR52" s="26">
        <f t="shared" si="155"/>
        <v>92023.212339849706</v>
      </c>
      <c r="DS52" s="26">
        <f t="shared" si="155"/>
        <v>91167.860609376687</v>
      </c>
      <c r="DT52" s="26">
        <f t="shared" si="155"/>
        <v>90320.703290559817</v>
      </c>
      <c r="DU52" s="26">
        <f t="shared" si="155"/>
        <v>89484.364534015098</v>
      </c>
      <c r="DV52" s="26">
        <f t="shared" si="155"/>
        <v>88661.203824896802</v>
      </c>
      <c r="DW52" s="26">
        <f t="shared" si="155"/>
        <v>87840.381572520157</v>
      </c>
      <c r="DX52" s="26">
        <f t="shared" si="155"/>
        <v>87012.558663059375</v>
      </c>
      <c r="DY52" s="26">
        <f t="shared" si="155"/>
        <v>86165.616132443218</v>
      </c>
      <c r="DZ52" s="26">
        <f t="shared" si="155"/>
        <v>85302.60278943798</v>
      </c>
      <c r="EA52" s="26">
        <f t="shared" si="155"/>
        <v>84417.209120336134</v>
      </c>
      <c r="EB52" s="26">
        <f t="shared" si="155"/>
        <v>83509.656097891071</v>
      </c>
      <c r="EC52" s="26">
        <f t="shared" si="155"/>
        <v>82575.016132919322</v>
      </c>
      <c r="ED52" s="26">
        <f t="shared" si="155"/>
        <v>81606.783444357046</v>
      </c>
      <c r="EE52" s="26">
        <f t="shared" si="145"/>
        <v>80598.972968603455</v>
      </c>
      <c r="EF52" s="26">
        <f t="shared" si="34"/>
        <v>79541.088741864602</v>
      </c>
      <c r="EG52" s="26">
        <f t="shared" si="34"/>
        <v>78436.477379158212</v>
      </c>
      <c r="EH52" s="26">
        <f t="shared" si="34"/>
        <v>77283.157471351093</v>
      </c>
      <c r="EI52" s="26">
        <f t="shared" si="34"/>
        <v>76082.783920534741</v>
      </c>
      <c r="EJ52" s="26">
        <f t="shared" si="128"/>
        <v>1.2587192701795809E-2</v>
      </c>
      <c r="EK52" s="26">
        <f t="shared" si="128"/>
        <v>1.0821718653065466E-2</v>
      </c>
      <c r="EL52" s="26">
        <f t="shared" si="156"/>
        <v>8.9320491670531917E-3</v>
      </c>
      <c r="EM52" s="26">
        <f t="shared" si="156"/>
        <v>6.9104089474488224E-3</v>
      </c>
      <c r="EN52" s="26">
        <f t="shared" si="156"/>
        <v>4.7538930465485093E-3</v>
      </c>
      <c r="EO52" s="26">
        <f t="shared" si="156"/>
        <v>2.450293526680144E-3</v>
      </c>
      <c r="EP52" s="26">
        <f t="shared" si="156"/>
        <v>0</v>
      </c>
      <c r="EQ52" s="26">
        <f t="shared" si="156"/>
        <v>-2.5965231446189855E-3</v>
      </c>
      <c r="ER52" s="26">
        <f t="shared" si="156"/>
        <v>-5.3813432883649303E-3</v>
      </c>
      <c r="ES52" s="26">
        <f t="shared" si="156"/>
        <v>-8.3974417362980888E-3</v>
      </c>
      <c r="ET52" s="26">
        <f t="shared" si="156"/>
        <v>-1.1703626746582204E-2</v>
      </c>
      <c r="EU52" s="26">
        <f t="shared" si="156"/>
        <v>-1.5310611341791456E-2</v>
      </c>
      <c r="EV52" s="26">
        <f t="shared" si="156"/>
        <v>-1.9265152702417722E-2</v>
      </c>
      <c r="EW52" s="26">
        <f t="shared" si="156"/>
        <v>-2.359350726830238E-2</v>
      </c>
      <c r="EX52" s="26">
        <f t="shared" si="156"/>
        <v>-2.8345687963184665E-2</v>
      </c>
      <c r="EY52" s="26">
        <f t="shared" si="156"/>
        <v>-3.3584719533913503E-2</v>
      </c>
      <c r="EZ52" s="26">
        <f t="shared" si="146"/>
        <v>-3.9379328075320186E-2</v>
      </c>
      <c r="FA52" s="26">
        <f t="shared" si="37"/>
        <v>-4.5828750738410584E-2</v>
      </c>
      <c r="FB52" s="26">
        <f t="shared" si="37"/>
        <v>-5.297651541334062E-2</v>
      </c>
      <c r="FC52" s="26">
        <f t="shared" si="37"/>
        <v>-6.0897250411152369E-2</v>
      </c>
      <c r="FD52" s="26">
        <f t="shared" si="37"/>
        <v>-6.9654059376465821E-2</v>
      </c>
      <c r="FE52" s="26">
        <f t="shared" si="130"/>
        <v>5.2872549578929853</v>
      </c>
      <c r="FF52" s="26">
        <f t="shared" si="130"/>
        <v>4.4843289880284454</v>
      </c>
      <c r="FG52" s="26">
        <f t="shared" si="130"/>
        <v>3.6517445770746928</v>
      </c>
      <c r="FH52" s="26">
        <f t="shared" si="130"/>
        <v>2.7883071804087747</v>
      </c>
      <c r="FI52" s="26">
        <f t="shared" si="130"/>
        <v>1.8927495447877221</v>
      </c>
      <c r="FJ52" s="26">
        <f t="shared" si="157"/>
        <v>0.96377506774104438</v>
      </c>
      <c r="FK52" s="26">
        <f t="shared" si="157"/>
        <v>0</v>
      </c>
      <c r="FL52" s="26">
        <f t="shared" si="157"/>
        <v>-1.0000000000000013</v>
      </c>
      <c r="FM52" s="26">
        <f t="shared" si="157"/>
        <v>-2.0377334597413168</v>
      </c>
      <c r="FN52" s="26">
        <f t="shared" si="157"/>
        <v>-3.1148843869382072</v>
      </c>
      <c r="FO52" s="26">
        <f t="shared" si="157"/>
        <v>-4.233370156633665</v>
      </c>
      <c r="FP52" s="26">
        <f t="shared" si="158"/>
        <v>-5.3951465155531242</v>
      </c>
      <c r="FQ52" s="26">
        <f t="shared" si="158"/>
        <v>-6.60245307362137</v>
      </c>
      <c r="FR52" s="26">
        <f t="shared" si="158"/>
        <v>-7.8576115475291539</v>
      </c>
      <c r="FS52" s="26">
        <f t="shared" si="158"/>
        <v>-9.1632796813821393</v>
      </c>
      <c r="FT52" s="26">
        <f t="shared" si="159"/>
        <v>-10.522475767238497</v>
      </c>
      <c r="FU52" s="26">
        <f t="shared" si="143"/>
        <v>-11.938576818807389</v>
      </c>
      <c r="FV52" s="26">
        <f t="shared" si="131"/>
        <v>-13.415647144541511</v>
      </c>
      <c r="FW52" s="26">
        <f t="shared" si="131"/>
        <v>-14.95748766475435</v>
      </c>
      <c r="FX52" s="26">
        <f t="shared" si="39"/>
        <v>6480708.0821750965</v>
      </c>
      <c r="FY52" s="26">
        <f t="shared" si="40"/>
        <v>305496.76417213847</v>
      </c>
      <c r="FZ52" s="26">
        <f t="shared" si="132"/>
        <v>0.80214050230403111</v>
      </c>
      <c r="GA52" s="26">
        <f t="shared" si="160"/>
        <v>0.83203901538555969</v>
      </c>
      <c r="GB52" s="26">
        <f t="shared" si="132"/>
        <v>0.86310192407091779</v>
      </c>
      <c r="GC52" s="26">
        <f t="shared" si="132"/>
        <v>0.89537894761570191</v>
      </c>
      <c r="GD52" s="26">
        <f t="shared" si="132"/>
        <v>0.92891739523050343</v>
      </c>
      <c r="GE52" s="26">
        <f t="shared" si="161"/>
        <v>0.96377506774104438</v>
      </c>
      <c r="GF52" s="26">
        <f t="shared" si="161"/>
        <v>1</v>
      </c>
      <c r="GG52" s="26">
        <f t="shared" si="161"/>
        <v>1.0376415715163438</v>
      </c>
      <c r="GH52" s="26">
        <f t="shared" si="161"/>
        <v>1.0767953779810706</v>
      </c>
      <c r="GI52" s="26">
        <f t="shared" si="161"/>
        <v>1.1175640866732832</v>
      </c>
      <c r="GJ52" s="26">
        <f t="shared" si="161"/>
        <v>1.1600746342713755</v>
      </c>
      <c r="GK52" s="26">
        <f t="shared" si="162"/>
        <v>1.2044063707988701</v>
      </c>
      <c r="GL52" s="26">
        <f t="shared" si="162"/>
        <v>1.2506852509972117</v>
      </c>
      <c r="GM52" s="26">
        <f t="shared" si="162"/>
        <v>1.2990192469264534</v>
      </c>
      <c r="GN52" s="26">
        <f t="shared" si="162"/>
        <v>1.3495522602531271</v>
      </c>
      <c r="GO52" s="26">
        <f t="shared" si="163"/>
        <v>1.4024540493938038</v>
      </c>
      <c r="GP52" s="26">
        <f t="shared" si="140"/>
        <v>1.4579127282863431</v>
      </c>
      <c r="GQ52" s="26">
        <f t="shared" si="134"/>
        <v>1.5161715065922958</v>
      </c>
      <c r="GR52" s="26">
        <f t="shared" si="134"/>
        <v>1.5774076995998105</v>
      </c>
      <c r="GS52" s="26">
        <f t="shared" si="134"/>
        <v>1.6418545617199356</v>
      </c>
      <c r="GT52" s="26">
        <f t="shared" si="134"/>
        <v>1.7097405263103689</v>
      </c>
      <c r="GU52" s="26">
        <f t="shared" si="135"/>
        <v>5.4851144555889597</v>
      </c>
      <c r="GV52" s="26">
        <f t="shared" si="164"/>
        <v>4.6522899726428886</v>
      </c>
      <c r="GW52" s="26">
        <f t="shared" si="135"/>
        <v>3.7886426530037731</v>
      </c>
      <c r="GX52" s="26">
        <f t="shared" si="135"/>
        <v>2.8929282327930705</v>
      </c>
      <c r="GY52" s="26">
        <f t="shared" si="135"/>
        <v>1.9638321495572153</v>
      </c>
      <c r="GZ52" s="26">
        <f t="shared" si="165"/>
        <v>1.0000000000000016</v>
      </c>
      <c r="HA52" s="26">
        <f t="shared" si="165"/>
        <v>0</v>
      </c>
      <c r="HB52" s="26">
        <f t="shared" si="165"/>
        <v>-1.0376415715163438</v>
      </c>
      <c r="HC52" s="26">
        <f t="shared" si="165"/>
        <v>-2.114528837722387</v>
      </c>
      <c r="HD52" s="26">
        <f t="shared" si="165"/>
        <v>-3.2324484736114929</v>
      </c>
      <c r="HE52" s="26">
        <f t="shared" si="165"/>
        <v>-4.393444790905046</v>
      </c>
      <c r="HF52" s="26">
        <f t="shared" si="166"/>
        <v>-5.599552886351991</v>
      </c>
      <c r="HG52" s="26">
        <f t="shared" si="166"/>
        <v>-6.8531383246185831</v>
      </c>
      <c r="HH52" s="26">
        <f t="shared" si="166"/>
        <v>-8.1566307944556105</v>
      </c>
      <c r="HI52" s="26">
        <f t="shared" si="166"/>
        <v>-9.5128319416352625</v>
      </c>
      <c r="HJ52" s="26">
        <f t="shared" si="167"/>
        <v>-10.924929816632302</v>
      </c>
      <c r="HK52" s="26">
        <f t="shared" si="141"/>
        <v>-12.396489547093729</v>
      </c>
      <c r="HL52" s="26">
        <f t="shared" si="137"/>
        <v>-13.931818651133806</v>
      </c>
      <c r="HM52" s="26">
        <f t="shared" si="137"/>
        <v>-15.534895364354162</v>
      </c>
      <c r="HN52" s="26">
        <f t="shared" si="137"/>
        <v>-17.210448122203367</v>
      </c>
      <c r="HO52" s="26">
        <f t="shared" si="137"/>
        <v>-18.96339778365499</v>
      </c>
      <c r="HP52" s="26">
        <f t="shared" si="44"/>
        <v>518461.43433671532</v>
      </c>
      <c r="HQ52" s="26">
        <f t="shared" si="45"/>
        <v>535312.26795016183</v>
      </c>
      <c r="HR52" s="26">
        <f t="shared" si="46"/>
        <v>552941.19994904113</v>
      </c>
      <c r="HS52" s="26">
        <f t="shared" si="47"/>
        <v>571394.23523710226</v>
      </c>
      <c r="HT52" s="26">
        <f t="shared" si="48"/>
        <v>590722.35004328017</v>
      </c>
      <c r="HU52" s="26">
        <f t="shared" si="49"/>
        <v>610977.07020684448</v>
      </c>
      <c r="HV52" s="26">
        <f t="shared" si="50"/>
        <v>632215.9078880985</v>
      </c>
      <c r="HW52" s="26">
        <f t="shared" si="51"/>
        <v>654497.45448295912</v>
      </c>
      <c r="HX52" s="26">
        <f t="shared" si="52"/>
        <v>677888.94906189351</v>
      </c>
      <c r="HY52" s="26">
        <f t="shared" si="53"/>
        <v>702474.50674696662</v>
      </c>
      <c r="HZ52" s="26">
        <f t="shared" si="54"/>
        <v>728362.73132541974</v>
      </c>
      <c r="IA52" s="26">
        <f t="shared" si="55"/>
        <v>755659.64381615433</v>
      </c>
      <c r="IB52" s="26">
        <f t="shared" si="56"/>
        <v>784502.64933503454</v>
      </c>
      <c r="IC52" s="26">
        <f t="shared" si="57"/>
        <v>815033.09071801323</v>
      </c>
      <c r="ID52" s="26">
        <f t="shared" si="58"/>
        <v>847428.83954064525</v>
      </c>
      <c r="IE52" s="26">
        <f t="shared" si="59"/>
        <v>881906.40197114053</v>
      </c>
      <c r="IF52" s="26">
        <f t="shared" si="60"/>
        <v>918720.09650570445</v>
      </c>
      <c r="IG52" s="26">
        <f t="shared" si="61"/>
        <v>958202.33144752169</v>
      </c>
      <c r="IH52" s="26">
        <f t="shared" si="62"/>
        <v>1000645.5117273916</v>
      </c>
      <c r="II52" s="26">
        <f t="shared" si="63"/>
        <v>-742914331333.84229</v>
      </c>
      <c r="IJ52" s="26">
        <f t="shared" si="64"/>
        <v>538337.51052846096</v>
      </c>
      <c r="IK52" s="26">
        <f t="shared" si="65"/>
        <v>554836.84842158039</v>
      </c>
      <c r="IL52" s="26">
        <f t="shared" si="66"/>
        <v>572185.04105722951</v>
      </c>
      <c r="IM52" s="26">
        <f t="shared" si="67"/>
        <v>590434.61864246661</v>
      </c>
      <c r="IN52" s="26">
        <f t="shared" si="68"/>
        <v>609643.6011488029</v>
      </c>
      <c r="IO52" s="26">
        <f t="shared" si="69"/>
        <v>629870.99227696925</v>
      </c>
      <c r="IP52" s="26">
        <f t="shared" si="70"/>
        <v>651182.38512474147</v>
      </c>
      <c r="IQ52" s="26">
        <f t="shared" si="71"/>
        <v>673644.95979269187</v>
      </c>
      <c r="IR52" s="26">
        <f t="shared" si="72"/>
        <v>697335.26974500786</v>
      </c>
      <c r="IS52" s="26">
        <f t="shared" si="73"/>
        <v>722347.74877834937</v>
      </c>
      <c r="IT52" s="26">
        <f t="shared" si="74"/>
        <v>748802.59442402434</v>
      </c>
      <c r="IU52" s="26">
        <f t="shared" si="75"/>
        <v>776818.04520521674</v>
      </c>
      <c r="IV52" s="26">
        <f t="shared" si="76"/>
        <v>806545.31593011634</v>
      </c>
      <c r="IW52" s="26">
        <f t="shared" si="77"/>
        <v>838140.48598304228</v>
      </c>
      <c r="IX52" s="26">
        <f t="shared" si="78"/>
        <v>871798.0817018908</v>
      </c>
      <c r="IY52" s="26">
        <f t="shared" si="79"/>
        <v>907753.37869941711</v>
      </c>
      <c r="IZ52" s="26">
        <f t="shared" si="80"/>
        <v>946281.6994008756</v>
      </c>
      <c r="JA52" s="26">
        <f t="shared" si="81"/>
        <v>987740.06821649487</v>
      </c>
      <c r="JB52" s="26">
        <f t="shared" si="82"/>
        <v>1032445.7138343464</v>
      </c>
      <c r="JC52" s="26">
        <f t="shared" si="83"/>
        <v>-765201758288.74255</v>
      </c>
      <c r="JD52" s="26">
        <f t="shared" si="84"/>
        <v>154641.55946865858</v>
      </c>
      <c r="JE52" s="26">
        <f t="shared" si="85"/>
        <v>246281.67944950861</v>
      </c>
      <c r="JF52" s="26">
        <f t="shared" si="86"/>
        <v>341581.63294067519</v>
      </c>
      <c r="JG52" s="26">
        <f t="shared" si="87"/>
        <v>440712.52007506206</v>
      </c>
      <c r="JH52" s="26">
        <f t="shared" si="88"/>
        <v>543849.8518695113</v>
      </c>
      <c r="JI52" s="26">
        <f t="shared" si="89"/>
        <v>651182.38512474147</v>
      </c>
      <c r="JJ52" s="26">
        <f t="shared" si="90"/>
        <v>762904.07110871444</v>
      </c>
      <c r="JK52" s="26">
        <f t="shared" si="91"/>
        <v>879229.45179034374</v>
      </c>
      <c r="JL52" s="26">
        <f t="shared" si="92"/>
        <v>1000406.6527867562</v>
      </c>
      <c r="JM52" s="26">
        <f t="shared" si="93"/>
        <v>1126731.7256548814</v>
      </c>
      <c r="JN52" s="26">
        <f t="shared" si="94"/>
        <v>1258497.9702610869</v>
      </c>
      <c r="JO52" s="26">
        <f t="shared" si="95"/>
        <v>1396060.0899838614</v>
      </c>
      <c r="JP52" s="26">
        <f t="shared" si="96"/>
        <v>1539783.1688047023</v>
      </c>
      <c r="JQ52" s="26">
        <f t="shared" si="97"/>
        <v>1690102.733825847</v>
      </c>
      <c r="JR52" s="26">
        <f t="shared" si="98"/>
        <v>1847528.3003975665</v>
      </c>
      <c r="JS52" s="26">
        <f t="shared" si="99"/>
        <v>2012641.8672910079</v>
      </c>
      <c r="JT52" s="26">
        <f t="shared" si="100"/>
        <v>2186170.9965369152</v>
      </c>
      <c r="JU52" s="26">
        <f t="shared" si="101"/>
        <v>2368775.1291866209</v>
      </c>
      <c r="JV52" s="26">
        <f t="shared" si="102"/>
        <v>-765200277826.36816</v>
      </c>
      <c r="JW52" s="26">
        <f t="shared" si="103"/>
        <v>1785894.6628189182</v>
      </c>
      <c r="JX52" s="26" t="e">
        <f>AH52+$AG$38*0.004*(1+$R$28)*#REF!-S52*#REF!</f>
        <v>#REF!</v>
      </c>
      <c r="JY52" s="34">
        <f t="shared" si="104"/>
        <v>5.1720673570515421E-2</v>
      </c>
      <c r="JZ52" s="4">
        <f t="shared" si="105"/>
        <v>47250.272977816581</v>
      </c>
      <c r="KA52" s="165"/>
    </row>
    <row r="53" spans="1:287" ht="15.75" x14ac:dyDescent="0.3">
      <c r="A53" s="34">
        <v>52</v>
      </c>
      <c r="B53" s="34">
        <v>25</v>
      </c>
      <c r="C53" s="2">
        <v>975262</v>
      </c>
      <c r="D53" s="1">
        <f t="shared" si="106"/>
        <v>1710</v>
      </c>
      <c r="E53" s="145">
        <f t="shared" si="107"/>
        <v>0.99824662500948458</v>
      </c>
      <c r="F53" s="146">
        <f t="shared" si="108"/>
        <v>1.7533749905154217E-3</v>
      </c>
      <c r="G53" s="158">
        <f t="shared" si="3"/>
        <v>2.1917187381442771E-3</v>
      </c>
      <c r="H53" s="43">
        <f t="shared" si="109"/>
        <v>2124.1389232122319</v>
      </c>
      <c r="I53" s="43">
        <f t="shared" si="139"/>
        <v>969165.83603730786</v>
      </c>
      <c r="J53" s="43">
        <f t="shared" si="110"/>
        <v>974407</v>
      </c>
      <c r="K53" s="147">
        <f>SUM(J53:$J$138)</f>
        <v>48793524</v>
      </c>
      <c r="L53" s="147">
        <f t="shared" si="111"/>
        <v>50.03119571971429</v>
      </c>
      <c r="M53" s="43">
        <f t="shared" si="4"/>
        <v>1218008.75</v>
      </c>
      <c r="N53" s="148">
        <f t="shared" si="5"/>
        <v>60991905</v>
      </c>
      <c r="O53" s="147">
        <f t="shared" si="6"/>
        <v>62.538994649642859</v>
      </c>
      <c r="P53" s="157">
        <f t="shared" si="7"/>
        <v>410099.60562251828</v>
      </c>
      <c r="Q53" s="43">
        <f t="shared" si="8"/>
        <v>1219077.5</v>
      </c>
      <c r="R53" s="43">
        <f t="shared" si="9"/>
        <v>883.49479936321018</v>
      </c>
      <c r="S53" s="43">
        <f>SUM(R53:$R$138)</f>
        <v>94646.3672969162</v>
      </c>
      <c r="T53" s="43">
        <f t="shared" si="112"/>
        <v>3598099.691489392</v>
      </c>
      <c r="U53" s="153">
        <f>SUM(P53:$P$138)</f>
        <v>9376133.074879365</v>
      </c>
      <c r="V53" s="129">
        <f t="shared" si="10"/>
        <v>6797732.2961992268</v>
      </c>
      <c r="W53" s="43">
        <f t="shared" si="113"/>
        <v>317024.21402412985</v>
      </c>
      <c r="X53" s="26">
        <f t="shared" si="114"/>
        <v>6.2872549578929906</v>
      </c>
      <c r="Y53" s="26">
        <f t="shared" si="115"/>
        <v>0.77304198706286753</v>
      </c>
      <c r="Z53" s="43">
        <f t="shared" si="11"/>
        <v>88661.203824896802</v>
      </c>
      <c r="AA53" s="149">
        <f t="shared" si="116"/>
        <v>1.4594414112966796E-2</v>
      </c>
      <c r="AB53" s="150">
        <f t="shared" si="138"/>
        <v>8966033.4692568444</v>
      </c>
      <c r="AC53" s="150">
        <f t="shared" si="117"/>
        <v>6480708.0821750965</v>
      </c>
      <c r="AD53" s="26">
        <f t="shared" si="118"/>
        <v>6.0602969449558532</v>
      </c>
      <c r="AE53" s="26">
        <f t="shared" si="12"/>
        <v>520146.51189972827</v>
      </c>
      <c r="AF53" s="43">
        <f t="shared" si="119"/>
        <v>82730.303667221058</v>
      </c>
      <c r="AG53" s="43">
        <f t="shared" si="13"/>
        <v>541055.14262329123</v>
      </c>
      <c r="AH53" s="27">
        <f t="shared" si="14"/>
        <v>89898.664839437421</v>
      </c>
      <c r="AI53" s="28">
        <f t="shared" si="120"/>
        <v>581779.7232508508</v>
      </c>
      <c r="AJ53" s="20">
        <f t="shared" si="15"/>
        <v>96665.231010147763</v>
      </c>
      <c r="AK53" s="3">
        <f t="shared" si="16"/>
        <v>8377.6533542128072</v>
      </c>
      <c r="AL53" s="3"/>
      <c r="AM53" s="46">
        <f t="shared" si="121"/>
        <v>8966033.4692568444</v>
      </c>
      <c r="AN53" s="46">
        <f t="shared" si="122"/>
        <v>8570670.3942497224</v>
      </c>
      <c r="AO53" s="46">
        <f t="shared" si="122"/>
        <v>8189536.3769633677</v>
      </c>
      <c r="AP53" s="3">
        <f t="shared" si="147"/>
        <v>7822141.6503789313</v>
      </c>
      <c r="AQ53" s="3">
        <f t="shared" si="147"/>
        <v>7468011.6649380811</v>
      </c>
      <c r="AR53" s="16">
        <f t="shared" si="147"/>
        <v>7126689.7998479586</v>
      </c>
      <c r="AS53" s="16">
        <f t="shared" si="147"/>
        <v>6797732.2961992268</v>
      </c>
      <c r="AT53" s="16">
        <f t="shared" si="147"/>
        <v>6480708.0821750965</v>
      </c>
      <c r="AU53" s="16">
        <f t="shared" si="147"/>
        <v>6175211.3180029579</v>
      </c>
      <c r="AV53" s="16">
        <f t="shared" si="147"/>
        <v>5880859.0678085573</v>
      </c>
      <c r="AW53" s="16">
        <f t="shared" si="147"/>
        <v>5597293.2575317528</v>
      </c>
      <c r="AX53" s="16">
        <f t="shared" si="147"/>
        <v>5324164.9250815194</v>
      </c>
      <c r="AY53" s="16">
        <f t="shared" si="147"/>
        <v>5061143.1109308824</v>
      </c>
      <c r="AZ53" s="16">
        <f t="shared" si="147"/>
        <v>4807907.8302165577</v>
      </c>
      <c r="BA53" s="16">
        <f t="shared" si="147"/>
        <v>4564154.762375352</v>
      </c>
      <c r="BB53" s="16">
        <f t="shared" si="147"/>
        <v>4329596.2727115229</v>
      </c>
      <c r="BC53" s="16">
        <f t="shared" si="144"/>
        <v>4103960.3363030413</v>
      </c>
      <c r="BD53" s="16">
        <f t="shared" si="18"/>
        <v>3886994.4441078454</v>
      </c>
      <c r="BE53" s="16">
        <f t="shared" si="18"/>
        <v>3678451.3364938861</v>
      </c>
      <c r="BF53" s="16">
        <f t="shared" si="18"/>
        <v>3478094.06288487</v>
      </c>
      <c r="BG53" s="16">
        <f t="shared" si="18"/>
        <v>3285692.0588459154</v>
      </c>
      <c r="BH53" s="172">
        <f t="shared" si="123"/>
        <v>395363.07500712067</v>
      </c>
      <c r="BI53" s="16">
        <f t="shared" si="148"/>
        <v>381134.01728635549</v>
      </c>
      <c r="BJ53" s="16">
        <f t="shared" si="148"/>
        <v>367394.72658443713</v>
      </c>
      <c r="BK53" s="16">
        <f t="shared" si="148"/>
        <v>354129.98544085148</v>
      </c>
      <c r="BL53" s="16">
        <f t="shared" si="148"/>
        <v>341321.86509012192</v>
      </c>
      <c r="BM53" s="16">
        <f t="shared" si="148"/>
        <v>328957.50364873186</v>
      </c>
      <c r="BN53" s="16">
        <f t="shared" si="148"/>
        <v>317024.21402412985</v>
      </c>
      <c r="BO53" s="16">
        <f t="shared" si="148"/>
        <v>305496.76417213847</v>
      </c>
      <c r="BP53" s="16">
        <f t="shared" si="148"/>
        <v>294352.25019440131</v>
      </c>
      <c r="BQ53" s="16">
        <f t="shared" si="148"/>
        <v>283565.81027680589</v>
      </c>
      <c r="BR53" s="16">
        <f t="shared" si="148"/>
        <v>273128.33245023253</v>
      </c>
      <c r="BS53" s="16">
        <f t="shared" si="148"/>
        <v>263021.81415063736</v>
      </c>
      <c r="BT53" s="16">
        <f t="shared" si="148"/>
        <v>253235.28071432526</v>
      </c>
      <c r="BU53" s="16">
        <f t="shared" si="148"/>
        <v>243753.06784120487</v>
      </c>
      <c r="BV53" s="16">
        <f t="shared" si="148"/>
        <v>234558.48966382915</v>
      </c>
      <c r="BW53" s="16">
        <f t="shared" si="148"/>
        <v>225635.93640848066</v>
      </c>
      <c r="BX53" s="16">
        <f t="shared" si="148"/>
        <v>216965.89219519592</v>
      </c>
      <c r="BY53" s="16">
        <f t="shared" si="149"/>
        <v>208543.10761395967</v>
      </c>
      <c r="BZ53" s="16">
        <f t="shared" si="149"/>
        <v>200357.2736090158</v>
      </c>
      <c r="CA53" s="16">
        <f t="shared" si="149"/>
        <v>192402.00403895453</v>
      </c>
      <c r="CB53" s="16">
        <f t="shared" si="149"/>
        <v>184670.70406523009</v>
      </c>
      <c r="CC53" s="18">
        <f t="shared" si="124"/>
        <v>5.484328988028448</v>
      </c>
      <c r="CD53" s="18">
        <f t="shared" si="124"/>
        <v>4.651744577074691</v>
      </c>
      <c r="CE53" s="18">
        <f t="shared" si="124"/>
        <v>3.7883071804087725</v>
      </c>
      <c r="CF53" s="18">
        <f t="shared" si="124"/>
        <v>2.8927495447877187</v>
      </c>
      <c r="CG53" s="18">
        <f t="shared" si="124"/>
        <v>1.9637750677410459</v>
      </c>
      <c r="CH53" s="18">
        <f t="shared" si="150"/>
        <v>1</v>
      </c>
      <c r="CI53" s="18">
        <f t="shared" si="150"/>
        <v>0</v>
      </c>
      <c r="CJ53" s="18">
        <f t="shared" si="150"/>
        <v>-1.0377334597413164</v>
      </c>
      <c r="CK53" s="18">
        <f t="shared" si="150"/>
        <v>-2.1148843869382095</v>
      </c>
      <c r="CL53" s="18">
        <f t="shared" si="151"/>
        <v>-3.2333701566336703</v>
      </c>
      <c r="CM53" s="18">
        <f t="shared" si="151"/>
        <v>-4.3951465155531215</v>
      </c>
      <c r="CN53" s="18">
        <f t="shared" si="151"/>
        <v>-5.6024530736213709</v>
      </c>
      <c r="CO53" s="18">
        <f t="shared" si="151"/>
        <v>-6.8576115475291566</v>
      </c>
      <c r="CP53" s="18">
        <f t="shared" si="152"/>
        <v>-8.1632796813821358</v>
      </c>
      <c r="CQ53" s="18">
        <f t="shared" si="153"/>
        <v>-9.5224757672384985</v>
      </c>
      <c r="CR53" s="18">
        <f t="shared" si="154"/>
        <v>-10.938576818807386</v>
      </c>
      <c r="CS53" s="18">
        <f t="shared" si="142"/>
        <v>-12.415647144541511</v>
      </c>
      <c r="CT53" s="18">
        <f t="shared" si="125"/>
        <v>-13.957487664754352</v>
      </c>
      <c r="CU53" s="18">
        <f t="shared" si="125"/>
        <v>-15.568593560483434</v>
      </c>
      <c r="CV53" s="18">
        <f t="shared" si="125"/>
        <v>-17.253657257344621</v>
      </c>
      <c r="CW53" s="18">
        <f t="shared" si="22"/>
        <v>-19.017852642792629</v>
      </c>
      <c r="CX53" s="17">
        <f t="shared" si="23"/>
        <v>874.20018189965901</v>
      </c>
      <c r="CY53" s="17">
        <f t="shared" si="126"/>
        <v>865.45997580359983</v>
      </c>
      <c r="CZ53" s="17">
        <f t="shared" si="126"/>
        <v>855.35173047303624</v>
      </c>
      <c r="DA53" s="17">
        <f t="shared" si="126"/>
        <v>847.15731881688737</v>
      </c>
      <c r="DB53" s="17">
        <f t="shared" si="126"/>
        <v>836.33875654471524</v>
      </c>
      <c r="DC53" s="17">
        <f t="shared" si="126"/>
        <v>823.16070911830457</v>
      </c>
      <c r="DD53" s="17">
        <f t="shared" si="126"/>
        <v>820.82225237662601</v>
      </c>
      <c r="DE53" s="17">
        <f t="shared" si="126"/>
        <v>827.82290946077819</v>
      </c>
      <c r="DF53" s="3" t="e">
        <f>#REF!+$AG$35*0.004*(1+$R$28)*#REF!-S53*#REF!</f>
        <v>#REF!</v>
      </c>
      <c r="DG53" s="19">
        <f t="shared" si="25"/>
        <v>1748.8938149861342</v>
      </c>
      <c r="DH53" s="19">
        <f t="shared" si="26"/>
        <v>1607.3650243872139</v>
      </c>
      <c r="DI53" s="19">
        <f t="shared" si="27"/>
        <v>1459.5474630982108</v>
      </c>
      <c r="DJ53" s="19">
        <f t="shared" si="28"/>
        <v>1308.5208902698134</v>
      </c>
      <c r="DK53" s="19">
        <f t="shared" si="29"/>
        <v>1149.5405269557473</v>
      </c>
      <c r="DL53" s="19">
        <f t="shared" si="30"/>
        <v>982.65034495084012</v>
      </c>
      <c r="DM53" s="19">
        <f t="shared" si="31"/>
        <v>820.82225237662601</v>
      </c>
      <c r="DN53" s="19">
        <f t="shared" si="32"/>
        <v>662.31517787539849</v>
      </c>
      <c r="DO53" s="173">
        <f t="shared" si="127"/>
        <v>93762.872497552977</v>
      </c>
      <c r="DP53" s="25">
        <f t="shared" si="155"/>
        <v>92888.672315653326</v>
      </c>
      <c r="DQ53" s="26">
        <f t="shared" si="155"/>
        <v>92023.212339849706</v>
      </c>
      <c r="DR53" s="26">
        <f t="shared" si="155"/>
        <v>91167.860609376687</v>
      </c>
      <c r="DS53" s="26">
        <f t="shared" si="155"/>
        <v>90320.703290559817</v>
      </c>
      <c r="DT53" s="26">
        <f t="shared" si="155"/>
        <v>89484.364534015098</v>
      </c>
      <c r="DU53" s="26">
        <f t="shared" si="155"/>
        <v>88661.203824896802</v>
      </c>
      <c r="DV53" s="26">
        <f t="shared" si="155"/>
        <v>87840.381572520157</v>
      </c>
      <c r="DW53" s="26">
        <f t="shared" si="155"/>
        <v>87012.558663059375</v>
      </c>
      <c r="DX53" s="26">
        <f t="shared" si="155"/>
        <v>86165.616132443218</v>
      </c>
      <c r="DY53" s="26">
        <f t="shared" si="155"/>
        <v>85302.60278943798</v>
      </c>
      <c r="DZ53" s="26">
        <f t="shared" si="155"/>
        <v>84417.209120336134</v>
      </c>
      <c r="EA53" s="26">
        <f t="shared" si="155"/>
        <v>83509.656097891071</v>
      </c>
      <c r="EB53" s="26">
        <f t="shared" si="155"/>
        <v>82575.016132919322</v>
      </c>
      <c r="EC53" s="26">
        <f t="shared" si="155"/>
        <v>81606.783444357046</v>
      </c>
      <c r="ED53" s="26">
        <f t="shared" si="155"/>
        <v>80598.972968603455</v>
      </c>
      <c r="EE53" s="26">
        <f t="shared" si="145"/>
        <v>79541.088741864602</v>
      </c>
      <c r="EF53" s="26">
        <f t="shared" si="34"/>
        <v>78436.477379158212</v>
      </c>
      <c r="EG53" s="26">
        <f t="shared" si="34"/>
        <v>77283.157471351093</v>
      </c>
      <c r="EH53" s="26">
        <f t="shared" si="34"/>
        <v>76082.783920534741</v>
      </c>
      <c r="EI53" s="26">
        <f t="shared" si="34"/>
        <v>74836.579607665073</v>
      </c>
      <c r="EJ53" s="26">
        <f t="shared" si="128"/>
        <v>1.2903756054012609E-2</v>
      </c>
      <c r="EK53" s="26">
        <f t="shared" si="128"/>
        <v>1.1091816261523363E-2</v>
      </c>
      <c r="EL53" s="26">
        <f t="shared" si="156"/>
        <v>9.1509438532461473E-3</v>
      </c>
      <c r="EM53" s="26">
        <f t="shared" si="156"/>
        <v>7.0783522648029439E-3</v>
      </c>
      <c r="EN53" s="26">
        <f t="shared" si="156"/>
        <v>4.8619781953460391E-3</v>
      </c>
      <c r="EO53" s="26">
        <f t="shared" si="156"/>
        <v>2.5023314561545473E-3</v>
      </c>
      <c r="EP53" s="26">
        <f t="shared" si="156"/>
        <v>0</v>
      </c>
      <c r="EQ53" s="26">
        <f t="shared" si="156"/>
        <v>-2.6868443422010716E-3</v>
      </c>
      <c r="ER53" s="26">
        <f t="shared" si="156"/>
        <v>-5.6009259679469054E-3</v>
      </c>
      <c r="ES53" s="26">
        <f t="shared" si="156"/>
        <v>-8.8007354977579586E-3</v>
      </c>
      <c r="ET53" s="26">
        <f t="shared" si="156"/>
        <v>-1.2296787394148505E-2</v>
      </c>
      <c r="EU53" s="26">
        <f t="shared" si="156"/>
        <v>-1.6135523657098857E-2</v>
      </c>
      <c r="EV53" s="26">
        <f t="shared" si="156"/>
        <v>-2.0342930544568125E-2</v>
      </c>
      <c r="EW53" s="26">
        <f t="shared" si="156"/>
        <v>-2.49686608906288E-2</v>
      </c>
      <c r="EX53" s="26">
        <f t="shared" si="156"/>
        <v>-3.0075314650304066E-2</v>
      </c>
      <c r="EY53" s="26">
        <f t="shared" si="156"/>
        <v>-3.5731147195001173E-2</v>
      </c>
      <c r="EZ53" s="26">
        <f t="shared" si="146"/>
        <v>-4.2034787084539449E-2</v>
      </c>
      <c r="FA53" s="26">
        <f t="shared" si="37"/>
        <v>-4.9029318507451632E-2</v>
      </c>
      <c r="FB53" s="26">
        <f t="shared" si="37"/>
        <v>-5.6788786094929739E-2</v>
      </c>
      <c r="FC53" s="26">
        <f t="shared" si="37"/>
        <v>-6.537572187561716E-2</v>
      </c>
      <c r="FD53" s="26">
        <f t="shared" si="37"/>
        <v>-7.4860949316295139E-2</v>
      </c>
      <c r="FE53" s="26">
        <f t="shared" si="130"/>
        <v>5.286184887238103</v>
      </c>
      <c r="FF53" s="26">
        <f t="shared" si="130"/>
        <v>4.4835365443236883</v>
      </c>
      <c r="FG53" s="26">
        <f t="shared" si="130"/>
        <v>3.6512052872254213</v>
      </c>
      <c r="FH53" s="26">
        <f t="shared" si="130"/>
        <v>2.7879694557180863</v>
      </c>
      <c r="FI53" s="26">
        <f t="shared" si="130"/>
        <v>1.8925881513693781</v>
      </c>
      <c r="FJ53" s="26">
        <f t="shared" si="157"/>
        <v>0.96372391724693951</v>
      </c>
      <c r="FK53" s="26">
        <f t="shared" si="157"/>
        <v>0</v>
      </c>
      <c r="FL53" s="26">
        <f t="shared" si="157"/>
        <v>-1.0000000000000007</v>
      </c>
      <c r="FM53" s="26">
        <f t="shared" si="157"/>
        <v>-2.0378611475549322</v>
      </c>
      <c r="FN53" s="26">
        <f t="shared" si="157"/>
        <v>-3.1153784857948446</v>
      </c>
      <c r="FO53" s="26">
        <f t="shared" si="157"/>
        <v>-4.2344312899296668</v>
      </c>
      <c r="FP53" s="26">
        <f t="shared" si="158"/>
        <v>-5.3971377842873656</v>
      </c>
      <c r="FQ53" s="26">
        <f t="shared" si="158"/>
        <v>-6.605715630302023</v>
      </c>
      <c r="FR53" s="26">
        <f t="shared" si="158"/>
        <v>-7.8626838906015344</v>
      </c>
      <c r="FS53" s="26">
        <f t="shared" si="158"/>
        <v>-9.1708972569978684</v>
      </c>
      <c r="FT53" s="26">
        <f t="shared" si="159"/>
        <v>-10.533551453299102</v>
      </c>
      <c r="FU53" s="26">
        <f t="shared" si="143"/>
        <v>-11.954476400990188</v>
      </c>
      <c r="FV53" s="26">
        <f t="shared" si="131"/>
        <v>-13.437302137400536</v>
      </c>
      <c r="FW53" s="26">
        <f t="shared" si="131"/>
        <v>-14.986299050712942</v>
      </c>
      <c r="FX53" s="26">
        <f t="shared" si="39"/>
        <v>6175211.3180029579</v>
      </c>
      <c r="FY53" s="26">
        <f t="shared" si="40"/>
        <v>294352.25019440131</v>
      </c>
      <c r="FZ53" s="26">
        <f t="shared" si="132"/>
        <v>0.80185589920965705</v>
      </c>
      <c r="GA53" s="26">
        <f t="shared" si="160"/>
        <v>0.83179196724899429</v>
      </c>
      <c r="GB53" s="26">
        <f t="shared" si="132"/>
        <v>0.86289810681664536</v>
      </c>
      <c r="GC53" s="26">
        <f t="shared" si="132"/>
        <v>0.89521991093036313</v>
      </c>
      <c r="GD53" s="26">
        <f t="shared" si="132"/>
        <v>0.92881308362833248</v>
      </c>
      <c r="GE53" s="26">
        <f t="shared" si="161"/>
        <v>0.96372391724693829</v>
      </c>
      <c r="GF53" s="26">
        <f t="shared" si="161"/>
        <v>1</v>
      </c>
      <c r="GG53" s="26">
        <f t="shared" si="161"/>
        <v>1.037733459741315</v>
      </c>
      <c r="GH53" s="26">
        <f t="shared" si="161"/>
        <v>1.0770232393832733</v>
      </c>
      <c r="GI53" s="26">
        <f t="shared" si="161"/>
        <v>1.1179916708388193</v>
      </c>
      <c r="GJ53" s="26">
        <f t="shared" si="161"/>
        <v>1.1607152256234556</v>
      </c>
      <c r="GK53" s="26">
        <f t="shared" si="162"/>
        <v>1.2053152893340031</v>
      </c>
      <c r="GL53" s="26">
        <f t="shared" si="162"/>
        <v>1.2518959172271296</v>
      </c>
      <c r="GM53" s="26">
        <f t="shared" si="162"/>
        <v>1.3005957907806032</v>
      </c>
      <c r="GN53" s="26">
        <f t="shared" si="162"/>
        <v>1.3515785102406275</v>
      </c>
      <c r="GO53" s="26">
        <f t="shared" si="163"/>
        <v>1.4050253655082856</v>
      </c>
      <c r="GP53" s="26">
        <f t="shared" si="140"/>
        <v>1.4611707435513195</v>
      </c>
      <c r="GQ53" s="26">
        <f t="shared" si="134"/>
        <v>1.520185527353811</v>
      </c>
      <c r="GR53" s="26">
        <f t="shared" si="134"/>
        <v>1.5822945097704912</v>
      </c>
      <c r="GS53" s="26">
        <f t="shared" si="134"/>
        <v>1.6477178374916708</v>
      </c>
      <c r="GT53" s="26">
        <f t="shared" si="134"/>
        <v>1.7167000885649375</v>
      </c>
      <c r="GU53" s="26">
        <f t="shared" si="135"/>
        <v>5.484328988028448</v>
      </c>
      <c r="GV53" s="26">
        <f t="shared" si="164"/>
        <v>4.651744577074691</v>
      </c>
      <c r="GW53" s="26">
        <f t="shared" si="135"/>
        <v>3.7883071804087725</v>
      </c>
      <c r="GX53" s="26">
        <f t="shared" si="135"/>
        <v>2.8927495447877187</v>
      </c>
      <c r="GY53" s="26">
        <f t="shared" si="135"/>
        <v>1.9637750677410459</v>
      </c>
      <c r="GZ53" s="26">
        <f t="shared" si="165"/>
        <v>1</v>
      </c>
      <c r="HA53" s="26">
        <f t="shared" si="165"/>
        <v>0</v>
      </c>
      <c r="HB53" s="26">
        <f t="shared" si="165"/>
        <v>-1.0377334597413164</v>
      </c>
      <c r="HC53" s="26">
        <f t="shared" si="165"/>
        <v>-2.1148843869382095</v>
      </c>
      <c r="HD53" s="26">
        <f t="shared" si="165"/>
        <v>-3.2333701566336703</v>
      </c>
      <c r="HE53" s="26">
        <f t="shared" si="165"/>
        <v>-4.3951465155531215</v>
      </c>
      <c r="HF53" s="26">
        <f t="shared" si="166"/>
        <v>-5.6024530736213709</v>
      </c>
      <c r="HG53" s="26">
        <f t="shared" si="166"/>
        <v>-6.8576115475291566</v>
      </c>
      <c r="HH53" s="26">
        <f t="shared" si="166"/>
        <v>-8.1632796813821358</v>
      </c>
      <c r="HI53" s="26">
        <f t="shared" si="166"/>
        <v>-9.5224757672384985</v>
      </c>
      <c r="HJ53" s="26">
        <f t="shared" si="167"/>
        <v>-10.938576818807386</v>
      </c>
      <c r="HK53" s="26">
        <f t="shared" si="141"/>
        <v>-12.415647144541511</v>
      </c>
      <c r="HL53" s="26">
        <f t="shared" si="137"/>
        <v>-13.957487664754352</v>
      </c>
      <c r="HM53" s="26">
        <f t="shared" si="137"/>
        <v>-15.568593560483434</v>
      </c>
      <c r="HN53" s="26">
        <f t="shared" si="137"/>
        <v>-17.253657257344621</v>
      </c>
      <c r="HO53" s="26">
        <f t="shared" si="137"/>
        <v>-19.017852642792629</v>
      </c>
      <c r="HP53" s="26">
        <f t="shared" si="44"/>
        <v>518569.62066747429</v>
      </c>
      <c r="HQ53" s="26">
        <f t="shared" si="45"/>
        <v>535390.27042908489</v>
      </c>
      <c r="HR53" s="26">
        <f t="shared" si="46"/>
        <v>552992.20317502168</v>
      </c>
      <c r="HS53" s="26">
        <f t="shared" si="47"/>
        <v>571424.34512666508</v>
      </c>
      <c r="HT53" s="26">
        <f t="shared" si="48"/>
        <v>590735.08874505316</v>
      </c>
      <c r="HU53" s="26">
        <f t="shared" si="49"/>
        <v>610980.05288085982</v>
      </c>
      <c r="HV53" s="26">
        <f t="shared" si="50"/>
        <v>632215.9078880985</v>
      </c>
      <c r="HW53" s="26">
        <f t="shared" si="51"/>
        <v>654502.81108641392</v>
      </c>
      <c r="HX53" s="26">
        <f t="shared" si="52"/>
        <v>677917.12142148952</v>
      </c>
      <c r="HY53" s="26">
        <f t="shared" si="53"/>
        <v>702557.047813104</v>
      </c>
      <c r="HZ53" s="26">
        <f t="shared" si="54"/>
        <v>728523.8095045957</v>
      </c>
      <c r="IA53" s="26">
        <f t="shared" si="55"/>
        <v>755944.82391532674</v>
      </c>
      <c r="IB53" s="26">
        <f t="shared" si="56"/>
        <v>784953.66019871528</v>
      </c>
      <c r="IC53" s="26">
        <f t="shared" si="57"/>
        <v>815716.46321027691</v>
      </c>
      <c r="ID53" s="26">
        <f t="shared" si="58"/>
        <v>848435.21823448932</v>
      </c>
      <c r="IE53" s="26">
        <f t="shared" si="59"/>
        <v>883347.79336194484</v>
      </c>
      <c r="IF53" s="26">
        <f t="shared" si="60"/>
        <v>920764.01655972772</v>
      </c>
      <c r="IG53" s="26">
        <f t="shared" si="61"/>
        <v>960961.44102360646</v>
      </c>
      <c r="IH53" s="26">
        <f t="shared" si="62"/>
        <v>1004289.9823881632</v>
      </c>
      <c r="II53" s="26">
        <f t="shared" si="63"/>
        <v>-707893826856.28418</v>
      </c>
      <c r="IJ53" s="26">
        <f t="shared" si="64"/>
        <v>538448.32350600755</v>
      </c>
      <c r="IK53" s="26">
        <f t="shared" si="65"/>
        <v>554916.78474234592</v>
      </c>
      <c r="IL53" s="26">
        <f t="shared" si="66"/>
        <v>572237.3392343662</v>
      </c>
      <c r="IM53" s="26">
        <f t="shared" si="67"/>
        <v>590465.51456025359</v>
      </c>
      <c r="IN53" s="26">
        <f t="shared" si="68"/>
        <v>609656.68714396516</v>
      </c>
      <c r="IO53" s="26">
        <f t="shared" si="69"/>
        <v>629874.06443120504</v>
      </c>
      <c r="IP53" s="26">
        <f t="shared" si="70"/>
        <v>651182.38512474147</v>
      </c>
      <c r="IQ53" s="26">
        <f t="shared" si="71"/>
        <v>673650.43393097888</v>
      </c>
      <c r="IR53" s="26">
        <f t="shared" si="72"/>
        <v>697364.13756711991</v>
      </c>
      <c r="IS53" s="26">
        <f t="shared" si="73"/>
        <v>722432.42363171908</v>
      </c>
      <c r="IT53" s="26">
        <f t="shared" si="74"/>
        <v>748967.95841489756</v>
      </c>
      <c r="IU53" s="26">
        <f t="shared" si="75"/>
        <v>777110.99791128945</v>
      </c>
      <c r="IV53" s="26">
        <f t="shared" si="76"/>
        <v>807008.88298272202</v>
      </c>
      <c r="IW53" s="26">
        <f t="shared" si="77"/>
        <v>838843.2644150696</v>
      </c>
      <c r="IX53" s="26">
        <f t="shared" si="78"/>
        <v>872833.58362491848</v>
      </c>
      <c r="IY53" s="26">
        <f t="shared" si="79"/>
        <v>909237.2495744219</v>
      </c>
      <c r="IZ53" s="26">
        <f t="shared" si="80"/>
        <v>948386.93705651956</v>
      </c>
      <c r="JA53" s="26">
        <f t="shared" si="81"/>
        <v>990583.40970540396</v>
      </c>
      <c r="JB53" s="26">
        <f t="shared" si="82"/>
        <v>1036203.3815946935</v>
      </c>
      <c r="JC53" s="26">
        <f t="shared" si="83"/>
        <v>-729130638669.36316</v>
      </c>
      <c r="JD53" s="26">
        <f t="shared" si="84"/>
        <v>154606.89712809754</v>
      </c>
      <c r="JE53" s="26">
        <f t="shared" si="85"/>
        <v>246231.30074474774</v>
      </c>
      <c r="JF53" s="26">
        <f t="shared" si="86"/>
        <v>341527.46003397519</v>
      </c>
      <c r="JG53" s="26">
        <f t="shared" si="87"/>
        <v>440662.33166251227</v>
      </c>
      <c r="JH53" s="26">
        <f t="shared" si="88"/>
        <v>543818.2028116514</v>
      </c>
      <c r="JI53" s="26">
        <f t="shared" si="89"/>
        <v>651182.38512474147</v>
      </c>
      <c r="JJ53" s="26">
        <f t="shared" si="90"/>
        <v>762953.48094045813</v>
      </c>
      <c r="JK53" s="26">
        <f t="shared" si="91"/>
        <v>879362.33571082877</v>
      </c>
      <c r="JL53" s="26">
        <f t="shared" si="92"/>
        <v>1000682.8783957805</v>
      </c>
      <c r="JM53" s="26">
        <f t="shared" si="93"/>
        <v>1127196.0787550001</v>
      </c>
      <c r="JN53" s="26">
        <f t="shared" si="94"/>
        <v>1259234.9243448926</v>
      </c>
      <c r="JO53" s="26">
        <f t="shared" si="95"/>
        <v>1397146.5533575437</v>
      </c>
      <c r="JP53" s="26">
        <f t="shared" si="96"/>
        <v>1541341.331037804</v>
      </c>
      <c r="JQ53" s="26">
        <f t="shared" si="97"/>
        <v>1692298.4405259469</v>
      </c>
      <c r="JR53" s="26">
        <f t="shared" si="98"/>
        <v>1850565.9026085667</v>
      </c>
      <c r="JS53" s="26">
        <f t="shared" si="99"/>
        <v>2016826.1496443893</v>
      </c>
      <c r="JT53" s="26">
        <f t="shared" si="100"/>
        <v>2191707.0367401303</v>
      </c>
      <c r="JU53" s="26">
        <f t="shared" si="101"/>
        <v>2375972.1146467286</v>
      </c>
      <c r="JV53" s="26">
        <f t="shared" si="102"/>
        <v>-729129153891.02185</v>
      </c>
      <c r="JW53" s="26">
        <f t="shared" si="103"/>
        <v>1791204.592457321</v>
      </c>
      <c r="JX53" s="26" t="e">
        <f>AH53+$AG$38*0.004*(1+$R$28)*#REF!-S53*#REF!</f>
        <v>#REF!</v>
      </c>
      <c r="JY53" s="34">
        <f t="shared" si="104"/>
        <v>5.1753374990515424E-2</v>
      </c>
      <c r="JZ53" s="4">
        <f t="shared" si="105"/>
        <v>47240.987023515627</v>
      </c>
      <c r="KA53" s="165"/>
    </row>
    <row r="54" spans="1:287" ht="15.75" x14ac:dyDescent="0.3">
      <c r="A54" s="34">
        <v>53</v>
      </c>
      <c r="B54" s="34">
        <v>26</v>
      </c>
      <c r="C54" s="2">
        <v>973552</v>
      </c>
      <c r="D54" s="1">
        <f t="shared" si="106"/>
        <v>1752</v>
      </c>
      <c r="E54" s="145">
        <f t="shared" si="107"/>
        <v>0.99820040429273427</v>
      </c>
      <c r="F54" s="146">
        <f t="shared" si="108"/>
        <v>1.7995957072657331E-3</v>
      </c>
      <c r="G54" s="158">
        <f t="shared" si="3"/>
        <v>2.2494946340821664E-3</v>
      </c>
      <c r="H54" s="43">
        <f t="shared" si="109"/>
        <v>2175.3551085918698</v>
      </c>
      <c r="I54" s="43">
        <f t="shared" si="139"/>
        <v>967041.69711409567</v>
      </c>
      <c r="J54" s="43">
        <f t="shared" si="110"/>
        <v>972676</v>
      </c>
      <c r="K54" s="147">
        <f>SUM(J54:$J$138)</f>
        <v>47819117</v>
      </c>
      <c r="L54" s="147">
        <f t="shared" si="111"/>
        <v>49.118195021940274</v>
      </c>
      <c r="M54" s="43">
        <f t="shared" si="4"/>
        <v>1215845</v>
      </c>
      <c r="N54" s="148">
        <f t="shared" si="5"/>
        <v>59773896.25</v>
      </c>
      <c r="O54" s="147">
        <f t="shared" si="6"/>
        <v>61.39774377742534</v>
      </c>
      <c r="P54" s="157">
        <f t="shared" si="7"/>
        <v>395363.07500712067</v>
      </c>
      <c r="Q54" s="43">
        <f t="shared" si="8"/>
        <v>1216940</v>
      </c>
      <c r="R54" s="43">
        <f t="shared" si="9"/>
        <v>874.20018189965901</v>
      </c>
      <c r="S54" s="43">
        <f>SUM(R54:$R$138)</f>
        <v>93762.872497552977</v>
      </c>
      <c r="T54" s="43">
        <f t="shared" si="112"/>
        <v>3503453.3241924755</v>
      </c>
      <c r="U54" s="153">
        <f>SUM(P54:$P$138)</f>
        <v>8966033.4692568444</v>
      </c>
      <c r="V54" s="129">
        <f t="shared" si="10"/>
        <v>6480708.0821750965</v>
      </c>
      <c r="W54" s="43">
        <f t="shared" si="113"/>
        <v>305496.76417213847</v>
      </c>
      <c r="X54" s="26">
        <f t="shared" si="114"/>
        <v>6.2861848872381065</v>
      </c>
      <c r="Y54" s="26">
        <f t="shared" si="115"/>
        <v>0.77269928196161553</v>
      </c>
      <c r="Z54" s="43">
        <f t="shared" si="11"/>
        <v>87840.381572520157</v>
      </c>
      <c r="AA54" s="149">
        <f t="shared" si="116"/>
        <v>1.4979878747974006E-2</v>
      </c>
      <c r="AB54" s="150">
        <f t="shared" si="138"/>
        <v>8570670.3942497224</v>
      </c>
      <c r="AC54" s="150">
        <f t="shared" si="117"/>
        <v>6175211.3180029579</v>
      </c>
      <c r="AD54" s="26">
        <f t="shared" si="118"/>
        <v>6.0588841691997191</v>
      </c>
      <c r="AE54" s="26">
        <f t="shared" si="12"/>
        <v>520291.27283277415</v>
      </c>
      <c r="AF54" s="43">
        <f t="shared" si="119"/>
        <v>82767.414921098345</v>
      </c>
      <c r="AG54" s="43">
        <f t="shared" si="13"/>
        <v>541203.34362045932</v>
      </c>
      <c r="AH54" s="27">
        <f t="shared" si="14"/>
        <v>89936.889430931013</v>
      </c>
      <c r="AI54" s="28">
        <f t="shared" si="120"/>
        <v>581939.07916178426</v>
      </c>
      <c r="AJ54" s="20">
        <f t="shared" si="15"/>
        <v>96706.332721431201</v>
      </c>
      <c r="AK54" s="3">
        <f t="shared" si="16"/>
        <v>8381.2155025240372</v>
      </c>
      <c r="AL54" s="3"/>
      <c r="AM54" s="46">
        <f t="shared" si="121"/>
        <v>8570670.3942497224</v>
      </c>
      <c r="AN54" s="46">
        <f t="shared" si="122"/>
        <v>8189536.3769633677</v>
      </c>
      <c r="AO54" s="46">
        <f t="shared" si="122"/>
        <v>7822141.6503789313</v>
      </c>
      <c r="AP54" s="3">
        <f t="shared" si="147"/>
        <v>7468011.6649380811</v>
      </c>
      <c r="AQ54" s="3">
        <f t="shared" si="147"/>
        <v>7126689.7998479586</v>
      </c>
      <c r="AR54" s="16">
        <f t="shared" si="147"/>
        <v>6797732.2961992268</v>
      </c>
      <c r="AS54" s="16">
        <f t="shared" si="147"/>
        <v>6480708.0821750965</v>
      </c>
      <c r="AT54" s="16">
        <f t="shared" si="147"/>
        <v>6175211.3180029579</v>
      </c>
      <c r="AU54" s="16">
        <f t="shared" si="147"/>
        <v>5880859.0678085573</v>
      </c>
      <c r="AV54" s="16">
        <f t="shared" si="147"/>
        <v>5597293.2575317528</v>
      </c>
      <c r="AW54" s="16">
        <f t="shared" si="147"/>
        <v>5324164.9250815194</v>
      </c>
      <c r="AX54" s="16">
        <f t="shared" si="147"/>
        <v>5061143.1109308824</v>
      </c>
      <c r="AY54" s="16">
        <f t="shared" si="147"/>
        <v>4807907.8302165577</v>
      </c>
      <c r="AZ54" s="16">
        <f t="shared" si="147"/>
        <v>4564154.762375352</v>
      </c>
      <c r="BA54" s="16">
        <f t="shared" si="147"/>
        <v>4329596.2727115229</v>
      </c>
      <c r="BB54" s="16">
        <f t="shared" si="147"/>
        <v>4103960.3363030413</v>
      </c>
      <c r="BC54" s="16">
        <f t="shared" si="144"/>
        <v>3886994.4441078454</v>
      </c>
      <c r="BD54" s="16">
        <f t="shared" si="18"/>
        <v>3678451.3364938861</v>
      </c>
      <c r="BE54" s="16">
        <f t="shared" si="18"/>
        <v>3478094.06288487</v>
      </c>
      <c r="BF54" s="16">
        <f t="shared" si="18"/>
        <v>3285692.0588459154</v>
      </c>
      <c r="BG54" s="16">
        <f t="shared" si="18"/>
        <v>3101021.3547806852</v>
      </c>
      <c r="BH54" s="172">
        <f t="shared" si="123"/>
        <v>381134.01728635549</v>
      </c>
      <c r="BI54" s="16">
        <f t="shared" si="148"/>
        <v>367394.72658443713</v>
      </c>
      <c r="BJ54" s="16">
        <f t="shared" si="148"/>
        <v>354129.98544085148</v>
      </c>
      <c r="BK54" s="16">
        <f t="shared" si="148"/>
        <v>341321.86509012192</v>
      </c>
      <c r="BL54" s="16">
        <f t="shared" si="148"/>
        <v>328957.50364873186</v>
      </c>
      <c r="BM54" s="16">
        <f t="shared" si="148"/>
        <v>317024.21402412985</v>
      </c>
      <c r="BN54" s="16">
        <f t="shared" si="148"/>
        <v>305496.76417213847</v>
      </c>
      <c r="BO54" s="16">
        <f t="shared" si="148"/>
        <v>294352.25019440131</v>
      </c>
      <c r="BP54" s="16">
        <f t="shared" si="148"/>
        <v>283565.81027680589</v>
      </c>
      <c r="BQ54" s="16">
        <f t="shared" si="148"/>
        <v>273128.33245023253</v>
      </c>
      <c r="BR54" s="16">
        <f t="shared" si="148"/>
        <v>263021.81415063736</v>
      </c>
      <c r="BS54" s="16">
        <f t="shared" si="148"/>
        <v>253235.28071432526</v>
      </c>
      <c r="BT54" s="16">
        <f t="shared" si="148"/>
        <v>243753.06784120487</v>
      </c>
      <c r="BU54" s="16">
        <f t="shared" si="148"/>
        <v>234558.48966382915</v>
      </c>
      <c r="BV54" s="16">
        <f t="shared" si="148"/>
        <v>225635.93640848066</v>
      </c>
      <c r="BW54" s="16">
        <f t="shared" si="148"/>
        <v>216965.89219519592</v>
      </c>
      <c r="BX54" s="16">
        <f t="shared" si="148"/>
        <v>208543.10761395967</v>
      </c>
      <c r="BY54" s="16">
        <f t="shared" si="149"/>
        <v>200357.2736090158</v>
      </c>
      <c r="BZ54" s="16">
        <f t="shared" si="149"/>
        <v>192402.00403895453</v>
      </c>
      <c r="CA54" s="16">
        <f t="shared" si="149"/>
        <v>184670.70406523009</v>
      </c>
      <c r="CB54" s="16">
        <f t="shared" si="149"/>
        <v>177162.71132132332</v>
      </c>
      <c r="CC54" s="18">
        <f t="shared" si="124"/>
        <v>5.4835365443236865</v>
      </c>
      <c r="CD54" s="18">
        <f t="shared" si="124"/>
        <v>4.6512052872254186</v>
      </c>
      <c r="CE54" s="18">
        <f t="shared" si="124"/>
        <v>3.7879694557180827</v>
      </c>
      <c r="CF54" s="18">
        <f t="shared" si="124"/>
        <v>2.8925881513693796</v>
      </c>
      <c r="CG54" s="18">
        <f t="shared" si="124"/>
        <v>1.9637239172469394</v>
      </c>
      <c r="CH54" s="18">
        <f t="shared" si="150"/>
        <v>1.0000000000000013</v>
      </c>
      <c r="CI54" s="18">
        <f t="shared" si="150"/>
        <v>0</v>
      </c>
      <c r="CJ54" s="18">
        <f t="shared" si="150"/>
        <v>-1.0378611475549349</v>
      </c>
      <c r="CK54" s="18">
        <f t="shared" si="150"/>
        <v>-2.1153784857948494</v>
      </c>
      <c r="CL54" s="18">
        <f t="shared" si="151"/>
        <v>-3.2344312899296641</v>
      </c>
      <c r="CM54" s="18">
        <f t="shared" si="151"/>
        <v>-4.3971377842873665</v>
      </c>
      <c r="CN54" s="18">
        <f t="shared" si="151"/>
        <v>-5.6057156303020248</v>
      </c>
      <c r="CO54" s="18">
        <f t="shared" si="151"/>
        <v>-6.8626838906015308</v>
      </c>
      <c r="CP54" s="18">
        <f t="shared" si="152"/>
        <v>-8.1708972569978684</v>
      </c>
      <c r="CQ54" s="18">
        <f t="shared" si="153"/>
        <v>-9.533551453299097</v>
      </c>
      <c r="CR54" s="18">
        <f t="shared" si="154"/>
        <v>-10.95447640099019</v>
      </c>
      <c r="CS54" s="18">
        <f t="shared" si="142"/>
        <v>-12.437302137400538</v>
      </c>
      <c r="CT54" s="18">
        <f t="shared" si="125"/>
        <v>-13.98629905071294</v>
      </c>
      <c r="CU54" s="18">
        <f t="shared" si="125"/>
        <v>-15.605939419852946</v>
      </c>
      <c r="CV54" s="18">
        <f t="shared" si="125"/>
        <v>-17.301152554227688</v>
      </c>
      <c r="CW54" s="18">
        <f t="shared" si="22"/>
        <v>-19.076738565287648</v>
      </c>
      <c r="CX54" s="17">
        <f t="shared" si="23"/>
        <v>865.45997580359983</v>
      </c>
      <c r="CY54" s="17">
        <f t="shared" si="126"/>
        <v>855.35173047303624</v>
      </c>
      <c r="CZ54" s="17">
        <f t="shared" si="126"/>
        <v>847.15731881688737</v>
      </c>
      <c r="DA54" s="17">
        <f t="shared" si="126"/>
        <v>836.33875654471524</v>
      </c>
      <c r="DB54" s="17">
        <f t="shared" si="126"/>
        <v>823.16070911830457</v>
      </c>
      <c r="DC54" s="17">
        <f t="shared" si="126"/>
        <v>820.82225237662601</v>
      </c>
      <c r="DD54" s="17">
        <f t="shared" si="126"/>
        <v>827.82290946077819</v>
      </c>
      <c r="DE54" s="17">
        <f t="shared" si="126"/>
        <v>846.94253061615575</v>
      </c>
      <c r="DF54" s="3" t="e">
        <f>#REF!+$AG$35*0.004*(1+$R$28)*#REF!-S54*#REF!</f>
        <v>#REF!</v>
      </c>
      <c r="DG54" s="19">
        <f t="shared" si="25"/>
        <v>1746.2853131962306</v>
      </c>
      <c r="DH54" s="19">
        <f t="shared" si="26"/>
        <v>1602.4789600058905</v>
      </c>
      <c r="DI54" s="19">
        <f t="shared" si="27"/>
        <v>1455.6222112994037</v>
      </c>
      <c r="DJ54" s="19">
        <f t="shared" si="28"/>
        <v>1300.9777561708411</v>
      </c>
      <c r="DK54" s="19">
        <f t="shared" si="29"/>
        <v>1138.5954231890114</v>
      </c>
      <c r="DL54" s="19">
        <f t="shared" si="30"/>
        <v>981.45313908137928</v>
      </c>
      <c r="DM54" s="19">
        <f t="shared" si="31"/>
        <v>827.82290946077819</v>
      </c>
      <c r="DN54" s="19">
        <f t="shared" si="32"/>
        <v>680.22997420799413</v>
      </c>
      <c r="DO54" s="173">
        <f t="shared" si="127"/>
        <v>92888.672315653326</v>
      </c>
      <c r="DP54" s="25">
        <f t="shared" si="155"/>
        <v>92023.212339849706</v>
      </c>
      <c r="DQ54" s="26">
        <f t="shared" si="155"/>
        <v>91167.860609376687</v>
      </c>
      <c r="DR54" s="26">
        <f t="shared" si="155"/>
        <v>90320.703290559817</v>
      </c>
      <c r="DS54" s="26">
        <f t="shared" si="155"/>
        <v>89484.364534015098</v>
      </c>
      <c r="DT54" s="26">
        <f t="shared" si="155"/>
        <v>88661.203824896802</v>
      </c>
      <c r="DU54" s="26">
        <f t="shared" si="155"/>
        <v>87840.381572520157</v>
      </c>
      <c r="DV54" s="26">
        <f t="shared" si="155"/>
        <v>87012.558663059375</v>
      </c>
      <c r="DW54" s="26">
        <f t="shared" si="155"/>
        <v>86165.616132443218</v>
      </c>
      <c r="DX54" s="26">
        <f t="shared" si="155"/>
        <v>85302.60278943798</v>
      </c>
      <c r="DY54" s="26">
        <f t="shared" si="155"/>
        <v>84417.209120336134</v>
      </c>
      <c r="DZ54" s="26">
        <f t="shared" si="155"/>
        <v>83509.656097891071</v>
      </c>
      <c r="EA54" s="26">
        <f t="shared" si="155"/>
        <v>82575.016132919322</v>
      </c>
      <c r="EB54" s="26">
        <f t="shared" si="155"/>
        <v>81606.783444357046</v>
      </c>
      <c r="EC54" s="26">
        <f t="shared" si="155"/>
        <v>80598.972968603455</v>
      </c>
      <c r="ED54" s="26">
        <f t="shared" si="155"/>
        <v>79541.088741864602</v>
      </c>
      <c r="EE54" s="26">
        <f t="shared" si="145"/>
        <v>78436.477379158212</v>
      </c>
      <c r="EF54" s="26">
        <f t="shared" si="34"/>
        <v>77283.157471351093</v>
      </c>
      <c r="EG54" s="26">
        <f t="shared" si="34"/>
        <v>76082.783920534741</v>
      </c>
      <c r="EH54" s="26">
        <f t="shared" si="34"/>
        <v>74836.579607665073</v>
      </c>
      <c r="EI54" s="26">
        <f t="shared" si="34"/>
        <v>73551.575928090766</v>
      </c>
      <c r="EJ54" s="26">
        <f t="shared" si="128"/>
        <v>1.3245447832435966E-2</v>
      </c>
      <c r="EK54" s="26">
        <f t="shared" si="128"/>
        <v>1.1385113788148571E-2</v>
      </c>
      <c r="EL54" s="26">
        <f t="shared" si="156"/>
        <v>9.3962080977531386E-3</v>
      </c>
      <c r="EM54" s="26">
        <f t="shared" si="156"/>
        <v>7.2668116863382351E-3</v>
      </c>
      <c r="EN54" s="26">
        <f t="shared" si="156"/>
        <v>4.9975542228409622E-3</v>
      </c>
      <c r="EO54" s="26">
        <f t="shared" si="156"/>
        <v>2.589146872907852E-3</v>
      </c>
      <c r="EP54" s="26">
        <f t="shared" si="156"/>
        <v>0</v>
      </c>
      <c r="EQ54" s="26">
        <f t="shared" si="156"/>
        <v>-2.812354615648618E-3</v>
      </c>
      <c r="ER54" s="26">
        <f t="shared" si="156"/>
        <v>-5.9060908592686052E-3</v>
      </c>
      <c r="ES54" s="26">
        <f t="shared" si="156"/>
        <v>-9.2915251973890046E-3</v>
      </c>
      <c r="ET54" s="26">
        <f t="shared" si="156"/>
        <v>-1.3014785344851698E-2</v>
      </c>
      <c r="EU54" s="26">
        <f t="shared" si="156"/>
        <v>-1.7101588145273395E-2</v>
      </c>
      <c r="EV54" s="26">
        <f t="shared" si="156"/>
        <v>-2.1601227366012086E-2</v>
      </c>
      <c r="EW54" s="26">
        <f t="shared" si="156"/>
        <v>-2.6575879377025092E-2</v>
      </c>
      <c r="EX54" s="26">
        <f t="shared" si="156"/>
        <v>-3.2093330163539185E-2</v>
      </c>
      <c r="EY54" s="26">
        <f t="shared" si="156"/>
        <v>-3.8251601423089109E-2</v>
      </c>
      <c r="EZ54" s="26">
        <f t="shared" si="146"/>
        <v>-4.5093334903063741E-2</v>
      </c>
      <c r="FA54" s="26">
        <f t="shared" si="37"/>
        <v>-5.2691993212938208E-2</v>
      </c>
      <c r="FB54" s="26">
        <f t="shared" si="37"/>
        <v>-6.1109538389241116E-2</v>
      </c>
      <c r="FC54" s="26">
        <f t="shared" si="37"/>
        <v>-7.0416160650266596E-2</v>
      </c>
      <c r="FD54" s="26">
        <f t="shared" si="37"/>
        <v>-8.0653572853225969E-2</v>
      </c>
      <c r="FE54" s="26">
        <f t="shared" si="130"/>
        <v>5.2850833764517988</v>
      </c>
      <c r="FF54" s="26">
        <f t="shared" si="130"/>
        <v>4.4827271955888151</v>
      </c>
      <c r="FG54" s="26">
        <f t="shared" si="130"/>
        <v>3.6506379015765469</v>
      </c>
      <c r="FH54" s="26">
        <f t="shared" si="130"/>
        <v>2.7876282745430747</v>
      </c>
      <c r="FI54" s="26">
        <f t="shared" si="130"/>
        <v>1.8924054666374495</v>
      </c>
      <c r="FJ54" s="26">
        <f t="shared" si="157"/>
        <v>0.96363858234780198</v>
      </c>
      <c r="FK54" s="26">
        <f t="shared" si="157"/>
        <v>0</v>
      </c>
      <c r="FL54" s="26">
        <f t="shared" si="157"/>
        <v>-0.99999999999999745</v>
      </c>
      <c r="FM54" s="26">
        <f t="shared" si="157"/>
        <v>-2.0380385770310743</v>
      </c>
      <c r="FN54" s="26">
        <f t="shared" si="157"/>
        <v>-3.1159213154003713</v>
      </c>
      <c r="FO54" s="26">
        <f t="shared" si="157"/>
        <v>-4.2356494675914158</v>
      </c>
      <c r="FP54" s="26">
        <f t="shared" si="158"/>
        <v>-5.3993404233782707</v>
      </c>
      <c r="FQ54" s="26">
        <f t="shared" si="158"/>
        <v>-6.6093796065661961</v>
      </c>
      <c r="FR54" s="26">
        <f t="shared" si="158"/>
        <v>-7.8684640574578362</v>
      </c>
      <c r="FS54" s="26">
        <f t="shared" si="158"/>
        <v>-9.1796148019179959</v>
      </c>
      <c r="FT54" s="26">
        <f t="shared" si="159"/>
        <v>-10.546435897106312</v>
      </c>
      <c r="FU54" s="26">
        <f t="shared" si="143"/>
        <v>-11.972392710915665</v>
      </c>
      <c r="FV54" s="26">
        <f t="shared" si="131"/>
        <v>-13.461539012460994</v>
      </c>
      <c r="FW54" s="26">
        <f t="shared" si="131"/>
        <v>-15.018134938823287</v>
      </c>
      <c r="FX54" s="26">
        <f t="shared" si="39"/>
        <v>5880859.0678085573</v>
      </c>
      <c r="FY54" s="26">
        <f t="shared" si="40"/>
        <v>283565.81027680589</v>
      </c>
      <c r="FZ54" s="26">
        <f t="shared" si="132"/>
        <v>0.80154683212810973</v>
      </c>
      <c r="GA54" s="26">
        <f t="shared" si="160"/>
        <v>0.8315219083633939</v>
      </c>
      <c r="GB54" s="26">
        <f t="shared" si="132"/>
        <v>0.86266844585846014</v>
      </c>
      <c r="GC54" s="26">
        <f t="shared" si="132"/>
        <v>0.8950401231736963</v>
      </c>
      <c r="GD54" s="26">
        <f t="shared" si="132"/>
        <v>0.92868154939050951</v>
      </c>
      <c r="GE54" s="26">
        <f t="shared" si="161"/>
        <v>0.96363858234780142</v>
      </c>
      <c r="GF54" s="26">
        <f t="shared" si="161"/>
        <v>1</v>
      </c>
      <c r="GG54" s="26">
        <f t="shared" si="161"/>
        <v>1.0378611475549342</v>
      </c>
      <c r="GH54" s="26">
        <f t="shared" si="161"/>
        <v>1.0773399087637696</v>
      </c>
      <c r="GI54" s="26">
        <f t="shared" si="161"/>
        <v>1.1185099745292952</v>
      </c>
      <c r="GJ54" s="26">
        <f t="shared" si="161"/>
        <v>1.1614883166959489</v>
      </c>
      <c r="GK54" s="26">
        <f t="shared" si="162"/>
        <v>1.2063752069237517</v>
      </c>
      <c r="GL54" s="26">
        <f t="shared" si="162"/>
        <v>1.2533042840353381</v>
      </c>
      <c r="GM54" s="26">
        <f t="shared" si="162"/>
        <v>1.3024331995400318</v>
      </c>
      <c r="GN54" s="26">
        <f t="shared" si="162"/>
        <v>1.353936651381106</v>
      </c>
      <c r="GO54" s="26">
        <f t="shared" si="163"/>
        <v>1.4080405038838764</v>
      </c>
      <c r="GP54" s="26">
        <f t="shared" si="140"/>
        <v>1.4649094264848714</v>
      </c>
      <c r="GQ54" s="26">
        <f t="shared" si="134"/>
        <v>1.5247600382519457</v>
      </c>
      <c r="GR54" s="26">
        <f t="shared" si="134"/>
        <v>1.5878044810296585</v>
      </c>
      <c r="GS54" s="26">
        <f t="shared" si="134"/>
        <v>1.6542784396610615</v>
      </c>
      <c r="GT54" s="26">
        <f t="shared" si="134"/>
        <v>1.7243852382573512</v>
      </c>
      <c r="GU54" s="26">
        <f t="shared" si="135"/>
        <v>5.4835365443236865</v>
      </c>
      <c r="GV54" s="26">
        <f t="shared" si="164"/>
        <v>4.6512052872254186</v>
      </c>
      <c r="GW54" s="26">
        <f t="shared" si="135"/>
        <v>3.7879694557180827</v>
      </c>
      <c r="GX54" s="26">
        <f t="shared" si="135"/>
        <v>2.8925881513693796</v>
      </c>
      <c r="GY54" s="26">
        <f t="shared" si="135"/>
        <v>1.9637239172469394</v>
      </c>
      <c r="GZ54" s="26">
        <f t="shared" si="165"/>
        <v>1.0000000000000013</v>
      </c>
      <c r="HA54" s="26">
        <f t="shared" si="165"/>
        <v>0</v>
      </c>
      <c r="HB54" s="26">
        <f t="shared" si="165"/>
        <v>-1.0378611475549349</v>
      </c>
      <c r="HC54" s="26">
        <f t="shared" si="165"/>
        <v>-2.1153784857948494</v>
      </c>
      <c r="HD54" s="26">
        <f t="shared" si="165"/>
        <v>-3.2344312899296641</v>
      </c>
      <c r="HE54" s="26">
        <f t="shared" si="165"/>
        <v>-4.3971377842873665</v>
      </c>
      <c r="HF54" s="26">
        <f t="shared" si="166"/>
        <v>-5.6057156303020248</v>
      </c>
      <c r="HG54" s="26">
        <f t="shared" si="166"/>
        <v>-6.8626838906015308</v>
      </c>
      <c r="HH54" s="26">
        <f t="shared" si="166"/>
        <v>-8.1708972569978684</v>
      </c>
      <c r="HI54" s="26">
        <f t="shared" si="166"/>
        <v>-9.533551453299097</v>
      </c>
      <c r="HJ54" s="26">
        <f t="shared" si="167"/>
        <v>-10.95447640099019</v>
      </c>
      <c r="HK54" s="26">
        <f t="shared" si="141"/>
        <v>-12.437302137400538</v>
      </c>
      <c r="HL54" s="26">
        <f t="shared" si="137"/>
        <v>-13.98629905071294</v>
      </c>
      <c r="HM54" s="26">
        <f t="shared" si="137"/>
        <v>-15.605939419852946</v>
      </c>
      <c r="HN54" s="26">
        <f t="shared" si="137"/>
        <v>-17.301152554227688</v>
      </c>
      <c r="HO54" s="26">
        <f t="shared" si="137"/>
        <v>-19.076738565287648</v>
      </c>
      <c r="HP54" s="26">
        <f t="shared" si="44"/>
        <v>518680.0469995829</v>
      </c>
      <c r="HQ54" s="26">
        <f t="shared" si="45"/>
        <v>535468.9027381161</v>
      </c>
      <c r="HR54" s="26">
        <f t="shared" si="46"/>
        <v>553044.97600121307</v>
      </c>
      <c r="HS54" s="26">
        <f t="shared" si="47"/>
        <v>571453.64838575444</v>
      </c>
      <c r="HT54" s="26">
        <f t="shared" si="48"/>
        <v>590748.7232151553</v>
      </c>
      <c r="HU54" s="26">
        <f t="shared" si="49"/>
        <v>610985.02890681429</v>
      </c>
      <c r="HV54" s="26">
        <f t="shared" si="50"/>
        <v>632215.9078880985</v>
      </c>
      <c r="HW54" s="26">
        <f t="shared" si="51"/>
        <v>654510.25461885543</v>
      </c>
      <c r="HX54" s="26">
        <f t="shared" si="52"/>
        <v>677956.27102390944</v>
      </c>
      <c r="HY54" s="26">
        <f t="shared" si="53"/>
        <v>702650.55967613717</v>
      </c>
      <c r="HZ54" s="26">
        <f t="shared" si="54"/>
        <v>728710.92412061</v>
      </c>
      <c r="IA54" s="26">
        <f t="shared" si="55"/>
        <v>756263.45363006461</v>
      </c>
      <c r="IB54" s="26">
        <f t="shared" si="56"/>
        <v>785463.00410983351</v>
      </c>
      <c r="IC54" s="26">
        <f t="shared" si="57"/>
        <v>816497.57962463575</v>
      </c>
      <c r="ID54" s="26">
        <f t="shared" si="58"/>
        <v>849589.20803006762</v>
      </c>
      <c r="IE54" s="26">
        <f t="shared" si="59"/>
        <v>885025.97019973048</v>
      </c>
      <c r="IF54" s="26">
        <f t="shared" si="60"/>
        <v>923071.1206108731</v>
      </c>
      <c r="IG54" s="26">
        <f t="shared" si="61"/>
        <v>964054.28851859621</v>
      </c>
      <c r="IH54" s="26">
        <f t="shared" si="62"/>
        <v>1008323.45672448</v>
      </c>
      <c r="II54" s="26">
        <f t="shared" si="63"/>
        <v>-674150869404.48523</v>
      </c>
      <c r="IJ54" s="26">
        <f t="shared" si="64"/>
        <v>538561.43818778987</v>
      </c>
      <c r="IK54" s="26">
        <f t="shared" si="65"/>
        <v>554997.37433590752</v>
      </c>
      <c r="IL54" s="26">
        <f t="shared" si="66"/>
        <v>572291.45852113992</v>
      </c>
      <c r="IM54" s="26">
        <f t="shared" si="67"/>
        <v>590495.59099865705</v>
      </c>
      <c r="IN54" s="26">
        <f t="shared" si="68"/>
        <v>609670.69940357504</v>
      </c>
      <c r="IO54" s="26">
        <f t="shared" si="69"/>
        <v>629879.18973793811</v>
      </c>
      <c r="IP54" s="26">
        <f t="shared" si="70"/>
        <v>651182.38512474147</v>
      </c>
      <c r="IQ54" s="26">
        <f t="shared" si="71"/>
        <v>673658.04078974179</v>
      </c>
      <c r="IR54" s="26">
        <f t="shared" si="72"/>
        <v>697404.25361134857</v>
      </c>
      <c r="IS54" s="26">
        <f t="shared" si="73"/>
        <v>722528.34659413679</v>
      </c>
      <c r="IT54" s="26">
        <f t="shared" si="74"/>
        <v>749160.04694440996</v>
      </c>
      <c r="IU54" s="26">
        <f t="shared" si="75"/>
        <v>777438.30591345113</v>
      </c>
      <c r="IV54" s="26">
        <f t="shared" si="76"/>
        <v>807532.40260335768</v>
      </c>
      <c r="IW54" s="26">
        <f t="shared" si="77"/>
        <v>839646.55952003226</v>
      </c>
      <c r="IX54" s="26">
        <f t="shared" si="78"/>
        <v>874020.96639261371</v>
      </c>
      <c r="IY54" s="26">
        <f t="shared" si="79"/>
        <v>910964.8836412651</v>
      </c>
      <c r="IZ54" s="26">
        <f t="shared" si="80"/>
        <v>950763.25422919937</v>
      </c>
      <c r="JA54" s="26">
        <f t="shared" si="81"/>
        <v>993770.67981411528</v>
      </c>
      <c r="JB54" s="26">
        <f t="shared" si="82"/>
        <v>1040362.1412893248</v>
      </c>
      <c r="JC54" s="26">
        <f t="shared" si="83"/>
        <v>-694375392485.77222</v>
      </c>
      <c r="JD54" s="26">
        <f t="shared" si="84"/>
        <v>154556.10535224393</v>
      </c>
      <c r="JE54" s="26">
        <f t="shared" si="85"/>
        <v>246169.6896357339</v>
      </c>
      <c r="JF54" s="26">
        <f t="shared" si="86"/>
        <v>341460.85732160811</v>
      </c>
      <c r="JG54" s="26">
        <f t="shared" si="87"/>
        <v>440605.6831774218</v>
      </c>
      <c r="JH54" s="26">
        <f t="shared" si="88"/>
        <v>543785.10352689074</v>
      </c>
      <c r="JI54" s="26">
        <f t="shared" si="89"/>
        <v>651182.38512474147</v>
      </c>
      <c r="JJ54" s="26">
        <f t="shared" si="90"/>
        <v>763011.74790243269</v>
      </c>
      <c r="JK54" s="26">
        <f t="shared" si="91"/>
        <v>879525.83133636485</v>
      </c>
      <c r="JL54" s="26">
        <f t="shared" si="92"/>
        <v>1000993.7529130498</v>
      </c>
      <c r="JM54" s="26">
        <f t="shared" si="93"/>
        <v>1127727.6064266993</v>
      </c>
      <c r="JN54" s="26">
        <f t="shared" si="94"/>
        <v>1260057.2706632882</v>
      </c>
      <c r="JO54" s="26">
        <f t="shared" si="95"/>
        <v>1398368.9011199703</v>
      </c>
      <c r="JP54" s="26">
        <f t="shared" si="96"/>
        <v>1543112.4923856156</v>
      </c>
      <c r="JQ54" s="26">
        <f t="shared" si="97"/>
        <v>1694803.3671104</v>
      </c>
      <c r="JR54" s="26">
        <f t="shared" si="98"/>
        <v>1854080.5193049961</v>
      </c>
      <c r="JS54" s="26">
        <f t="shared" si="99"/>
        <v>2021541.4166794023</v>
      </c>
      <c r="JT54" s="26">
        <f t="shared" si="100"/>
        <v>2197908.3160596821</v>
      </c>
      <c r="JU54" s="26">
        <f t="shared" si="101"/>
        <v>2383941.2351065236</v>
      </c>
      <c r="JV54" s="26">
        <f t="shared" si="102"/>
        <v>-694373902958.85266</v>
      </c>
      <c r="JW54" s="26">
        <f t="shared" si="103"/>
        <v>1796950.4800177268</v>
      </c>
      <c r="JX54" s="26" t="e">
        <f>AH54+$AG$38*0.004*(1+$R$28)*#REF!-S54*#REF!</f>
        <v>#REF!</v>
      </c>
      <c r="JY54" s="34">
        <f t="shared" si="104"/>
        <v>5.1799595707265736E-2</v>
      </c>
      <c r="JZ54" s="4">
        <f t="shared" si="105"/>
        <v>47215.471474183723</v>
      </c>
      <c r="KA54" s="165"/>
    </row>
    <row r="55" spans="1:287" ht="15.75" x14ac:dyDescent="0.3">
      <c r="A55" s="34">
        <v>54</v>
      </c>
      <c r="B55" s="34">
        <v>27</v>
      </c>
      <c r="C55" s="2">
        <v>971800</v>
      </c>
      <c r="D55" s="1">
        <f t="shared" si="106"/>
        <v>1796</v>
      </c>
      <c r="E55" s="145">
        <f t="shared" si="107"/>
        <v>0.99815188310351921</v>
      </c>
      <c r="F55" s="146">
        <f t="shared" si="108"/>
        <v>1.8481168964807893E-3</v>
      </c>
      <c r="G55" s="158">
        <f t="shared" si="3"/>
        <v>2.3101461206009866E-3</v>
      </c>
      <c r="H55" s="43">
        <f t="shared" si="109"/>
        <v>2228.9822368824794</v>
      </c>
      <c r="I55" s="43">
        <f t="shared" si="139"/>
        <v>964866.34200550383</v>
      </c>
      <c r="J55" s="43">
        <f t="shared" si="110"/>
        <v>970902</v>
      </c>
      <c r="K55" s="147">
        <f>SUM(J55:$J$138)</f>
        <v>46846441</v>
      </c>
      <c r="L55" s="147">
        <f t="shared" si="111"/>
        <v>48.205845853056182</v>
      </c>
      <c r="M55" s="43">
        <f t="shared" si="4"/>
        <v>1213627.5</v>
      </c>
      <c r="N55" s="148">
        <f t="shared" si="5"/>
        <v>58558051.25</v>
      </c>
      <c r="O55" s="147">
        <f t="shared" si="6"/>
        <v>60.25730731632023</v>
      </c>
      <c r="P55" s="157">
        <f t="shared" si="7"/>
        <v>381134.01728635549</v>
      </c>
      <c r="Q55" s="43">
        <f t="shared" si="8"/>
        <v>1214750</v>
      </c>
      <c r="R55" s="43">
        <f t="shared" si="9"/>
        <v>865.45997580359983</v>
      </c>
      <c r="S55" s="43">
        <f>SUM(R55:$R$138)</f>
        <v>92888.672315653326</v>
      </c>
      <c r="T55" s="43">
        <f t="shared" si="112"/>
        <v>3409690.4516949225</v>
      </c>
      <c r="U55" s="153">
        <f>SUM(P55:$P$138)</f>
        <v>8570670.3942497224</v>
      </c>
      <c r="V55" s="129">
        <f t="shared" si="10"/>
        <v>6175211.3180029579</v>
      </c>
      <c r="W55" s="43">
        <f t="shared" si="113"/>
        <v>294352.25019440131</v>
      </c>
      <c r="X55" s="26">
        <f t="shared" si="114"/>
        <v>6.2850833764517962</v>
      </c>
      <c r="Y55" s="26">
        <f t="shared" si="115"/>
        <v>0.77230642462765831</v>
      </c>
      <c r="Z55" s="43">
        <f t="shared" si="11"/>
        <v>87012.558663059375</v>
      </c>
      <c r="AA55" s="149">
        <f t="shared" si="116"/>
        <v>1.5417447370432644E-2</v>
      </c>
      <c r="AB55" s="150">
        <f t="shared" si="138"/>
        <v>8189536.3769633677</v>
      </c>
      <c r="AC55" s="150">
        <f t="shared" si="117"/>
        <v>5880859.0678085573</v>
      </c>
      <c r="AD55" s="26">
        <f t="shared" si="118"/>
        <v>6.0573898010794549</v>
      </c>
      <c r="AE55" s="26">
        <f t="shared" si="12"/>
        <v>520442.62435347441</v>
      </c>
      <c r="AF55" s="43">
        <f t="shared" si="119"/>
        <v>82806.001636097149</v>
      </c>
      <c r="AG55" s="43">
        <f t="shared" si="13"/>
        <v>541358.30639848101</v>
      </c>
      <c r="AH55" s="27">
        <f t="shared" si="14"/>
        <v>89976.63374737979</v>
      </c>
      <c r="AI55" s="28">
        <f t="shared" si="120"/>
        <v>582105.70580481831</v>
      </c>
      <c r="AJ55" s="20">
        <f t="shared" si="15"/>
        <v>96749.06854556968</v>
      </c>
      <c r="AK55" s="3">
        <f t="shared" si="16"/>
        <v>8384.9192739493719</v>
      </c>
      <c r="AL55" s="3"/>
      <c r="AM55" s="46">
        <f t="shared" si="121"/>
        <v>8189536.3769633677</v>
      </c>
      <c r="AN55" s="46">
        <f t="shared" si="122"/>
        <v>7822141.6503789313</v>
      </c>
      <c r="AO55" s="46">
        <f t="shared" si="122"/>
        <v>7468011.6649380811</v>
      </c>
      <c r="AP55" s="3">
        <f t="shared" si="147"/>
        <v>7126689.7998479586</v>
      </c>
      <c r="AQ55" s="3">
        <f t="shared" si="147"/>
        <v>6797732.2961992268</v>
      </c>
      <c r="AR55" s="16">
        <f t="shared" si="147"/>
        <v>6480708.0821750965</v>
      </c>
      <c r="AS55" s="16">
        <f t="shared" si="147"/>
        <v>6175211.3180029579</v>
      </c>
      <c r="AT55" s="16">
        <f t="shared" si="147"/>
        <v>5880859.0678085573</v>
      </c>
      <c r="AU55" s="16">
        <f t="shared" si="147"/>
        <v>5597293.2575317528</v>
      </c>
      <c r="AV55" s="16">
        <f t="shared" si="147"/>
        <v>5324164.9250815194</v>
      </c>
      <c r="AW55" s="16">
        <f t="shared" si="147"/>
        <v>5061143.1109308824</v>
      </c>
      <c r="AX55" s="16">
        <f t="shared" si="147"/>
        <v>4807907.8302165577</v>
      </c>
      <c r="AY55" s="16">
        <f t="shared" si="147"/>
        <v>4564154.762375352</v>
      </c>
      <c r="AZ55" s="16">
        <f t="shared" si="147"/>
        <v>4329596.2727115229</v>
      </c>
      <c r="BA55" s="16">
        <f t="shared" si="147"/>
        <v>4103960.3363030413</v>
      </c>
      <c r="BB55" s="16">
        <f t="shared" si="147"/>
        <v>3886994.4441078454</v>
      </c>
      <c r="BC55" s="16">
        <f t="shared" si="144"/>
        <v>3678451.3364938861</v>
      </c>
      <c r="BD55" s="16">
        <f t="shared" si="18"/>
        <v>3478094.06288487</v>
      </c>
      <c r="BE55" s="16">
        <f t="shared" si="18"/>
        <v>3285692.0588459154</v>
      </c>
      <c r="BF55" s="16">
        <f t="shared" si="18"/>
        <v>3101021.3547806852</v>
      </c>
      <c r="BG55" s="16">
        <f t="shared" si="18"/>
        <v>2923858.6434593615</v>
      </c>
      <c r="BH55" s="172">
        <f t="shared" si="123"/>
        <v>367394.72658443713</v>
      </c>
      <c r="BI55" s="16">
        <f t="shared" si="148"/>
        <v>354129.98544085148</v>
      </c>
      <c r="BJ55" s="16">
        <f t="shared" si="148"/>
        <v>341321.86509012192</v>
      </c>
      <c r="BK55" s="16">
        <f t="shared" si="148"/>
        <v>328957.50364873186</v>
      </c>
      <c r="BL55" s="16">
        <f t="shared" si="148"/>
        <v>317024.21402412985</v>
      </c>
      <c r="BM55" s="16">
        <f t="shared" si="148"/>
        <v>305496.76417213847</v>
      </c>
      <c r="BN55" s="16">
        <f t="shared" si="148"/>
        <v>294352.25019440131</v>
      </c>
      <c r="BO55" s="16">
        <f t="shared" si="148"/>
        <v>283565.81027680589</v>
      </c>
      <c r="BP55" s="16">
        <f t="shared" si="148"/>
        <v>273128.33245023253</v>
      </c>
      <c r="BQ55" s="16">
        <f t="shared" si="148"/>
        <v>263021.81415063736</v>
      </c>
      <c r="BR55" s="16">
        <f t="shared" si="148"/>
        <v>253235.28071432526</v>
      </c>
      <c r="BS55" s="16">
        <f t="shared" si="148"/>
        <v>243753.06784120487</v>
      </c>
      <c r="BT55" s="16">
        <f t="shared" si="148"/>
        <v>234558.48966382915</v>
      </c>
      <c r="BU55" s="16">
        <f t="shared" si="148"/>
        <v>225635.93640848066</v>
      </c>
      <c r="BV55" s="16">
        <f t="shared" si="148"/>
        <v>216965.89219519592</v>
      </c>
      <c r="BW55" s="16">
        <f t="shared" si="148"/>
        <v>208543.10761395967</v>
      </c>
      <c r="BX55" s="16">
        <f t="shared" si="148"/>
        <v>200357.2736090158</v>
      </c>
      <c r="BY55" s="16">
        <f t="shared" si="149"/>
        <v>192402.00403895453</v>
      </c>
      <c r="BZ55" s="16">
        <f t="shared" si="149"/>
        <v>184670.70406523009</v>
      </c>
      <c r="CA55" s="16">
        <f t="shared" si="149"/>
        <v>177162.71132132332</v>
      </c>
      <c r="CB55" s="16">
        <f t="shared" si="149"/>
        <v>169879.2415062098</v>
      </c>
      <c r="CC55" s="18">
        <f t="shared" si="124"/>
        <v>5.4827271955888133</v>
      </c>
      <c r="CD55" s="18">
        <f t="shared" si="124"/>
        <v>4.6506379015765438</v>
      </c>
      <c r="CE55" s="18">
        <f t="shared" si="124"/>
        <v>3.7876282745430765</v>
      </c>
      <c r="CF55" s="18">
        <f t="shared" si="124"/>
        <v>2.8924054666374497</v>
      </c>
      <c r="CG55" s="18">
        <f t="shared" si="124"/>
        <v>1.9636385823478033</v>
      </c>
      <c r="CH55" s="18">
        <f t="shared" si="150"/>
        <v>1.0000000000000007</v>
      </c>
      <c r="CI55" s="18">
        <f t="shared" si="150"/>
        <v>0</v>
      </c>
      <c r="CJ55" s="18">
        <f t="shared" si="150"/>
        <v>-1.0380385770310792</v>
      </c>
      <c r="CK55" s="18">
        <f t="shared" si="150"/>
        <v>-2.1159213154003682</v>
      </c>
      <c r="CL55" s="18">
        <f t="shared" si="151"/>
        <v>-3.2356494675914171</v>
      </c>
      <c r="CM55" s="18">
        <f t="shared" si="151"/>
        <v>-4.3993404233782725</v>
      </c>
      <c r="CN55" s="18">
        <f t="shared" si="151"/>
        <v>-5.6093796065661925</v>
      </c>
      <c r="CO55" s="18">
        <f t="shared" si="151"/>
        <v>-6.8684640574578362</v>
      </c>
      <c r="CP55" s="18">
        <f t="shared" si="152"/>
        <v>-8.1796148019179906</v>
      </c>
      <c r="CQ55" s="18">
        <f t="shared" si="153"/>
        <v>-9.5464358971063117</v>
      </c>
      <c r="CR55" s="18">
        <f t="shared" si="154"/>
        <v>-10.972392710915667</v>
      </c>
      <c r="CS55" s="18">
        <f t="shared" si="142"/>
        <v>-12.461539012460992</v>
      </c>
      <c r="CT55" s="18">
        <f t="shared" si="125"/>
        <v>-14.018134938823287</v>
      </c>
      <c r="CU55" s="18">
        <f t="shared" si="125"/>
        <v>-15.646874114566625</v>
      </c>
      <c r="CV55" s="18">
        <f t="shared" si="125"/>
        <v>-17.352353327030297</v>
      </c>
      <c r="CW55" s="18">
        <f t="shared" si="22"/>
        <v>-19.139199384903929</v>
      </c>
      <c r="CX55" s="17">
        <f t="shared" si="23"/>
        <v>855.35173047303624</v>
      </c>
      <c r="CY55" s="17">
        <f t="shared" si="126"/>
        <v>847.15731881688737</v>
      </c>
      <c r="CZ55" s="17">
        <f t="shared" si="126"/>
        <v>836.33875654471524</v>
      </c>
      <c r="DA55" s="17">
        <f t="shared" si="126"/>
        <v>823.16070911830457</v>
      </c>
      <c r="DB55" s="17">
        <f t="shared" si="126"/>
        <v>820.82225237662601</v>
      </c>
      <c r="DC55" s="17">
        <f t="shared" si="126"/>
        <v>827.82290946077819</v>
      </c>
      <c r="DD55" s="17">
        <f t="shared" si="126"/>
        <v>846.94253061615575</v>
      </c>
      <c r="DE55" s="17">
        <f t="shared" si="126"/>
        <v>863.01334300521671</v>
      </c>
      <c r="DF55" s="3" t="e">
        <f>#REF!+$AG$35*0.004*(1+$R$28)*#REF!-S55*#REF!</f>
        <v>#REF!</v>
      </c>
      <c r="DG55" s="19">
        <f t="shared" si="25"/>
        <v>1742.2997634608732</v>
      </c>
      <c r="DH55" s="19">
        <f t="shared" si="26"/>
        <v>1599.4971657202145</v>
      </c>
      <c r="DI55" s="19">
        <f t="shared" si="27"/>
        <v>1449.0683941779646</v>
      </c>
      <c r="DJ55" s="19">
        <f t="shared" si="28"/>
        <v>1291.0689685884061</v>
      </c>
      <c r="DK55" s="19">
        <f t="shared" si="29"/>
        <v>1138.4826640625599</v>
      </c>
      <c r="DL55" s="19">
        <f t="shared" si="30"/>
        <v>989.59423262663631</v>
      </c>
      <c r="DM55" s="19">
        <f t="shared" si="31"/>
        <v>846.94253061615575</v>
      </c>
      <c r="DN55" s="19">
        <f t="shared" si="32"/>
        <v>695.08846890169445</v>
      </c>
      <c r="DO55" s="173">
        <f t="shared" si="127"/>
        <v>92023.212339849706</v>
      </c>
      <c r="DP55" s="25">
        <f t="shared" si="155"/>
        <v>91167.860609376687</v>
      </c>
      <c r="DQ55" s="26">
        <f t="shared" si="155"/>
        <v>90320.703290559817</v>
      </c>
      <c r="DR55" s="26">
        <f t="shared" si="155"/>
        <v>89484.364534015098</v>
      </c>
      <c r="DS55" s="26">
        <f t="shared" si="155"/>
        <v>88661.203824896802</v>
      </c>
      <c r="DT55" s="26">
        <f t="shared" si="155"/>
        <v>87840.381572520157</v>
      </c>
      <c r="DU55" s="26">
        <f t="shared" si="155"/>
        <v>87012.558663059375</v>
      </c>
      <c r="DV55" s="26">
        <f t="shared" si="155"/>
        <v>86165.616132443218</v>
      </c>
      <c r="DW55" s="26">
        <f t="shared" si="155"/>
        <v>85302.60278943798</v>
      </c>
      <c r="DX55" s="26">
        <f t="shared" si="155"/>
        <v>84417.209120336134</v>
      </c>
      <c r="DY55" s="26">
        <f t="shared" si="155"/>
        <v>83509.656097891071</v>
      </c>
      <c r="DZ55" s="26">
        <f t="shared" si="155"/>
        <v>82575.016132919322</v>
      </c>
      <c r="EA55" s="26">
        <f t="shared" si="155"/>
        <v>81606.783444357046</v>
      </c>
      <c r="EB55" s="26">
        <f t="shared" si="155"/>
        <v>80598.972968603455</v>
      </c>
      <c r="EC55" s="26">
        <f t="shared" si="155"/>
        <v>79541.088741864602</v>
      </c>
      <c r="ED55" s="26">
        <f t="shared" si="155"/>
        <v>78436.477379158212</v>
      </c>
      <c r="EE55" s="26">
        <f t="shared" si="145"/>
        <v>77283.157471351093</v>
      </c>
      <c r="EF55" s="26">
        <f t="shared" si="34"/>
        <v>76082.783920534741</v>
      </c>
      <c r="EG55" s="26">
        <f t="shared" si="34"/>
        <v>74836.579607665073</v>
      </c>
      <c r="EH55" s="26">
        <f t="shared" si="34"/>
        <v>73551.575928090766</v>
      </c>
      <c r="EI55" s="26">
        <f t="shared" si="34"/>
        <v>72236.692138670856</v>
      </c>
      <c r="EJ55" s="26">
        <f t="shared" si="128"/>
        <v>1.3638338588506519E-2</v>
      </c>
      <c r="EK55" s="26">
        <f t="shared" si="128"/>
        <v>1.1733832539327145E-2</v>
      </c>
      <c r="EL55" s="26">
        <f t="shared" si="156"/>
        <v>9.692155603998491E-3</v>
      </c>
      <c r="EM55" s="26">
        <f t="shared" si="156"/>
        <v>7.5140583313617676E-3</v>
      </c>
      <c r="EN55" s="26">
        <f t="shared" si="156"/>
        <v>5.2003761508007161E-3</v>
      </c>
      <c r="EO55" s="26">
        <f t="shared" si="156"/>
        <v>2.7097599927255775E-3</v>
      </c>
      <c r="EP55" s="26">
        <f t="shared" si="156"/>
        <v>0</v>
      </c>
      <c r="EQ55" s="26">
        <f t="shared" si="156"/>
        <v>-2.9867582759339189E-3</v>
      </c>
      <c r="ER55" s="26">
        <f t="shared" si="156"/>
        <v>-6.260631616945015E-3</v>
      </c>
      <c r="ES55" s="26">
        <f t="shared" si="156"/>
        <v>-9.8674307722508414E-3</v>
      </c>
      <c r="ET55" s="26">
        <f t="shared" si="156"/>
        <v>-1.3832600873335373E-2</v>
      </c>
      <c r="EU55" s="26">
        <f t="shared" si="156"/>
        <v>-1.8205073558421554E-2</v>
      </c>
      <c r="EV55" s="26">
        <f t="shared" si="156"/>
        <v>-2.3046597999713946E-2</v>
      </c>
      <c r="EW55" s="26">
        <f t="shared" si="156"/>
        <v>-2.8424486792941826E-2</v>
      </c>
      <c r="EX55" s="26">
        <f t="shared" si="156"/>
        <v>-3.4436149597527423E-2</v>
      </c>
      <c r="EY55" s="26">
        <f t="shared" si="156"/>
        <v>-4.1123781946208464E-2</v>
      </c>
      <c r="EZ55" s="26">
        <f t="shared" si="146"/>
        <v>-4.8560259462776367E-2</v>
      </c>
      <c r="FA55" s="26">
        <f t="shared" si="37"/>
        <v>-5.6806969330276548E-2</v>
      </c>
      <c r="FB55" s="26">
        <f t="shared" si="37"/>
        <v>-6.5933463117644558E-2</v>
      </c>
      <c r="FC55" s="26">
        <f t="shared" si="37"/>
        <v>-7.5980902722549634E-2</v>
      </c>
      <c r="FD55" s="26">
        <f t="shared" si="37"/>
        <v>-8.6978646675017077E-2</v>
      </c>
      <c r="FE55" s="26">
        <f t="shared" si="130"/>
        <v>5.283915206453611</v>
      </c>
      <c r="FF55" s="26">
        <f t="shared" si="130"/>
        <v>4.4818362250621044</v>
      </c>
      <c r="FG55" s="26">
        <f t="shared" si="130"/>
        <v>3.6500173574009236</v>
      </c>
      <c r="FH55" s="26">
        <f t="shared" si="130"/>
        <v>2.7872087373624015</v>
      </c>
      <c r="FI55" s="26">
        <f t="shared" si="130"/>
        <v>1.8921236543808055</v>
      </c>
      <c r="FJ55" s="26">
        <f t="shared" si="157"/>
        <v>0.96352002611897281</v>
      </c>
      <c r="FK55" s="26">
        <f t="shared" si="157"/>
        <v>0</v>
      </c>
      <c r="FL55" s="26">
        <f t="shared" si="157"/>
        <v>-0.99999999999999512</v>
      </c>
      <c r="FM55" s="26">
        <f t="shared" si="157"/>
        <v>-2.0382145555275732</v>
      </c>
      <c r="FN55" s="26">
        <f t="shared" si="157"/>
        <v>-3.1165322143516532</v>
      </c>
      <c r="FO55" s="26">
        <f t="shared" si="157"/>
        <v>-4.2369737524938165</v>
      </c>
      <c r="FP55" s="26">
        <f t="shared" si="158"/>
        <v>-5.4017958300774458</v>
      </c>
      <c r="FQ55" s="26">
        <f t="shared" si="158"/>
        <v>-6.6135435870188068</v>
      </c>
      <c r="FR55" s="26">
        <f t="shared" si="158"/>
        <v>-7.8750697242158374</v>
      </c>
      <c r="FS55" s="26">
        <f t="shared" si="158"/>
        <v>-9.1897606740275481</v>
      </c>
      <c r="FT55" s="26">
        <f t="shared" si="159"/>
        <v>-10.560923142047031</v>
      </c>
      <c r="FU55" s="26">
        <f t="shared" si="143"/>
        <v>-11.992402180579314</v>
      </c>
      <c r="FV55" s="26">
        <f t="shared" si="131"/>
        <v>-13.488253523789769</v>
      </c>
      <c r="FW55" s="26">
        <f t="shared" si="131"/>
        <v>-15.052943709176347</v>
      </c>
      <c r="FX55" s="26">
        <f t="shared" si="39"/>
        <v>5597293.2575317528</v>
      </c>
      <c r="FY55" s="26">
        <f t="shared" si="40"/>
        <v>273128.33245023253</v>
      </c>
      <c r="FZ55" s="26">
        <f t="shared" si="132"/>
        <v>0.80118801086479741</v>
      </c>
      <c r="GA55" s="26">
        <f t="shared" si="160"/>
        <v>0.83119832348555944</v>
      </c>
      <c r="GB55" s="26">
        <f t="shared" si="132"/>
        <v>0.86238908285785076</v>
      </c>
      <c r="GC55" s="26">
        <f t="shared" si="132"/>
        <v>0.89480327072495414</v>
      </c>
      <c r="GD55" s="26">
        <f t="shared" si="132"/>
        <v>0.92848507203300601</v>
      </c>
      <c r="GE55" s="26">
        <f t="shared" si="161"/>
        <v>0.96352002611897536</v>
      </c>
      <c r="GF55" s="26">
        <f t="shared" si="161"/>
        <v>1</v>
      </c>
      <c r="GG55" s="26">
        <f t="shared" si="161"/>
        <v>1.0380385770310818</v>
      </c>
      <c r="GH55" s="26">
        <f t="shared" si="161"/>
        <v>1.077706759872801</v>
      </c>
      <c r="GI55" s="26">
        <f t="shared" si="161"/>
        <v>1.1191172532397653</v>
      </c>
      <c r="GJ55" s="26">
        <f t="shared" si="161"/>
        <v>1.1623666708844576</v>
      </c>
      <c r="GK55" s="26">
        <f t="shared" si="162"/>
        <v>1.2075837764887527</v>
      </c>
      <c r="GL55" s="26">
        <f t="shared" si="162"/>
        <v>1.254920470439032</v>
      </c>
      <c r="GM55" s="26">
        <f t="shared" si="162"/>
        <v>1.3045450777021612</v>
      </c>
      <c r="GN55" s="26">
        <f t="shared" si="162"/>
        <v>1.3566752230787678</v>
      </c>
      <c r="GO55" s="26">
        <f t="shared" si="163"/>
        <v>1.4114695688686365</v>
      </c>
      <c r="GP55" s="26">
        <f t="shared" si="140"/>
        <v>1.4691368318816844</v>
      </c>
      <c r="GQ55" s="26">
        <f t="shared" si="134"/>
        <v>1.5298814150335227</v>
      </c>
      <c r="GR55" s="26">
        <f t="shared" si="134"/>
        <v>1.5939304053902836</v>
      </c>
      <c r="GS55" s="26">
        <f t="shared" si="134"/>
        <v>1.6614797098048986</v>
      </c>
      <c r="GT55" s="26">
        <f t="shared" si="134"/>
        <v>1.7327146482676137</v>
      </c>
      <c r="GU55" s="26">
        <f t="shared" si="135"/>
        <v>5.4827271955888133</v>
      </c>
      <c r="GV55" s="26">
        <f t="shared" si="164"/>
        <v>4.6506379015765438</v>
      </c>
      <c r="GW55" s="26">
        <f t="shared" si="135"/>
        <v>3.7876282745430765</v>
      </c>
      <c r="GX55" s="26">
        <f t="shared" si="135"/>
        <v>2.8924054666374497</v>
      </c>
      <c r="GY55" s="26">
        <f t="shared" si="135"/>
        <v>1.9636385823478033</v>
      </c>
      <c r="GZ55" s="26">
        <f t="shared" si="165"/>
        <v>1.0000000000000007</v>
      </c>
      <c r="HA55" s="26">
        <f t="shared" si="165"/>
        <v>0</v>
      </c>
      <c r="HB55" s="26">
        <f t="shared" si="165"/>
        <v>-1.0380385770310792</v>
      </c>
      <c r="HC55" s="26">
        <f t="shared" si="165"/>
        <v>-2.1159213154003682</v>
      </c>
      <c r="HD55" s="26">
        <f t="shared" si="165"/>
        <v>-3.2356494675914171</v>
      </c>
      <c r="HE55" s="26">
        <f t="shared" si="165"/>
        <v>-4.3993404233782725</v>
      </c>
      <c r="HF55" s="26">
        <f t="shared" si="166"/>
        <v>-5.6093796065661925</v>
      </c>
      <c r="HG55" s="26">
        <f t="shared" si="166"/>
        <v>-6.8684640574578362</v>
      </c>
      <c r="HH55" s="26">
        <f t="shared" si="166"/>
        <v>-8.1796148019179906</v>
      </c>
      <c r="HI55" s="26">
        <f t="shared" si="166"/>
        <v>-9.5464358971063117</v>
      </c>
      <c r="HJ55" s="26">
        <f t="shared" si="167"/>
        <v>-10.972392710915667</v>
      </c>
      <c r="HK55" s="26">
        <f t="shared" si="141"/>
        <v>-12.461539012460992</v>
      </c>
      <c r="HL55" s="26">
        <f t="shared" si="137"/>
        <v>-14.018134938823287</v>
      </c>
      <c r="HM55" s="26">
        <f t="shared" si="137"/>
        <v>-15.646874114566625</v>
      </c>
      <c r="HN55" s="26">
        <f t="shared" si="137"/>
        <v>-17.352353327030297</v>
      </c>
      <c r="HO55" s="26">
        <f t="shared" si="137"/>
        <v>-19.139199384903929</v>
      </c>
      <c r="HP55" s="26">
        <f t="shared" si="44"/>
        <v>518795.34582087264</v>
      </c>
      <c r="HQ55" s="26">
        <f t="shared" si="45"/>
        <v>535553.93239370908</v>
      </c>
      <c r="HR55" s="26">
        <f t="shared" si="46"/>
        <v>553101.05008826347</v>
      </c>
      <c r="HS55" s="26">
        <f t="shared" si="47"/>
        <v>571488.76189176459</v>
      </c>
      <c r="HT55" s="26">
        <f t="shared" si="48"/>
        <v>590770.13075534883</v>
      </c>
      <c r="HU55" s="26">
        <f t="shared" si="49"/>
        <v>610991.94212611509</v>
      </c>
      <c r="HV55" s="26">
        <f t="shared" si="50"/>
        <v>632215.9078880985</v>
      </c>
      <c r="HW55" s="26">
        <f t="shared" si="51"/>
        <v>654520.59783035191</v>
      </c>
      <c r="HX55" s="26">
        <f t="shared" si="52"/>
        <v>677998.17676526168</v>
      </c>
      <c r="HY55" s="26">
        <f t="shared" si="53"/>
        <v>702757.19564682606</v>
      </c>
      <c r="HZ55" s="26">
        <f t="shared" si="54"/>
        <v>728916.54782134574</v>
      </c>
      <c r="IA55" s="26">
        <f t="shared" si="55"/>
        <v>756620.22332692752</v>
      </c>
      <c r="IB55" s="26">
        <f t="shared" si="56"/>
        <v>786042.76656092354</v>
      </c>
      <c r="IC55" s="26">
        <f t="shared" si="57"/>
        <v>817390.95483359264</v>
      </c>
      <c r="ID55" s="26">
        <f t="shared" si="58"/>
        <v>850931.9271879869</v>
      </c>
      <c r="IE55" s="26">
        <f t="shared" si="59"/>
        <v>886915.17384235805</v>
      </c>
      <c r="IF55" s="26">
        <f t="shared" si="60"/>
        <v>925650.79067981895</v>
      </c>
      <c r="IG55" s="26">
        <f t="shared" si="61"/>
        <v>967467.92395529023</v>
      </c>
      <c r="IH55" s="26">
        <f t="shared" si="62"/>
        <v>1012739.4953309274</v>
      </c>
      <c r="II55" s="26">
        <f t="shared" si="63"/>
        <v>-641644411300.61829</v>
      </c>
      <c r="IJ55" s="26">
        <f t="shared" si="64"/>
        <v>538679.55821237899</v>
      </c>
      <c r="IK55" s="26">
        <f t="shared" si="65"/>
        <v>555084.53226954781</v>
      </c>
      <c r="IL55" s="26">
        <f t="shared" si="66"/>
        <v>572348.97568381578</v>
      </c>
      <c r="IM55" s="26">
        <f t="shared" si="67"/>
        <v>590531.63801843324</v>
      </c>
      <c r="IN55" s="26">
        <f t="shared" si="68"/>
        <v>609692.69704429246</v>
      </c>
      <c r="IO55" s="26">
        <f t="shared" si="69"/>
        <v>629886.31035381788</v>
      </c>
      <c r="IP55" s="26">
        <f t="shared" si="70"/>
        <v>651182.38512474147</v>
      </c>
      <c r="IQ55" s="26">
        <f t="shared" si="71"/>
        <v>673668.61095244705</v>
      </c>
      <c r="IR55" s="26">
        <f t="shared" si="72"/>
        <v>697447.18796000991</v>
      </c>
      <c r="IS55" s="26">
        <f t="shared" si="73"/>
        <v>722637.72903872642</v>
      </c>
      <c r="IT55" s="26">
        <f t="shared" si="74"/>
        <v>749371.13194651413</v>
      </c>
      <c r="IU55" s="26">
        <f t="shared" si="75"/>
        <v>777804.78974913782</v>
      </c>
      <c r="IV55" s="26">
        <f t="shared" si="76"/>
        <v>808128.29917686747</v>
      </c>
      <c r="IW55" s="26">
        <f t="shared" si="77"/>
        <v>840565.29999146622</v>
      </c>
      <c r="IX55" s="26">
        <f t="shared" si="78"/>
        <v>875402.54006898054</v>
      </c>
      <c r="IY55" s="26">
        <f t="shared" si="79"/>
        <v>912909.76267214422</v>
      </c>
      <c r="IZ55" s="26">
        <f t="shared" si="80"/>
        <v>953420.31440021354</v>
      </c>
      <c r="JA55" s="26">
        <f t="shared" si="81"/>
        <v>997288.5333682131</v>
      </c>
      <c r="JB55" s="26">
        <f t="shared" si="82"/>
        <v>1044915.3535869501</v>
      </c>
      <c r="JC55" s="26">
        <f t="shared" si="83"/>
        <v>-660893740629.90869</v>
      </c>
      <c r="JD55" s="26">
        <f t="shared" si="84"/>
        <v>154507.27541040443</v>
      </c>
      <c r="JE55" s="26">
        <f t="shared" si="85"/>
        <v>246106.04378317058</v>
      </c>
      <c r="JF55" s="26">
        <f t="shared" si="86"/>
        <v>341397.67573828041</v>
      </c>
      <c r="JG55" s="26">
        <f t="shared" si="87"/>
        <v>440556.9841750944</v>
      </c>
      <c r="JH55" s="26">
        <f t="shared" si="88"/>
        <v>543752.47982632183</v>
      </c>
      <c r="JI55" s="26">
        <f t="shared" si="89"/>
        <v>651182.38512474147</v>
      </c>
      <c r="JJ55" s="26">
        <f t="shared" si="90"/>
        <v>763078.849827445</v>
      </c>
      <c r="JK55" s="26">
        <f t="shared" si="91"/>
        <v>879699.59595022141</v>
      </c>
      <c r="JL55" s="26">
        <f t="shared" si="92"/>
        <v>1001336.611926628</v>
      </c>
      <c r="JM55" s="26">
        <f t="shared" si="93"/>
        <v>1128303.1744065406</v>
      </c>
      <c r="JN55" s="26">
        <f t="shared" si="94"/>
        <v>1260962.1421455021</v>
      </c>
      <c r="JO55" s="26">
        <f t="shared" si="95"/>
        <v>1399735.4182861377</v>
      </c>
      <c r="JP55" s="26">
        <f t="shared" si="96"/>
        <v>1545106.8551200675</v>
      </c>
      <c r="JQ55" s="26">
        <f t="shared" si="97"/>
        <v>1697673.6317719393</v>
      </c>
      <c r="JR55" s="26">
        <f t="shared" si="98"/>
        <v>1858003.9769152859</v>
      </c>
      <c r="JS55" s="26">
        <f t="shared" si="99"/>
        <v>2026780.4038113076</v>
      </c>
      <c r="JT55" s="26">
        <f t="shared" si="100"/>
        <v>2204724.1925003878</v>
      </c>
      <c r="JU55" s="26">
        <f t="shared" si="101"/>
        <v>2392640.5568560949</v>
      </c>
      <c r="JV55" s="26">
        <f t="shared" si="102"/>
        <v>-660892246005.24792</v>
      </c>
      <c r="JW55" s="26">
        <f t="shared" si="103"/>
        <v>1803039.831661674</v>
      </c>
      <c r="JX55" s="26" t="e">
        <f>AH55+$AG$38*0.004*(1+$R$28)*#REF!-S55*#REF!</f>
        <v>#REF!</v>
      </c>
      <c r="JY55" s="34">
        <f t="shared" si="104"/>
        <v>5.1848116896480792E-2</v>
      </c>
      <c r="JZ55" s="4">
        <f t="shared" si="105"/>
        <v>47188.205013901636</v>
      </c>
      <c r="KA55" s="165"/>
    </row>
    <row r="56" spans="1:287" ht="15.75" x14ac:dyDescent="0.3">
      <c r="A56" s="34">
        <v>55</v>
      </c>
      <c r="B56" s="34">
        <v>28</v>
      </c>
      <c r="C56" s="2">
        <v>970004</v>
      </c>
      <c r="D56" s="1">
        <f t="shared" si="106"/>
        <v>1838</v>
      </c>
      <c r="E56" s="145">
        <f t="shared" si="107"/>
        <v>0.99810516245293834</v>
      </c>
      <c r="F56" s="146">
        <f t="shared" si="108"/>
        <v>1.8948375470616563E-3</v>
      </c>
      <c r="G56" s="158">
        <f t="shared" si="3"/>
        <v>2.3685469338270704E-3</v>
      </c>
      <c r="H56" s="43">
        <f t="shared" si="109"/>
        <v>2280.0517668673547</v>
      </c>
      <c r="I56" s="43">
        <f t="shared" si="139"/>
        <v>962637.35976862139</v>
      </c>
      <c r="J56" s="43">
        <f t="shared" si="110"/>
        <v>969085</v>
      </c>
      <c r="K56" s="147">
        <f>SUM(J56:$J$138)</f>
        <v>45875539</v>
      </c>
      <c r="L56" s="147">
        <f t="shared" si="111"/>
        <v>47.294175075566699</v>
      </c>
      <c r="M56" s="43">
        <f t="shared" si="4"/>
        <v>1211356.25</v>
      </c>
      <c r="N56" s="148">
        <f t="shared" si="5"/>
        <v>57344423.75</v>
      </c>
      <c r="O56" s="147">
        <f t="shared" si="6"/>
        <v>59.117718844458373</v>
      </c>
      <c r="P56" s="157">
        <f t="shared" si="7"/>
        <v>367394.72658443713</v>
      </c>
      <c r="Q56" s="43">
        <f t="shared" si="8"/>
        <v>1212505</v>
      </c>
      <c r="R56" s="43">
        <f t="shared" si="9"/>
        <v>855.35173047303624</v>
      </c>
      <c r="S56" s="43">
        <f>SUM(R56:$R$138)</f>
        <v>92023.212339849706</v>
      </c>
      <c r="T56" s="43">
        <f t="shared" si="112"/>
        <v>3316801.7793792682</v>
      </c>
      <c r="U56" s="153">
        <f>SUM(P56:$P$138)</f>
        <v>8189536.3769633677</v>
      </c>
      <c r="V56" s="129">
        <f t="shared" si="10"/>
        <v>5880859.0678085573</v>
      </c>
      <c r="W56" s="43">
        <f t="shared" si="113"/>
        <v>283565.81027680589</v>
      </c>
      <c r="X56" s="26">
        <f t="shared" si="114"/>
        <v>6.2839152064536083</v>
      </c>
      <c r="Y56" s="26">
        <f t="shared" si="115"/>
        <v>0.77182874374119492</v>
      </c>
      <c r="Z56" s="43">
        <f t="shared" si="11"/>
        <v>86165.616132443218</v>
      </c>
      <c r="AA56" s="149">
        <f t="shared" si="116"/>
        <v>1.5943604476479214E-2</v>
      </c>
      <c r="AB56" s="150">
        <f t="shared" si="138"/>
        <v>7822141.6503789313</v>
      </c>
      <c r="AC56" s="150">
        <f t="shared" si="117"/>
        <v>5597293.2575317528</v>
      </c>
      <c r="AD56" s="26">
        <f t="shared" si="118"/>
        <v>6.0557439501948016</v>
      </c>
      <c r="AE56" s="26">
        <f t="shared" si="12"/>
        <v>520606.69498066261</v>
      </c>
      <c r="AF56" s="43">
        <f t="shared" si="119"/>
        <v>82847.504760407537</v>
      </c>
      <c r="AG56" s="43">
        <f t="shared" si="13"/>
        <v>541526.31361921818</v>
      </c>
      <c r="AH56" s="27">
        <f t="shared" si="14"/>
        <v>90019.381965419481</v>
      </c>
      <c r="AI56" s="28">
        <f t="shared" si="120"/>
        <v>582286.35873034212</v>
      </c>
      <c r="AJ56" s="20">
        <f t="shared" si="15"/>
        <v>96795.034371418806</v>
      </c>
      <c r="AK56" s="3">
        <f t="shared" si="16"/>
        <v>8388.9029788562966</v>
      </c>
      <c r="AL56" s="3"/>
      <c r="AM56" s="46">
        <f t="shared" si="121"/>
        <v>7822141.6503789313</v>
      </c>
      <c r="AN56" s="46">
        <f t="shared" si="122"/>
        <v>7468011.6649380811</v>
      </c>
      <c r="AO56" s="46">
        <f t="shared" si="122"/>
        <v>7126689.7998479586</v>
      </c>
      <c r="AP56" s="3">
        <f t="shared" si="147"/>
        <v>6797732.2961992268</v>
      </c>
      <c r="AQ56" s="3">
        <f t="shared" si="147"/>
        <v>6480708.0821750965</v>
      </c>
      <c r="AR56" s="16">
        <f t="shared" si="147"/>
        <v>6175211.3180029579</v>
      </c>
      <c r="AS56" s="16">
        <f t="shared" si="147"/>
        <v>5880859.0678085573</v>
      </c>
      <c r="AT56" s="16">
        <f t="shared" si="147"/>
        <v>5597293.2575317528</v>
      </c>
      <c r="AU56" s="16">
        <f t="shared" si="147"/>
        <v>5324164.9250815194</v>
      </c>
      <c r="AV56" s="16">
        <f t="shared" si="147"/>
        <v>5061143.1109308824</v>
      </c>
      <c r="AW56" s="16">
        <f t="shared" si="147"/>
        <v>4807907.8302165577</v>
      </c>
      <c r="AX56" s="16">
        <f t="shared" si="147"/>
        <v>4564154.762375352</v>
      </c>
      <c r="AY56" s="16">
        <f t="shared" si="147"/>
        <v>4329596.2727115229</v>
      </c>
      <c r="AZ56" s="16">
        <f t="shared" si="147"/>
        <v>4103960.3363030413</v>
      </c>
      <c r="BA56" s="16">
        <f t="shared" si="147"/>
        <v>3886994.4441078454</v>
      </c>
      <c r="BB56" s="16">
        <f t="shared" si="147"/>
        <v>3678451.3364938861</v>
      </c>
      <c r="BC56" s="16">
        <f t="shared" si="144"/>
        <v>3478094.06288487</v>
      </c>
      <c r="BD56" s="16">
        <f t="shared" si="18"/>
        <v>3285692.0588459154</v>
      </c>
      <c r="BE56" s="16">
        <f t="shared" si="18"/>
        <v>3101021.3547806852</v>
      </c>
      <c r="BF56" s="16">
        <f t="shared" si="18"/>
        <v>2923858.6434593615</v>
      </c>
      <c r="BG56" s="16">
        <f t="shared" si="18"/>
        <v>2753979.4019531519</v>
      </c>
      <c r="BH56" s="172">
        <f t="shared" si="123"/>
        <v>354129.98544085148</v>
      </c>
      <c r="BI56" s="16">
        <f t="shared" si="148"/>
        <v>341321.86509012192</v>
      </c>
      <c r="BJ56" s="16">
        <f t="shared" si="148"/>
        <v>328957.50364873186</v>
      </c>
      <c r="BK56" s="16">
        <f t="shared" si="148"/>
        <v>317024.21402412985</v>
      </c>
      <c r="BL56" s="16">
        <f t="shared" si="148"/>
        <v>305496.76417213847</v>
      </c>
      <c r="BM56" s="16">
        <f t="shared" si="148"/>
        <v>294352.25019440131</v>
      </c>
      <c r="BN56" s="16">
        <f t="shared" si="148"/>
        <v>283565.81027680589</v>
      </c>
      <c r="BO56" s="16">
        <f t="shared" si="148"/>
        <v>273128.33245023253</v>
      </c>
      <c r="BP56" s="16">
        <f t="shared" si="148"/>
        <v>263021.81415063736</v>
      </c>
      <c r="BQ56" s="16">
        <f t="shared" si="148"/>
        <v>253235.28071432526</v>
      </c>
      <c r="BR56" s="16">
        <f t="shared" si="148"/>
        <v>243753.06784120487</v>
      </c>
      <c r="BS56" s="16">
        <f t="shared" si="148"/>
        <v>234558.48966382915</v>
      </c>
      <c r="BT56" s="16">
        <f t="shared" si="148"/>
        <v>225635.93640848066</v>
      </c>
      <c r="BU56" s="16">
        <f t="shared" si="148"/>
        <v>216965.89219519592</v>
      </c>
      <c r="BV56" s="16">
        <f t="shared" si="148"/>
        <v>208543.10761395967</v>
      </c>
      <c r="BW56" s="16">
        <f t="shared" si="148"/>
        <v>200357.2736090158</v>
      </c>
      <c r="BX56" s="16">
        <f t="shared" si="148"/>
        <v>192402.00403895453</v>
      </c>
      <c r="BY56" s="16">
        <f t="shared" si="149"/>
        <v>184670.70406523009</v>
      </c>
      <c r="BZ56" s="16">
        <f t="shared" si="149"/>
        <v>177162.71132132332</v>
      </c>
      <c r="CA56" s="16">
        <f t="shared" si="149"/>
        <v>169879.2415062098</v>
      </c>
      <c r="CB56" s="16">
        <f t="shared" si="149"/>
        <v>162819.85085005857</v>
      </c>
      <c r="CC56" s="18">
        <f t="shared" si="124"/>
        <v>5.4818362250621009</v>
      </c>
      <c r="CD56" s="18">
        <f t="shared" si="124"/>
        <v>4.6500173574009249</v>
      </c>
      <c r="CE56" s="18">
        <f t="shared" si="124"/>
        <v>3.7872087373624015</v>
      </c>
      <c r="CF56" s="18">
        <f t="shared" si="124"/>
        <v>2.8921236543808067</v>
      </c>
      <c r="CG56" s="18">
        <f t="shared" si="124"/>
        <v>1.9635200261189734</v>
      </c>
      <c r="CH56" s="18">
        <f t="shared" si="150"/>
        <v>0.99999999999999745</v>
      </c>
      <c r="CI56" s="18">
        <f t="shared" si="150"/>
        <v>0</v>
      </c>
      <c r="CJ56" s="18">
        <f t="shared" si="150"/>
        <v>-1.0382145555275699</v>
      </c>
      <c r="CK56" s="18">
        <f t="shared" si="150"/>
        <v>-2.1165322143516545</v>
      </c>
      <c r="CL56" s="18">
        <f t="shared" si="151"/>
        <v>-3.2369737524938182</v>
      </c>
      <c r="CM56" s="18">
        <f t="shared" si="151"/>
        <v>-4.4017958300774422</v>
      </c>
      <c r="CN56" s="18">
        <f t="shared" si="151"/>
        <v>-5.6135435870188068</v>
      </c>
      <c r="CO56" s="18">
        <f t="shared" si="151"/>
        <v>-6.875069724215833</v>
      </c>
      <c r="CP56" s="18">
        <f t="shared" si="152"/>
        <v>-8.1897606740275481</v>
      </c>
      <c r="CQ56" s="18">
        <f t="shared" si="153"/>
        <v>-9.5609231420470326</v>
      </c>
      <c r="CR56" s="18">
        <f t="shared" si="154"/>
        <v>-10.992402180579312</v>
      </c>
      <c r="CS56" s="18">
        <f t="shared" si="142"/>
        <v>-12.488253523789769</v>
      </c>
      <c r="CT56" s="18">
        <f t="shared" si="125"/>
        <v>-14.052943709176347</v>
      </c>
      <c r="CU56" s="18">
        <f t="shared" si="125"/>
        <v>-15.690873617225401</v>
      </c>
      <c r="CV56" s="18">
        <f t="shared" si="125"/>
        <v>-17.406484736636319</v>
      </c>
      <c r="CW56" s="18">
        <f t="shared" si="22"/>
        <v>-19.204535869124218</v>
      </c>
      <c r="CX56" s="17">
        <f t="shared" si="23"/>
        <v>847.15731881688737</v>
      </c>
      <c r="CY56" s="17">
        <f t="shared" si="126"/>
        <v>836.33875654471524</v>
      </c>
      <c r="CZ56" s="17">
        <f t="shared" si="126"/>
        <v>823.16070911830457</v>
      </c>
      <c r="DA56" s="17">
        <f t="shared" si="126"/>
        <v>820.82225237662601</v>
      </c>
      <c r="DB56" s="17">
        <f t="shared" si="126"/>
        <v>827.82290946077819</v>
      </c>
      <c r="DC56" s="17">
        <f t="shared" si="126"/>
        <v>846.94253061615575</v>
      </c>
      <c r="DD56" s="17">
        <f t="shared" si="126"/>
        <v>863.01334300521671</v>
      </c>
      <c r="DE56" s="17">
        <f t="shared" si="126"/>
        <v>885.39366910186175</v>
      </c>
      <c r="DF56" s="3" t="e">
        <f>#REF!+$AG$35*0.004*(1+$R$28)*#REF!-S56*#REF!</f>
        <v>#REF!</v>
      </c>
      <c r="DG56" s="19">
        <f t="shared" si="25"/>
        <v>1740.2082556904315</v>
      </c>
      <c r="DH56" s="19">
        <f t="shared" si="26"/>
        <v>1593.8773233701215</v>
      </c>
      <c r="DI56" s="19">
        <f t="shared" si="27"/>
        <v>1440.1383370843519</v>
      </c>
      <c r="DJ56" s="19">
        <f t="shared" si="28"/>
        <v>1291.9807534808172</v>
      </c>
      <c r="DK56" s="19">
        <f t="shared" si="29"/>
        <v>1147.7017469347397</v>
      </c>
      <c r="DL56" s="19">
        <f t="shared" si="30"/>
        <v>1009.8534422538754</v>
      </c>
      <c r="DM56" s="19">
        <f t="shared" si="31"/>
        <v>863.01334300521671</v>
      </c>
      <c r="DN56" s="19">
        <f t="shared" si="32"/>
        <v>716.25718938531509</v>
      </c>
      <c r="DO56" s="173">
        <f t="shared" si="127"/>
        <v>91167.860609376687</v>
      </c>
      <c r="DP56" s="25">
        <f t="shared" si="155"/>
        <v>90320.703290559817</v>
      </c>
      <c r="DQ56" s="26">
        <f t="shared" si="155"/>
        <v>89484.364534015098</v>
      </c>
      <c r="DR56" s="26">
        <f t="shared" si="155"/>
        <v>88661.203824896802</v>
      </c>
      <c r="DS56" s="26">
        <f t="shared" si="155"/>
        <v>87840.381572520157</v>
      </c>
      <c r="DT56" s="26">
        <f t="shared" si="155"/>
        <v>87012.558663059375</v>
      </c>
      <c r="DU56" s="26">
        <f t="shared" si="155"/>
        <v>86165.616132443218</v>
      </c>
      <c r="DV56" s="26">
        <f t="shared" si="155"/>
        <v>85302.60278943798</v>
      </c>
      <c r="DW56" s="26">
        <f t="shared" si="155"/>
        <v>84417.209120336134</v>
      </c>
      <c r="DX56" s="26">
        <f t="shared" si="155"/>
        <v>83509.656097891071</v>
      </c>
      <c r="DY56" s="26">
        <f t="shared" si="155"/>
        <v>82575.016132919322</v>
      </c>
      <c r="DZ56" s="26">
        <f t="shared" si="155"/>
        <v>81606.783444357046</v>
      </c>
      <c r="EA56" s="26">
        <f t="shared" si="155"/>
        <v>80598.972968603455</v>
      </c>
      <c r="EB56" s="26">
        <f t="shared" si="155"/>
        <v>79541.088741864602</v>
      </c>
      <c r="EC56" s="26">
        <f t="shared" si="155"/>
        <v>78436.477379158212</v>
      </c>
      <c r="ED56" s="26">
        <f t="shared" si="155"/>
        <v>77283.157471351093</v>
      </c>
      <c r="EE56" s="26">
        <f t="shared" si="145"/>
        <v>76082.783920534741</v>
      </c>
      <c r="EF56" s="26">
        <f t="shared" si="34"/>
        <v>74836.579607665073</v>
      </c>
      <c r="EG56" s="26">
        <f t="shared" si="34"/>
        <v>73551.575928090766</v>
      </c>
      <c r="EH56" s="26">
        <f t="shared" si="34"/>
        <v>72236.692138670856</v>
      </c>
      <c r="EI56" s="26">
        <f t="shared" si="34"/>
        <v>70899.201060349529</v>
      </c>
      <c r="EJ56" s="26">
        <f t="shared" si="128"/>
        <v>1.4125447385389419E-2</v>
      </c>
      <c r="EK56" s="26">
        <f t="shared" si="128"/>
        <v>1.2173515918821955E-2</v>
      </c>
      <c r="EL56" s="26">
        <f t="shared" si="156"/>
        <v>1.0088684297397009E-2</v>
      </c>
      <c r="EM56" s="26">
        <f t="shared" si="156"/>
        <v>7.8719150842643075E-3</v>
      </c>
      <c r="EN56" s="26">
        <f t="shared" si="156"/>
        <v>5.4821053329823736E-3</v>
      </c>
      <c r="EO56" s="26">
        <f t="shared" si="156"/>
        <v>2.8773095162574931E-3</v>
      </c>
      <c r="EP56" s="26">
        <f t="shared" si="156"/>
        <v>0</v>
      </c>
      <c r="EQ56" s="26">
        <f t="shared" si="156"/>
        <v>-3.1597357010279756E-3</v>
      </c>
      <c r="ER56" s="26">
        <f t="shared" si="156"/>
        <v>-6.647384049696118E-3</v>
      </c>
      <c r="ES56" s="26">
        <f t="shared" si="156"/>
        <v>-1.0488112189818983E-2</v>
      </c>
      <c r="ET56" s="26">
        <f t="shared" si="156"/>
        <v>-1.4730481266652303E-2</v>
      </c>
      <c r="EU56" s="26">
        <f t="shared" si="156"/>
        <v>-1.9435803387973388E-2</v>
      </c>
      <c r="EV56" s="26">
        <f t="shared" si="156"/>
        <v>-2.4670906826482524E-2</v>
      </c>
      <c r="EW56" s="26">
        <f t="shared" si="156"/>
        <v>-3.0532575067692126E-2</v>
      </c>
      <c r="EX56" s="26">
        <f t="shared" si="156"/>
        <v>-3.7062547123794871E-2</v>
      </c>
      <c r="EY56" s="26">
        <f t="shared" si="156"/>
        <v>-4.4333098075718808E-2</v>
      </c>
      <c r="EZ56" s="26">
        <f t="shared" si="146"/>
        <v>-5.2405026976055112E-2</v>
      </c>
      <c r="FA56" s="26">
        <f t="shared" si="37"/>
        <v>-6.1347231993962935E-2</v>
      </c>
      <c r="FB56" s="26">
        <f t="shared" si="37"/>
        <v>-7.1200311342459258E-2</v>
      </c>
      <c r="FC56" s="26">
        <f t="shared" si="37"/>
        <v>-8.1993090328597917E-2</v>
      </c>
      <c r="FD56" s="26">
        <f t="shared" si="37"/>
        <v>-9.3762615506585795E-2</v>
      </c>
      <c r="FE56" s="26">
        <f t="shared" si="130"/>
        <v>5.282575563539182</v>
      </c>
      <c r="FF56" s="26">
        <f t="shared" si="130"/>
        <v>4.4808044802883842</v>
      </c>
      <c r="FG56" s="26">
        <f t="shared" si="130"/>
        <v>3.6492222410263957</v>
      </c>
      <c r="FH56" s="26">
        <f t="shared" si="130"/>
        <v>2.7865847009910221</v>
      </c>
      <c r="FI56" s="26">
        <f t="shared" si="130"/>
        <v>1.8917321826216305</v>
      </c>
      <c r="FJ56" s="26">
        <f t="shared" si="157"/>
        <v>0.96335533392228856</v>
      </c>
      <c r="FK56" s="26">
        <f t="shared" si="157"/>
        <v>0</v>
      </c>
      <c r="FL56" s="26">
        <f t="shared" si="157"/>
        <v>-1.0000000000000031</v>
      </c>
      <c r="FM56" s="26">
        <f t="shared" si="157"/>
        <v>-2.0384246391586651</v>
      </c>
      <c r="FN56" s="26">
        <f t="shared" si="157"/>
        <v>-3.1172016201237809</v>
      </c>
      <c r="FO56" s="26">
        <f t="shared" si="157"/>
        <v>-4.238463557838986</v>
      </c>
      <c r="FP56" s="26">
        <f t="shared" si="158"/>
        <v>-5.4046092581730978</v>
      </c>
      <c r="FQ56" s="26">
        <f t="shared" si="158"/>
        <v>-6.6183292652693941</v>
      </c>
      <c r="FR56" s="26">
        <f t="shared" si="158"/>
        <v>-7.8828003614744055</v>
      </c>
      <c r="FS56" s="26">
        <f t="shared" si="158"/>
        <v>-9.2011764042084376</v>
      </c>
      <c r="FT56" s="26">
        <f t="shared" si="159"/>
        <v>-10.5771013773244</v>
      </c>
      <c r="FU56" s="26">
        <f t="shared" si="143"/>
        <v>-12.014434102348647</v>
      </c>
      <c r="FV56" s="26">
        <f t="shared" si="131"/>
        <v>-13.517422351242701</v>
      </c>
      <c r="FW56" s="26">
        <f t="shared" si="131"/>
        <v>-15.090278276581198</v>
      </c>
      <c r="FX56" s="26">
        <f t="shared" si="39"/>
        <v>5324164.9250815194</v>
      </c>
      <c r="FY56" s="26">
        <f t="shared" si="40"/>
        <v>263021.81415063736</v>
      </c>
      <c r="FZ56" s="26">
        <f t="shared" si="132"/>
        <v>0.80073933847708145</v>
      </c>
      <c r="GA56" s="26">
        <f t="shared" si="160"/>
        <v>0.83078712288746503</v>
      </c>
      <c r="GB56" s="26">
        <f t="shared" si="132"/>
        <v>0.86201350366399843</v>
      </c>
      <c r="GC56" s="26">
        <f t="shared" si="132"/>
        <v>0.89446104661022097</v>
      </c>
      <c r="GD56" s="26">
        <f t="shared" si="132"/>
        <v>0.9282121565026622</v>
      </c>
      <c r="GE56" s="26">
        <f t="shared" si="161"/>
        <v>0.96335533392229333</v>
      </c>
      <c r="GF56" s="26">
        <f t="shared" si="161"/>
        <v>1</v>
      </c>
      <c r="GG56" s="26">
        <f t="shared" si="161"/>
        <v>1.038214555527575</v>
      </c>
      <c r="GH56" s="26">
        <f t="shared" si="161"/>
        <v>1.0781075751929936</v>
      </c>
      <c r="GI56" s="26">
        <f t="shared" si="161"/>
        <v>1.1197721323700409</v>
      </c>
      <c r="GJ56" s="26">
        <f t="shared" si="161"/>
        <v>1.1633322722384662</v>
      </c>
      <c r="GK56" s="26">
        <f t="shared" si="162"/>
        <v>1.2089343288457151</v>
      </c>
      <c r="GL56" s="26">
        <f t="shared" si="162"/>
        <v>1.2567404589464495</v>
      </c>
      <c r="GM56" s="26">
        <f t="shared" si="162"/>
        <v>1.3069603125531482</v>
      </c>
      <c r="GN56" s="26">
        <f t="shared" si="162"/>
        <v>1.3597467378386006</v>
      </c>
      <c r="GO56" s="26">
        <f t="shared" si="163"/>
        <v>1.4153008032549201</v>
      </c>
      <c r="GP56" s="26">
        <f t="shared" si="140"/>
        <v>1.4738194214411298</v>
      </c>
      <c r="GQ56" s="26">
        <f t="shared" si="134"/>
        <v>1.5355213579336531</v>
      </c>
      <c r="GR56" s="26">
        <f t="shared" si="134"/>
        <v>1.600595340644213</v>
      </c>
      <c r="GS56" s="26">
        <f t="shared" si="134"/>
        <v>1.669219898573896</v>
      </c>
      <c r="GT56" s="26">
        <f t="shared" si="134"/>
        <v>1.7415923721607063</v>
      </c>
      <c r="GU56" s="26">
        <f t="shared" si="135"/>
        <v>5.4818362250621009</v>
      </c>
      <c r="GV56" s="26">
        <f t="shared" si="164"/>
        <v>4.6500173574009249</v>
      </c>
      <c r="GW56" s="26">
        <f t="shared" si="135"/>
        <v>3.7872087373624015</v>
      </c>
      <c r="GX56" s="26">
        <f t="shared" si="135"/>
        <v>2.8921236543808067</v>
      </c>
      <c r="GY56" s="26">
        <f t="shared" si="135"/>
        <v>1.9635200261189734</v>
      </c>
      <c r="GZ56" s="26">
        <f t="shared" si="165"/>
        <v>0.99999999999999745</v>
      </c>
      <c r="HA56" s="26">
        <f t="shared" si="165"/>
        <v>0</v>
      </c>
      <c r="HB56" s="26">
        <f t="shared" si="165"/>
        <v>-1.0382145555275699</v>
      </c>
      <c r="HC56" s="26">
        <f t="shared" si="165"/>
        <v>-2.1165322143516545</v>
      </c>
      <c r="HD56" s="26">
        <f t="shared" si="165"/>
        <v>-3.2369737524938182</v>
      </c>
      <c r="HE56" s="26">
        <f t="shared" si="165"/>
        <v>-4.4017958300774422</v>
      </c>
      <c r="HF56" s="26">
        <f t="shared" si="166"/>
        <v>-5.6135435870188068</v>
      </c>
      <c r="HG56" s="26">
        <f t="shared" si="166"/>
        <v>-6.875069724215833</v>
      </c>
      <c r="HH56" s="26">
        <f t="shared" si="166"/>
        <v>-8.1897606740275481</v>
      </c>
      <c r="HI56" s="26">
        <f t="shared" si="166"/>
        <v>-9.5609231420470326</v>
      </c>
      <c r="HJ56" s="26">
        <f t="shared" si="167"/>
        <v>-10.992402180579312</v>
      </c>
      <c r="HK56" s="26">
        <f t="shared" si="141"/>
        <v>-12.488253523789769</v>
      </c>
      <c r="HL56" s="26">
        <f t="shared" si="137"/>
        <v>-14.052943709176347</v>
      </c>
      <c r="HM56" s="26">
        <f t="shared" si="137"/>
        <v>-15.690873617225401</v>
      </c>
      <c r="HN56" s="26">
        <f t="shared" si="137"/>
        <v>-17.406484736636319</v>
      </c>
      <c r="HO56" s="26">
        <f t="shared" si="137"/>
        <v>-19.204535869124218</v>
      </c>
      <c r="HP56" s="26">
        <f t="shared" si="44"/>
        <v>518925.40164931188</v>
      </c>
      <c r="HQ56" s="26">
        <f t="shared" si="45"/>
        <v>535650.26970416075</v>
      </c>
      <c r="HR56" s="26">
        <f t="shared" si="46"/>
        <v>553171.87152873806</v>
      </c>
      <c r="HS56" s="26">
        <f t="shared" si="47"/>
        <v>571541.57871703163</v>
      </c>
      <c r="HT56" s="26">
        <f t="shared" si="48"/>
        <v>590799.86936126335</v>
      </c>
      <c r="HU56" s="26">
        <f t="shared" si="49"/>
        <v>611001.54561370926</v>
      </c>
      <c r="HV56" s="26">
        <f t="shared" si="50"/>
        <v>632215.9078880985</v>
      </c>
      <c r="HW56" s="26">
        <f t="shared" si="51"/>
        <v>654530.85645731632</v>
      </c>
      <c r="HX56" s="26">
        <f t="shared" si="52"/>
        <v>678046.03932339221</v>
      </c>
      <c r="HY56" s="26">
        <f t="shared" si="53"/>
        <v>702873.4287494832</v>
      </c>
      <c r="HZ56" s="26">
        <f t="shared" si="54"/>
        <v>729146.55833714432</v>
      </c>
      <c r="IA56" s="26">
        <f t="shared" si="55"/>
        <v>757027.01750425552</v>
      </c>
      <c r="IB56" s="26">
        <f t="shared" si="56"/>
        <v>786706.90362027509</v>
      </c>
      <c r="IC56" s="26">
        <f t="shared" si="57"/>
        <v>818433.19303632656</v>
      </c>
      <c r="ID56" s="26">
        <f t="shared" si="58"/>
        <v>852442.12890461402</v>
      </c>
      <c r="IE56" s="26">
        <f t="shared" si="59"/>
        <v>889025.00234122388</v>
      </c>
      <c r="IF56" s="26">
        <f t="shared" si="60"/>
        <v>928492.82668861747</v>
      </c>
      <c r="IG56" s="26">
        <f t="shared" si="61"/>
        <v>971197.97832462634</v>
      </c>
      <c r="IH56" s="26">
        <f t="shared" si="62"/>
        <v>1017481.4798350609</v>
      </c>
      <c r="II56" s="26">
        <f t="shared" si="63"/>
        <v>-610334449416.85315</v>
      </c>
      <c r="IJ56" s="26">
        <f t="shared" si="64"/>
        <v>538812.81363691122</v>
      </c>
      <c r="IK56" s="26">
        <f t="shared" si="65"/>
        <v>555183.29749308655</v>
      </c>
      <c r="IL56" s="26">
        <f t="shared" si="66"/>
        <v>572421.62769778562</v>
      </c>
      <c r="IM56" s="26">
        <f t="shared" si="67"/>
        <v>590585.85440213198</v>
      </c>
      <c r="IN56" s="26">
        <f t="shared" si="68"/>
        <v>609723.25538989762</v>
      </c>
      <c r="IO56" s="26">
        <f t="shared" si="69"/>
        <v>629896.20194603992</v>
      </c>
      <c r="IP56" s="26">
        <f t="shared" si="70"/>
        <v>651182.38512474147</v>
      </c>
      <c r="IQ56" s="26">
        <f t="shared" si="71"/>
        <v>673679.09467466269</v>
      </c>
      <c r="IR56" s="26">
        <f t="shared" si="72"/>
        <v>697496.22916853637</v>
      </c>
      <c r="IS56" s="26">
        <f t="shared" si="73"/>
        <v>722756.95710585476</v>
      </c>
      <c r="IT56" s="26">
        <f t="shared" si="74"/>
        <v>749607.25418813108</v>
      </c>
      <c r="IU56" s="26">
        <f t="shared" si="75"/>
        <v>778222.66384244768</v>
      </c>
      <c r="IV56" s="26">
        <f t="shared" si="76"/>
        <v>808810.92182717647</v>
      </c>
      <c r="IW56" s="26">
        <f t="shared" si="77"/>
        <v>841637.13406591606</v>
      </c>
      <c r="IX56" s="26">
        <f t="shared" si="78"/>
        <v>876956.44325763604</v>
      </c>
      <c r="IY56" s="26">
        <f t="shared" si="79"/>
        <v>915081.76839086483</v>
      </c>
      <c r="IZ56" s="26">
        <f t="shared" si="80"/>
        <v>956347.61148927605</v>
      </c>
      <c r="JA56" s="26">
        <f t="shared" si="81"/>
        <v>1001132.4673550944</v>
      </c>
      <c r="JB56" s="26">
        <f t="shared" si="82"/>
        <v>1049804.641492272</v>
      </c>
      <c r="JC56" s="26">
        <f t="shared" si="83"/>
        <v>-628644479880.24158</v>
      </c>
      <c r="JD56" s="26">
        <f t="shared" si="84"/>
        <v>154460.71052491828</v>
      </c>
      <c r="JE56" s="26">
        <f t="shared" si="85"/>
        <v>246052.93571669405</v>
      </c>
      <c r="JF56" s="26">
        <f t="shared" si="86"/>
        <v>341352.53255855804</v>
      </c>
      <c r="JG56" s="26">
        <f t="shared" si="87"/>
        <v>440513.8172406198</v>
      </c>
      <c r="JH56" s="26">
        <f t="shared" si="88"/>
        <v>543719.62320050446</v>
      </c>
      <c r="JI56" s="26">
        <f t="shared" si="89"/>
        <v>651182.38512474147</v>
      </c>
      <c r="JJ56" s="26">
        <f t="shared" si="90"/>
        <v>763148.87307384552</v>
      </c>
      <c r="JK56" s="26">
        <f t="shared" si="91"/>
        <v>879891.73420607462</v>
      </c>
      <c r="JL56" s="26">
        <f t="shared" si="92"/>
        <v>1001708.2805848703</v>
      </c>
      <c r="JM56" s="26">
        <f t="shared" si="93"/>
        <v>1128938.9591605701</v>
      </c>
      <c r="JN56" s="26">
        <f t="shared" si="94"/>
        <v>1261978.6448106705</v>
      </c>
      <c r="JO56" s="26">
        <f t="shared" si="95"/>
        <v>1401280.90929711</v>
      </c>
      <c r="JP56" s="26">
        <f t="shared" si="96"/>
        <v>1547402.689698342</v>
      </c>
      <c r="JQ56" s="26">
        <f t="shared" si="97"/>
        <v>1700884.0892882659</v>
      </c>
      <c r="JR56" s="26">
        <f t="shared" si="98"/>
        <v>1862369.3805081556</v>
      </c>
      <c r="JS56" s="26">
        <f t="shared" si="99"/>
        <v>2032542.5746763579</v>
      </c>
      <c r="JT56" s="26">
        <f t="shared" si="100"/>
        <v>2212167.0775155094</v>
      </c>
      <c r="JU56" s="26">
        <f t="shared" si="101"/>
        <v>2401990.4473533444</v>
      </c>
      <c r="JV56" s="26">
        <f t="shared" si="102"/>
        <v>-628642979848.93896</v>
      </c>
      <c r="JW56" s="26">
        <f t="shared" si="103"/>
        <v>1809441.9081219649</v>
      </c>
      <c r="JX56" s="26" t="e">
        <f>AH56+$AG$38*0.004*(1+$R$28)*#REF!-S56*#REF!</f>
        <v>#REF!</v>
      </c>
      <c r="JY56" s="34">
        <f t="shared" si="104"/>
        <v>5.1894837547061659E-2</v>
      </c>
      <c r="JZ56" s="4">
        <f t="shared" si="105"/>
        <v>47166.991505539976</v>
      </c>
      <c r="KA56" s="165"/>
    </row>
    <row r="57" spans="1:287" ht="15.75" x14ac:dyDescent="0.3">
      <c r="A57" s="34">
        <v>56</v>
      </c>
      <c r="B57" s="34">
        <v>29</v>
      </c>
      <c r="C57" s="2">
        <v>968166</v>
      </c>
      <c r="D57" s="1">
        <f t="shared" si="106"/>
        <v>1885</v>
      </c>
      <c r="E57" s="145">
        <f t="shared" si="107"/>
        <v>0.99805301983337569</v>
      </c>
      <c r="F57" s="146">
        <f t="shared" si="108"/>
        <v>1.9469801666243125E-3</v>
      </c>
      <c r="G57" s="158">
        <f t="shared" si="3"/>
        <v>2.4337252082803906E-3</v>
      </c>
      <c r="H57" s="43">
        <f t="shared" si="109"/>
        <v>2337.2457894401641</v>
      </c>
      <c r="I57" s="43">
        <f t="shared" si="139"/>
        <v>960357.30800175399</v>
      </c>
      <c r="J57" s="43">
        <f t="shared" si="110"/>
        <v>967223.5</v>
      </c>
      <c r="K57" s="147">
        <f>SUM(J57:$J$138)</f>
        <v>44906454</v>
      </c>
      <c r="L57" s="147">
        <f t="shared" si="111"/>
        <v>46.383010764682915</v>
      </c>
      <c r="M57" s="43">
        <f t="shared" si="4"/>
        <v>1209029.375</v>
      </c>
      <c r="N57" s="148">
        <f t="shared" si="5"/>
        <v>56133067.5</v>
      </c>
      <c r="O57" s="147">
        <f t="shared" si="6"/>
        <v>57.978763455853645</v>
      </c>
      <c r="P57" s="157">
        <f t="shared" si="7"/>
        <v>354129.98544085148</v>
      </c>
      <c r="Q57" s="43">
        <f t="shared" si="8"/>
        <v>1210207.5</v>
      </c>
      <c r="R57" s="43">
        <f t="shared" si="9"/>
        <v>847.15731881688737</v>
      </c>
      <c r="S57" s="43">
        <f>SUM(R57:$R$138)</f>
        <v>91167.860609376687</v>
      </c>
      <c r="T57" s="43">
        <f t="shared" si="112"/>
        <v>3224778.567039419</v>
      </c>
      <c r="U57" s="153">
        <f>SUM(P57:$P$138)</f>
        <v>7822141.6503789313</v>
      </c>
      <c r="V57" s="129">
        <f t="shared" si="10"/>
        <v>5597293.2575317528</v>
      </c>
      <c r="W57" s="43">
        <f t="shared" si="113"/>
        <v>273128.33245023253</v>
      </c>
      <c r="X57" s="26">
        <f t="shared" si="114"/>
        <v>6.2825755635391785</v>
      </c>
      <c r="Y57" s="26">
        <f t="shared" si="115"/>
        <v>0.77126576025528837</v>
      </c>
      <c r="Z57" s="43">
        <f t="shared" si="11"/>
        <v>85302.60278943798</v>
      </c>
      <c r="AA57" s="149">
        <f t="shared" si="116"/>
        <v>1.6562443343048537E-2</v>
      </c>
      <c r="AB57" s="150">
        <f t="shared" si="138"/>
        <v>7468011.6649380811</v>
      </c>
      <c r="AC57" s="150">
        <f t="shared" si="117"/>
        <v>5324164.9250815194</v>
      </c>
      <c r="AD57" s="26">
        <f t="shared" si="118"/>
        <v>6.0538413237944724</v>
      </c>
      <c r="AE57" s="26">
        <f t="shared" si="12"/>
        <v>520795.73460863723</v>
      </c>
      <c r="AF57" s="43">
        <f t="shared" si="119"/>
        <v>82895.259968072089</v>
      </c>
      <c r="AG57" s="43">
        <f t="shared" si="13"/>
        <v>541719.89424783818</v>
      </c>
      <c r="AH57" s="27">
        <f t="shared" si="14"/>
        <v>90068.569829313972</v>
      </c>
      <c r="AI57" s="28">
        <f t="shared" si="120"/>
        <v>582494.50994391204</v>
      </c>
      <c r="AJ57" s="20">
        <f t="shared" si="15"/>
        <v>96847.92454764944</v>
      </c>
      <c r="AK57" s="3">
        <f t="shared" si="16"/>
        <v>8393.4867941296179</v>
      </c>
      <c r="AL57" s="3"/>
      <c r="AM57" s="46">
        <f t="shared" si="121"/>
        <v>7468011.6649380811</v>
      </c>
      <c r="AN57" s="46">
        <f t="shared" si="122"/>
        <v>7126689.7998479586</v>
      </c>
      <c r="AO57" s="46">
        <f t="shared" si="122"/>
        <v>6797732.2961992268</v>
      </c>
      <c r="AP57" s="3">
        <f t="shared" si="147"/>
        <v>6480708.0821750965</v>
      </c>
      <c r="AQ57" s="3">
        <f t="shared" si="147"/>
        <v>6175211.3180029579</v>
      </c>
      <c r="AR57" s="16">
        <f t="shared" si="147"/>
        <v>5880859.0678085573</v>
      </c>
      <c r="AS57" s="16">
        <f t="shared" si="147"/>
        <v>5597293.2575317528</v>
      </c>
      <c r="AT57" s="16">
        <f t="shared" si="147"/>
        <v>5324164.9250815194</v>
      </c>
      <c r="AU57" s="16">
        <f t="shared" si="147"/>
        <v>5061143.1109308824</v>
      </c>
      <c r="AV57" s="16">
        <f t="shared" si="147"/>
        <v>4807907.8302165577</v>
      </c>
      <c r="AW57" s="16">
        <f t="shared" si="147"/>
        <v>4564154.762375352</v>
      </c>
      <c r="AX57" s="16">
        <f t="shared" si="147"/>
        <v>4329596.2727115229</v>
      </c>
      <c r="AY57" s="16">
        <f t="shared" si="147"/>
        <v>4103960.3363030413</v>
      </c>
      <c r="AZ57" s="16">
        <f t="shared" si="147"/>
        <v>3886994.4441078454</v>
      </c>
      <c r="BA57" s="16">
        <f t="shared" si="147"/>
        <v>3678451.3364938861</v>
      </c>
      <c r="BB57" s="16">
        <f t="shared" si="147"/>
        <v>3478094.06288487</v>
      </c>
      <c r="BC57" s="16">
        <f t="shared" si="144"/>
        <v>3285692.0588459154</v>
      </c>
      <c r="BD57" s="16">
        <f t="shared" si="18"/>
        <v>3101021.3547806852</v>
      </c>
      <c r="BE57" s="16">
        <f t="shared" si="18"/>
        <v>2923858.6434593615</v>
      </c>
      <c r="BF57" s="16">
        <f t="shared" si="18"/>
        <v>2753979.4019531519</v>
      </c>
      <c r="BG57" s="16">
        <f t="shared" si="18"/>
        <v>2591159.5511030932</v>
      </c>
      <c r="BH57" s="172">
        <f t="shared" si="123"/>
        <v>341321.86509012192</v>
      </c>
      <c r="BI57" s="16">
        <f t="shared" si="148"/>
        <v>328957.50364873186</v>
      </c>
      <c r="BJ57" s="16">
        <f t="shared" si="148"/>
        <v>317024.21402412985</v>
      </c>
      <c r="BK57" s="16">
        <f t="shared" si="148"/>
        <v>305496.76417213847</v>
      </c>
      <c r="BL57" s="16">
        <f t="shared" si="148"/>
        <v>294352.25019440131</v>
      </c>
      <c r="BM57" s="16">
        <f t="shared" si="148"/>
        <v>283565.81027680589</v>
      </c>
      <c r="BN57" s="16">
        <f t="shared" si="148"/>
        <v>273128.33245023253</v>
      </c>
      <c r="BO57" s="16">
        <f t="shared" si="148"/>
        <v>263021.81415063736</v>
      </c>
      <c r="BP57" s="16">
        <f t="shared" si="148"/>
        <v>253235.28071432526</v>
      </c>
      <c r="BQ57" s="16">
        <f t="shared" si="148"/>
        <v>243753.06784120487</v>
      </c>
      <c r="BR57" s="16">
        <f t="shared" si="148"/>
        <v>234558.48966382915</v>
      </c>
      <c r="BS57" s="16">
        <f t="shared" si="148"/>
        <v>225635.93640848066</v>
      </c>
      <c r="BT57" s="16">
        <f t="shared" si="148"/>
        <v>216965.89219519592</v>
      </c>
      <c r="BU57" s="16">
        <f t="shared" si="148"/>
        <v>208543.10761395967</v>
      </c>
      <c r="BV57" s="16">
        <f t="shared" si="148"/>
        <v>200357.2736090158</v>
      </c>
      <c r="BW57" s="16">
        <f t="shared" si="148"/>
        <v>192402.00403895453</v>
      </c>
      <c r="BX57" s="16">
        <f t="shared" si="148"/>
        <v>184670.70406523009</v>
      </c>
      <c r="BY57" s="16">
        <f t="shared" si="149"/>
        <v>177162.71132132332</v>
      </c>
      <c r="BZ57" s="16">
        <f t="shared" si="149"/>
        <v>169879.2415062098</v>
      </c>
      <c r="CA57" s="16">
        <f t="shared" si="149"/>
        <v>162819.85085005857</v>
      </c>
      <c r="CB57" s="16">
        <f t="shared" si="149"/>
        <v>155981.78985652846</v>
      </c>
      <c r="CC57" s="18">
        <f t="shared" si="124"/>
        <v>5.480804480288386</v>
      </c>
      <c r="CD57" s="18">
        <f t="shared" si="124"/>
        <v>4.6492222410263953</v>
      </c>
      <c r="CE57" s="18">
        <f t="shared" si="124"/>
        <v>3.7865847009910234</v>
      </c>
      <c r="CF57" s="18">
        <f t="shared" si="124"/>
        <v>2.8917321826216309</v>
      </c>
      <c r="CG57" s="18">
        <f t="shared" si="124"/>
        <v>1.963355333922286</v>
      </c>
      <c r="CH57" s="18">
        <f t="shared" si="150"/>
        <v>0.99999999999999512</v>
      </c>
      <c r="CI57" s="18">
        <f t="shared" si="150"/>
        <v>0</v>
      </c>
      <c r="CJ57" s="18">
        <f t="shared" si="150"/>
        <v>-1.0384246391586662</v>
      </c>
      <c r="CK57" s="18">
        <f t="shared" si="150"/>
        <v>-2.1172016201237831</v>
      </c>
      <c r="CL57" s="18">
        <f t="shared" si="151"/>
        <v>-3.238463557838982</v>
      </c>
      <c r="CM57" s="18">
        <f t="shared" si="151"/>
        <v>-4.4046092581730978</v>
      </c>
      <c r="CN57" s="18">
        <f t="shared" si="151"/>
        <v>-5.6183292652693897</v>
      </c>
      <c r="CO57" s="18">
        <f t="shared" si="151"/>
        <v>-6.8828003614744064</v>
      </c>
      <c r="CP57" s="18">
        <f t="shared" si="152"/>
        <v>-8.2011764042084394</v>
      </c>
      <c r="CQ57" s="18">
        <f t="shared" si="153"/>
        <v>-9.5771013773244</v>
      </c>
      <c r="CR57" s="18">
        <f t="shared" si="154"/>
        <v>-11.014434102348647</v>
      </c>
      <c r="CS57" s="18">
        <f t="shared" si="142"/>
        <v>-12.517422351242701</v>
      </c>
      <c r="CT57" s="18">
        <f t="shared" si="125"/>
        <v>-14.090278276581197</v>
      </c>
      <c r="CU57" s="18">
        <f t="shared" si="125"/>
        <v>-15.73726483806243</v>
      </c>
      <c r="CV57" s="18">
        <f t="shared" si="125"/>
        <v>-17.462943496963522</v>
      </c>
      <c r="CW57" s="18">
        <f t="shared" si="22"/>
        <v>-19.272337554234323</v>
      </c>
      <c r="CX57" s="17">
        <f t="shared" si="23"/>
        <v>836.33875654471524</v>
      </c>
      <c r="CY57" s="17">
        <f t="shared" si="126"/>
        <v>823.16070911830457</v>
      </c>
      <c r="CZ57" s="17">
        <f t="shared" si="126"/>
        <v>820.82225237662601</v>
      </c>
      <c r="DA57" s="17">
        <f t="shared" si="126"/>
        <v>827.82290946077819</v>
      </c>
      <c r="DB57" s="17">
        <f t="shared" si="126"/>
        <v>846.94253061615575</v>
      </c>
      <c r="DC57" s="17">
        <f t="shared" si="126"/>
        <v>863.01334300521671</v>
      </c>
      <c r="DD57" s="17">
        <f t="shared" si="126"/>
        <v>885.39366910186175</v>
      </c>
      <c r="DE57" s="17">
        <f t="shared" si="126"/>
        <v>907.55302244505697</v>
      </c>
      <c r="DF57" s="3" t="e">
        <f>#REF!+$AG$35*0.004*(1+$R$28)*#REF!-S57*#REF!</f>
        <v>#REF!</v>
      </c>
      <c r="DG57" s="19">
        <f t="shared" si="25"/>
        <v>1735.4640027333096</v>
      </c>
      <c r="DH57" s="19">
        <f t="shared" si="26"/>
        <v>1585.8649995345158</v>
      </c>
      <c r="DI57" s="19">
        <f t="shared" si="27"/>
        <v>1442.0109690581189</v>
      </c>
      <c r="DJ57" s="19">
        <f t="shared" si="28"/>
        <v>1302.2111894956004</v>
      </c>
      <c r="DK57" s="19">
        <f t="shared" si="29"/>
        <v>1169.0307120715322</v>
      </c>
      <c r="DL57" s="19">
        <f t="shared" si="30"/>
        <v>1027.0632100315406</v>
      </c>
      <c r="DM57" s="19">
        <f t="shared" si="31"/>
        <v>885.39366910186175</v>
      </c>
      <c r="DN57" s="19">
        <f t="shared" si="32"/>
        <v>737.19959847421853</v>
      </c>
      <c r="DO57" s="173">
        <f t="shared" si="127"/>
        <v>90320.703290559817</v>
      </c>
      <c r="DP57" s="25">
        <f t="shared" si="155"/>
        <v>89484.364534015098</v>
      </c>
      <c r="DQ57" s="26">
        <f t="shared" si="155"/>
        <v>88661.203824896802</v>
      </c>
      <c r="DR57" s="26">
        <f t="shared" si="155"/>
        <v>87840.381572520157</v>
      </c>
      <c r="DS57" s="26">
        <f t="shared" si="155"/>
        <v>87012.558663059375</v>
      </c>
      <c r="DT57" s="26">
        <f t="shared" si="155"/>
        <v>86165.616132443218</v>
      </c>
      <c r="DU57" s="26">
        <f t="shared" si="155"/>
        <v>85302.60278943798</v>
      </c>
      <c r="DV57" s="26">
        <f t="shared" si="155"/>
        <v>84417.209120336134</v>
      </c>
      <c r="DW57" s="26">
        <f t="shared" si="155"/>
        <v>83509.656097891071</v>
      </c>
      <c r="DX57" s="26">
        <f t="shared" si="155"/>
        <v>82575.016132919322</v>
      </c>
      <c r="DY57" s="26">
        <f t="shared" si="155"/>
        <v>81606.783444357046</v>
      </c>
      <c r="DZ57" s="26">
        <f t="shared" si="155"/>
        <v>80598.972968603455</v>
      </c>
      <c r="EA57" s="26">
        <f t="shared" si="155"/>
        <v>79541.088741864602</v>
      </c>
      <c r="EB57" s="26">
        <f t="shared" si="155"/>
        <v>78436.477379158212</v>
      </c>
      <c r="EC57" s="26">
        <f t="shared" si="155"/>
        <v>77283.157471351093</v>
      </c>
      <c r="ED57" s="26">
        <f t="shared" si="155"/>
        <v>76082.783920534741</v>
      </c>
      <c r="EE57" s="26">
        <f t="shared" si="145"/>
        <v>74836.579607665073</v>
      </c>
      <c r="EF57" s="26">
        <f t="shared" si="34"/>
        <v>73551.575928090766</v>
      </c>
      <c r="EG57" s="26">
        <f t="shared" si="34"/>
        <v>72236.692138670856</v>
      </c>
      <c r="EH57" s="26">
        <f t="shared" si="34"/>
        <v>70899.201060349529</v>
      </c>
      <c r="EI57" s="26">
        <f t="shared" si="34"/>
        <v>69544.014517296338</v>
      </c>
      <c r="EJ57" s="26">
        <f t="shared" si="128"/>
        <v>1.4701960273763498E-2</v>
      </c>
      <c r="EK57" s="26">
        <f t="shared" si="128"/>
        <v>1.2712164027857215E-2</v>
      </c>
      <c r="EL57" s="26">
        <f t="shared" si="156"/>
        <v>1.0594146714620311E-2</v>
      </c>
      <c r="EM57" s="26">
        <f t="shared" si="156"/>
        <v>8.3070561809689483E-3</v>
      </c>
      <c r="EN57" s="26">
        <f t="shared" si="156"/>
        <v>5.8092162451351247E-3</v>
      </c>
      <c r="EO57" s="26">
        <f t="shared" si="156"/>
        <v>3.0434322888319909E-3</v>
      </c>
      <c r="EP57" s="26">
        <f t="shared" si="156"/>
        <v>0</v>
      </c>
      <c r="EQ57" s="26">
        <f t="shared" si="156"/>
        <v>-3.3662366445193978E-3</v>
      </c>
      <c r="ER57" s="26">
        <f t="shared" si="156"/>
        <v>-7.0801615260297499E-3</v>
      </c>
      <c r="ES57" s="26">
        <f t="shared" si="156"/>
        <v>-1.1189958266681467E-2</v>
      </c>
      <c r="ET57" s="26">
        <f t="shared" si="156"/>
        <v>-1.5756493616486907E-2</v>
      </c>
      <c r="EU57" s="26">
        <f t="shared" si="156"/>
        <v>-2.0846102335043366E-2</v>
      </c>
      <c r="EV57" s="26">
        <f t="shared" si="156"/>
        <v>-2.6554929852245921E-2</v>
      </c>
      <c r="EW57" s="26">
        <f t="shared" si="156"/>
        <v>-3.2924249997222911E-2</v>
      </c>
      <c r="EX57" s="26">
        <f t="shared" si="156"/>
        <v>-4.0025725912682934E-2</v>
      </c>
      <c r="EY57" s="26">
        <f t="shared" si="156"/>
        <v>-4.7919557360933493E-2</v>
      </c>
      <c r="EZ57" s="26">
        <f t="shared" si="146"/>
        <v>-5.6673976713036513E-2</v>
      </c>
      <c r="FA57" s="26">
        <f t="shared" si="37"/>
        <v>-6.6329007801388618E-2</v>
      </c>
      <c r="FB57" s="26">
        <f t="shared" si="37"/>
        <v>-7.6912932592117261E-2</v>
      </c>
      <c r="FC57" s="26">
        <f t="shared" si="37"/>
        <v>-8.84621970471684E-2</v>
      </c>
      <c r="FD57" s="26">
        <f t="shared" si="37"/>
        <v>-0.1010283847020626</v>
      </c>
      <c r="FE57" s="26">
        <f t="shared" si="130"/>
        <v>5.2810120274319496</v>
      </c>
      <c r="FF57" s="26">
        <f t="shared" si="130"/>
        <v>4.479506789701369</v>
      </c>
      <c r="FG57" s="26">
        <f t="shared" si="130"/>
        <v>3.6481224648838606</v>
      </c>
      <c r="FH57" s="26">
        <f t="shared" si="130"/>
        <v>2.7857787470439415</v>
      </c>
      <c r="FI57" s="26">
        <f t="shared" si="130"/>
        <v>1.891251527241175</v>
      </c>
      <c r="FJ57" s="26">
        <f t="shared" si="157"/>
        <v>0.96319204414529447</v>
      </c>
      <c r="FK57" s="26">
        <f t="shared" si="157"/>
        <v>0</v>
      </c>
      <c r="FL57" s="26">
        <f t="shared" si="157"/>
        <v>-0.99999999999999867</v>
      </c>
      <c r="FM57" s="26">
        <f t="shared" si="157"/>
        <v>-2.0386460109693458</v>
      </c>
      <c r="FN57" s="26">
        <f t="shared" si="157"/>
        <v>-3.1179511685214272</v>
      </c>
      <c r="FO57" s="26">
        <f t="shared" si="157"/>
        <v>-4.2401733307347742</v>
      </c>
      <c r="FP57" s="26">
        <f t="shared" si="158"/>
        <v>-5.4078468536566682</v>
      </c>
      <c r="FQ57" s="26">
        <f t="shared" si="158"/>
        <v>-6.6239465864095664</v>
      </c>
      <c r="FR57" s="26">
        <f t="shared" si="158"/>
        <v>-7.8914791642697804</v>
      </c>
      <c r="FS57" s="26">
        <f t="shared" si="158"/>
        <v>-9.2138949035568167</v>
      </c>
      <c r="FT57" s="26">
        <f t="shared" si="159"/>
        <v>-10.59486296110973</v>
      </c>
      <c r="FU57" s="26">
        <f t="shared" si="143"/>
        <v>-12.038420395665828</v>
      </c>
      <c r="FV57" s="26">
        <f t="shared" si="131"/>
        <v>-13.548597578576665</v>
      </c>
      <c r="FW57" s="26">
        <f t="shared" si="131"/>
        <v>-15.129485511827037</v>
      </c>
      <c r="FX57" s="26">
        <f t="shared" si="39"/>
        <v>5061143.1109308824</v>
      </c>
      <c r="FY57" s="26">
        <f t="shared" si="40"/>
        <v>253235.28071432526</v>
      </c>
      <c r="FZ57" s="26">
        <f t="shared" si="132"/>
        <v>0.80020754714356279</v>
      </c>
      <c r="GA57" s="26">
        <f t="shared" si="160"/>
        <v>0.83028454867497126</v>
      </c>
      <c r="GB57" s="26">
        <f t="shared" si="132"/>
        <v>0.86153776389283554</v>
      </c>
      <c r="GC57" s="26">
        <f t="shared" si="132"/>
        <v>0.89404656442230834</v>
      </c>
      <c r="GD57" s="26">
        <f t="shared" si="132"/>
        <v>0.9278961933188834</v>
      </c>
      <c r="GE57" s="26">
        <f t="shared" si="161"/>
        <v>0.96319204414529136</v>
      </c>
      <c r="GF57" s="26">
        <f t="shared" si="161"/>
        <v>1</v>
      </c>
      <c r="GG57" s="26">
        <f t="shared" si="161"/>
        <v>1.0384246391586629</v>
      </c>
      <c r="GH57" s="26">
        <f t="shared" si="161"/>
        <v>1.0785556091544315</v>
      </c>
      <c r="GI57" s="26">
        <f t="shared" si="161"/>
        <v>1.1205123893175548</v>
      </c>
      <c r="GJ57" s="26">
        <f t="shared" si="161"/>
        <v>1.16443592743832</v>
      </c>
      <c r="GK57" s="26">
        <f t="shared" si="162"/>
        <v>1.2104824116127224</v>
      </c>
      <c r="GL57" s="26">
        <f t="shared" si="162"/>
        <v>1.2588537750648356</v>
      </c>
      <c r="GM57" s="26">
        <f t="shared" si="162"/>
        <v>1.3096972399386533</v>
      </c>
      <c r="GN57" s="26">
        <f t="shared" si="162"/>
        <v>1.3632064737675793</v>
      </c>
      <c r="GO57" s="26">
        <f t="shared" si="163"/>
        <v>1.4195711412389125</v>
      </c>
      <c r="GP57" s="26">
        <f t="shared" si="140"/>
        <v>1.4790019555768688</v>
      </c>
      <c r="GQ57" s="26">
        <f t="shared" si="134"/>
        <v>1.5416806980045286</v>
      </c>
      <c r="GR57" s="26">
        <f t="shared" si="134"/>
        <v>1.6077793262353868</v>
      </c>
      <c r="GS57" s="26">
        <f t="shared" si="134"/>
        <v>1.6774879170093175</v>
      </c>
      <c r="GT57" s="26">
        <f t="shared" si="134"/>
        <v>1.7510270442559679</v>
      </c>
      <c r="GU57" s="26">
        <f t="shared" si="135"/>
        <v>5.480804480288386</v>
      </c>
      <c r="GV57" s="26">
        <f t="shared" si="164"/>
        <v>4.6492222410263953</v>
      </c>
      <c r="GW57" s="26">
        <f t="shared" si="135"/>
        <v>3.7865847009910234</v>
      </c>
      <c r="GX57" s="26">
        <f t="shared" si="135"/>
        <v>2.8917321826216309</v>
      </c>
      <c r="GY57" s="26">
        <f t="shared" si="135"/>
        <v>1.963355333922286</v>
      </c>
      <c r="GZ57" s="26">
        <f t="shared" si="165"/>
        <v>0.99999999999999512</v>
      </c>
      <c r="HA57" s="26">
        <f t="shared" si="165"/>
        <v>0</v>
      </c>
      <c r="HB57" s="26">
        <f t="shared" si="165"/>
        <v>-1.0384246391586662</v>
      </c>
      <c r="HC57" s="26">
        <f t="shared" si="165"/>
        <v>-2.1172016201237831</v>
      </c>
      <c r="HD57" s="26">
        <f t="shared" si="165"/>
        <v>-3.238463557838982</v>
      </c>
      <c r="HE57" s="26">
        <f t="shared" si="165"/>
        <v>-4.4046092581730978</v>
      </c>
      <c r="HF57" s="26">
        <f t="shared" si="166"/>
        <v>-5.6183292652693897</v>
      </c>
      <c r="HG57" s="26">
        <f t="shared" si="166"/>
        <v>-6.8828003614744064</v>
      </c>
      <c r="HH57" s="26">
        <f t="shared" si="166"/>
        <v>-8.2011764042084394</v>
      </c>
      <c r="HI57" s="26">
        <f t="shared" si="166"/>
        <v>-9.5771013773244</v>
      </c>
      <c r="HJ57" s="26">
        <f t="shared" si="167"/>
        <v>-11.014434102348647</v>
      </c>
      <c r="HK57" s="26">
        <f t="shared" si="141"/>
        <v>-12.517422351242701</v>
      </c>
      <c r="HL57" s="26">
        <f t="shared" si="137"/>
        <v>-14.090278276581197</v>
      </c>
      <c r="HM57" s="26">
        <f t="shared" si="137"/>
        <v>-15.73726483806243</v>
      </c>
      <c r="HN57" s="26">
        <f t="shared" si="137"/>
        <v>-17.462943496963522</v>
      </c>
      <c r="HO57" s="26">
        <f t="shared" si="137"/>
        <v>-19.272337554234323</v>
      </c>
      <c r="HP57" s="26">
        <f t="shared" si="44"/>
        <v>519076.71948123327</v>
      </c>
      <c r="HQ57" s="26">
        <f t="shared" si="45"/>
        <v>535772.29142334347</v>
      </c>
      <c r="HR57" s="26">
        <f t="shared" si="46"/>
        <v>553272.37944305129</v>
      </c>
      <c r="HS57" s="26">
        <f t="shared" si="47"/>
        <v>571611.39604770741</v>
      </c>
      <c r="HT57" s="26">
        <f t="shared" si="48"/>
        <v>590837.49790468754</v>
      </c>
      <c r="HU57" s="26">
        <f t="shared" si="49"/>
        <v>611011.06732377876</v>
      </c>
      <c r="HV57" s="26">
        <f t="shared" si="50"/>
        <v>632215.9078880985</v>
      </c>
      <c r="HW57" s="26">
        <f t="shared" si="51"/>
        <v>654543.10323544743</v>
      </c>
      <c r="HX57" s="26">
        <f t="shared" si="52"/>
        <v>678097.97075684206</v>
      </c>
      <c r="HY57" s="26">
        <f t="shared" si="53"/>
        <v>703003.98408468347</v>
      </c>
      <c r="HZ57" s="26">
        <f t="shared" si="54"/>
        <v>729410.26631924894</v>
      </c>
      <c r="IA57" s="26">
        <f t="shared" si="55"/>
        <v>757494.78735117754</v>
      </c>
      <c r="IB57" s="26">
        <f t="shared" si="56"/>
        <v>787485.11512162094</v>
      </c>
      <c r="IC57" s="26">
        <f t="shared" si="57"/>
        <v>819604.74650711042</v>
      </c>
      <c r="ID57" s="26">
        <f t="shared" si="58"/>
        <v>854126.8732528456</v>
      </c>
      <c r="IE57" s="26">
        <f t="shared" si="59"/>
        <v>891345.05702905753</v>
      </c>
      <c r="IF57" s="26">
        <f t="shared" si="60"/>
        <v>931591.89929930563</v>
      </c>
      <c r="IG57" s="26">
        <f t="shared" si="61"/>
        <v>975192.27012282284</v>
      </c>
      <c r="IH57" s="26">
        <f t="shared" si="62"/>
        <v>1022472.0875230381</v>
      </c>
      <c r="II57" s="26">
        <f t="shared" si="63"/>
        <v>-580183044336.92187</v>
      </c>
      <c r="IJ57" s="26">
        <f t="shared" si="64"/>
        <v>538967.85799587378</v>
      </c>
      <c r="IK57" s="26">
        <f t="shared" si="65"/>
        <v>555308.38762923284</v>
      </c>
      <c r="IL57" s="26">
        <f t="shared" si="66"/>
        <v>572524.71343847411</v>
      </c>
      <c r="IM57" s="26">
        <f t="shared" si="67"/>
        <v>590657.50933961652</v>
      </c>
      <c r="IN57" s="26">
        <f t="shared" si="68"/>
        <v>609761.91218959878</v>
      </c>
      <c r="IO57" s="26">
        <f t="shared" si="69"/>
        <v>629906.0093074115</v>
      </c>
      <c r="IP57" s="26">
        <f t="shared" si="70"/>
        <v>651182.38512474147</v>
      </c>
      <c r="IQ57" s="26">
        <f t="shared" si="71"/>
        <v>673691.6101721467</v>
      </c>
      <c r="IR57" s="26">
        <f t="shared" si="72"/>
        <v>697549.43668364151</v>
      </c>
      <c r="IS57" s="26">
        <f t="shared" si="73"/>
        <v>722890.87557456282</v>
      </c>
      <c r="IT57" s="26">
        <f t="shared" si="74"/>
        <v>749877.96983625239</v>
      </c>
      <c r="IU57" s="26">
        <f t="shared" si="75"/>
        <v>778703.17507158709</v>
      </c>
      <c r="IV57" s="26">
        <f t="shared" si="76"/>
        <v>809610.79616710078</v>
      </c>
      <c r="IW57" s="26">
        <f t="shared" si="77"/>
        <v>842841.95368963946</v>
      </c>
      <c r="IX57" s="26">
        <f t="shared" si="78"/>
        <v>878689.93806599721</v>
      </c>
      <c r="IY57" s="26">
        <f t="shared" si="79"/>
        <v>917470.19411953492</v>
      </c>
      <c r="IZ57" s="26">
        <f t="shared" si="80"/>
        <v>959539.65627828485</v>
      </c>
      <c r="JA57" s="26">
        <f t="shared" si="81"/>
        <v>1005248.7094205297</v>
      </c>
      <c r="JB57" s="26">
        <f t="shared" si="82"/>
        <v>1054950.2854506467</v>
      </c>
      <c r="JC57" s="26">
        <f t="shared" si="83"/>
        <v>-597588532638.11975</v>
      </c>
      <c r="JD57" s="26">
        <f t="shared" si="84"/>
        <v>154425.63575911929</v>
      </c>
      <c r="JE57" s="26">
        <f t="shared" si="85"/>
        <v>246023.54476398334</v>
      </c>
      <c r="JF57" s="26">
        <f t="shared" si="86"/>
        <v>341315.68506390578</v>
      </c>
      <c r="JG57" s="26">
        <f t="shared" si="87"/>
        <v>440470.09339543601</v>
      </c>
      <c r="JH57" s="26">
        <f t="shared" si="88"/>
        <v>543680.24269798177</v>
      </c>
      <c r="JI57" s="26">
        <f t="shared" si="89"/>
        <v>651182.38512474147</v>
      </c>
      <c r="JJ57" s="26">
        <f t="shared" si="90"/>
        <v>763230.57074972359</v>
      </c>
      <c r="JK57" s="26">
        <f t="shared" si="91"/>
        <v>880106.76944554213</v>
      </c>
      <c r="JL57" s="26">
        <f t="shared" si="92"/>
        <v>1002129.8784859315</v>
      </c>
      <c r="JM57" s="26">
        <f t="shared" si="93"/>
        <v>1129668.7797372211</v>
      </c>
      <c r="JN57" s="26">
        <f t="shared" si="94"/>
        <v>1263147.9230336365</v>
      </c>
      <c r="JO57" s="26">
        <f t="shared" si="95"/>
        <v>1403085.533754894</v>
      </c>
      <c r="JP57" s="26">
        <f t="shared" si="96"/>
        <v>1549994.6762416817</v>
      </c>
      <c r="JQ57" s="26">
        <f t="shared" si="97"/>
        <v>1704482.8462220225</v>
      </c>
      <c r="JR57" s="26">
        <f t="shared" si="98"/>
        <v>1867198.2183635971</v>
      </c>
      <c r="JS57" s="26">
        <f t="shared" si="99"/>
        <v>2038863.994488202</v>
      </c>
      <c r="JT57" s="26">
        <f t="shared" si="100"/>
        <v>2220193.7555589429</v>
      </c>
      <c r="JU57" s="26">
        <f t="shared" si="101"/>
        <v>2411908.010448209</v>
      </c>
      <c r="JV57" s="26">
        <f t="shared" si="102"/>
        <v>-597587026882.42944</v>
      </c>
      <c r="JW57" s="26">
        <f t="shared" si="103"/>
        <v>1816197.7157286834</v>
      </c>
      <c r="JX57" s="26" t="e">
        <f>AH57+$AG$38*0.004*(1+$R$28)*#REF!-S57*#REF!</f>
        <v>#REF!</v>
      </c>
      <c r="JY57" s="34">
        <f t="shared" si="104"/>
        <v>5.1946980166624315E-2</v>
      </c>
      <c r="JZ57" s="4">
        <f t="shared" si="105"/>
        <v>47144.980211250891</v>
      </c>
      <c r="KA57" s="165"/>
    </row>
    <row r="58" spans="1:287" ht="15.75" x14ac:dyDescent="0.3">
      <c r="A58" s="34">
        <v>57</v>
      </c>
      <c r="B58" s="34">
        <v>30</v>
      </c>
      <c r="C58" s="2">
        <v>966281</v>
      </c>
      <c r="D58" s="1">
        <f t="shared" si="106"/>
        <v>1927</v>
      </c>
      <c r="E58" s="145">
        <f t="shared" si="107"/>
        <v>0.99800575608958475</v>
      </c>
      <c r="F58" s="146">
        <f t="shared" si="108"/>
        <v>1.9942439104152498E-3</v>
      </c>
      <c r="G58" s="158">
        <f t="shared" si="3"/>
        <v>2.4928048880190623E-3</v>
      </c>
      <c r="H58" s="43">
        <f t="shared" si="109"/>
        <v>2388.1570939031822</v>
      </c>
      <c r="I58" s="43">
        <f t="shared" si="139"/>
        <v>958020.06221231387</v>
      </c>
      <c r="J58" s="43">
        <f t="shared" si="110"/>
        <v>965317.5</v>
      </c>
      <c r="K58" s="147">
        <f>SUM(J58:$J$138)</f>
        <v>43939230.5</v>
      </c>
      <c r="L58" s="147">
        <f t="shared" si="111"/>
        <v>45.472518346112572</v>
      </c>
      <c r="M58" s="43">
        <f t="shared" si="4"/>
        <v>1206646.875</v>
      </c>
      <c r="N58" s="148">
        <f t="shared" si="5"/>
        <v>54924038.125</v>
      </c>
      <c r="O58" s="147">
        <f t="shared" si="6"/>
        <v>56.840647932640714</v>
      </c>
      <c r="P58" s="157">
        <f t="shared" si="7"/>
        <v>341321.86509012192</v>
      </c>
      <c r="Q58" s="43">
        <f t="shared" si="8"/>
        <v>1207851.25</v>
      </c>
      <c r="R58" s="43">
        <f t="shared" si="9"/>
        <v>836.33875654471524</v>
      </c>
      <c r="S58" s="43">
        <f>SUM(R58:$R$138)</f>
        <v>90320.703290559817</v>
      </c>
      <c r="T58" s="43">
        <f t="shared" si="112"/>
        <v>3133610.7064300422</v>
      </c>
      <c r="U58" s="153">
        <f>SUM(P58:$P$138)</f>
        <v>7468011.6649380811</v>
      </c>
      <c r="V58" s="129">
        <f t="shared" si="10"/>
        <v>5324164.9250815194</v>
      </c>
      <c r="W58" s="43">
        <f t="shared" si="113"/>
        <v>263021.81415063736</v>
      </c>
      <c r="X58" s="26">
        <f t="shared" si="114"/>
        <v>6.2810120274319514</v>
      </c>
      <c r="Y58" s="26">
        <f t="shared" si="115"/>
        <v>0.77059761196719589</v>
      </c>
      <c r="Z58" s="43">
        <f t="shared" si="11"/>
        <v>84417.209120336134</v>
      </c>
      <c r="AA58" s="149">
        <f t="shared" si="116"/>
        <v>1.7295974193346612E-2</v>
      </c>
      <c r="AB58" s="150">
        <f t="shared" si="138"/>
        <v>7126689.7998479586</v>
      </c>
      <c r="AC58" s="150">
        <f t="shared" si="117"/>
        <v>5061143.1109308824</v>
      </c>
      <c r="AD58" s="26">
        <f t="shared" si="118"/>
        <v>6.0516096393991443</v>
      </c>
      <c r="AE58" s="26">
        <f t="shared" si="12"/>
        <v>521017.01398237847</v>
      </c>
      <c r="AF58" s="43">
        <f t="shared" si="119"/>
        <v>82951.125026805748</v>
      </c>
      <c r="AG58" s="43">
        <f t="shared" si="13"/>
        <v>541946.49292736489</v>
      </c>
      <c r="AH58" s="27">
        <f t="shared" si="14"/>
        <v>90126.11083980964</v>
      </c>
      <c r="AI58" s="28">
        <f t="shared" si="120"/>
        <v>582738.16443802684</v>
      </c>
      <c r="AJ58" s="20">
        <f t="shared" si="15"/>
        <v>96909.796601945854</v>
      </c>
      <c r="AK58" s="3">
        <f t="shared" si="16"/>
        <v>8398.8490388353075</v>
      </c>
      <c r="AL58" s="3"/>
      <c r="AM58" s="46">
        <f t="shared" si="121"/>
        <v>7126689.7998479586</v>
      </c>
      <c r="AN58" s="46">
        <f t="shared" si="122"/>
        <v>6797732.2961992268</v>
      </c>
      <c r="AO58" s="46">
        <f t="shared" si="122"/>
        <v>6480708.0821750965</v>
      </c>
      <c r="AP58" s="3">
        <f t="shared" si="147"/>
        <v>6175211.3180029579</v>
      </c>
      <c r="AQ58" s="3">
        <f t="shared" si="147"/>
        <v>5880859.0678085573</v>
      </c>
      <c r="AR58" s="16">
        <f t="shared" si="147"/>
        <v>5597293.2575317528</v>
      </c>
      <c r="AS58" s="16">
        <f t="shared" si="147"/>
        <v>5324164.9250815194</v>
      </c>
      <c r="AT58" s="16">
        <f t="shared" si="147"/>
        <v>5061143.1109308824</v>
      </c>
      <c r="AU58" s="16">
        <f t="shared" si="147"/>
        <v>4807907.8302165577</v>
      </c>
      <c r="AV58" s="16">
        <f t="shared" si="147"/>
        <v>4564154.762375352</v>
      </c>
      <c r="AW58" s="16">
        <f t="shared" si="147"/>
        <v>4329596.2727115229</v>
      </c>
      <c r="AX58" s="16">
        <f t="shared" si="147"/>
        <v>4103960.3363030413</v>
      </c>
      <c r="AY58" s="16">
        <f t="shared" si="147"/>
        <v>3886994.4441078454</v>
      </c>
      <c r="AZ58" s="16">
        <f t="shared" si="147"/>
        <v>3678451.3364938861</v>
      </c>
      <c r="BA58" s="16">
        <f t="shared" si="147"/>
        <v>3478094.06288487</v>
      </c>
      <c r="BB58" s="16">
        <f t="shared" si="147"/>
        <v>3285692.0588459154</v>
      </c>
      <c r="BC58" s="16">
        <f t="shared" si="144"/>
        <v>3101021.3547806852</v>
      </c>
      <c r="BD58" s="16">
        <f t="shared" si="18"/>
        <v>2923858.6434593615</v>
      </c>
      <c r="BE58" s="16">
        <f t="shared" si="18"/>
        <v>2753979.4019531519</v>
      </c>
      <c r="BF58" s="16">
        <f t="shared" si="18"/>
        <v>2591159.5511030932</v>
      </c>
      <c r="BG58" s="16">
        <f t="shared" si="18"/>
        <v>2435177.7612465657</v>
      </c>
      <c r="BH58" s="172">
        <f t="shared" si="123"/>
        <v>328957.50364873186</v>
      </c>
      <c r="BI58" s="16">
        <f t="shared" si="148"/>
        <v>317024.21402412985</v>
      </c>
      <c r="BJ58" s="16">
        <f t="shared" si="148"/>
        <v>305496.76417213847</v>
      </c>
      <c r="BK58" s="16">
        <f t="shared" si="148"/>
        <v>294352.25019440131</v>
      </c>
      <c r="BL58" s="16">
        <f t="shared" si="148"/>
        <v>283565.81027680589</v>
      </c>
      <c r="BM58" s="16">
        <f t="shared" si="148"/>
        <v>273128.33245023253</v>
      </c>
      <c r="BN58" s="16">
        <f t="shared" si="148"/>
        <v>263021.81415063736</v>
      </c>
      <c r="BO58" s="16">
        <f t="shared" si="148"/>
        <v>253235.28071432526</v>
      </c>
      <c r="BP58" s="16">
        <f t="shared" si="148"/>
        <v>243753.06784120487</v>
      </c>
      <c r="BQ58" s="16">
        <f t="shared" si="148"/>
        <v>234558.48966382915</v>
      </c>
      <c r="BR58" s="16">
        <f t="shared" si="148"/>
        <v>225635.93640848066</v>
      </c>
      <c r="BS58" s="16">
        <f t="shared" si="148"/>
        <v>216965.89219519592</v>
      </c>
      <c r="BT58" s="16">
        <f t="shared" si="148"/>
        <v>208543.10761395967</v>
      </c>
      <c r="BU58" s="16">
        <f t="shared" si="148"/>
        <v>200357.2736090158</v>
      </c>
      <c r="BV58" s="16">
        <f t="shared" si="148"/>
        <v>192402.00403895453</v>
      </c>
      <c r="BW58" s="16">
        <f t="shared" si="148"/>
        <v>184670.70406523009</v>
      </c>
      <c r="BX58" s="16">
        <f t="shared" si="148"/>
        <v>177162.71132132332</v>
      </c>
      <c r="BY58" s="16">
        <f t="shared" si="149"/>
        <v>169879.2415062098</v>
      </c>
      <c r="BZ58" s="16">
        <f t="shared" si="149"/>
        <v>162819.85085005857</v>
      </c>
      <c r="CA58" s="16">
        <f t="shared" si="149"/>
        <v>155981.78985652846</v>
      </c>
      <c r="CB58" s="16">
        <f t="shared" si="149"/>
        <v>149361.83689619804</v>
      </c>
      <c r="CC58" s="18">
        <f t="shared" si="124"/>
        <v>5.479506789701369</v>
      </c>
      <c r="CD58" s="18">
        <f t="shared" si="124"/>
        <v>4.6481224648838619</v>
      </c>
      <c r="CE58" s="18">
        <f t="shared" si="124"/>
        <v>3.7857787470439423</v>
      </c>
      <c r="CF58" s="18">
        <f t="shared" si="124"/>
        <v>2.8912515272411725</v>
      </c>
      <c r="CG58" s="18">
        <f t="shared" si="124"/>
        <v>1.9631920441452895</v>
      </c>
      <c r="CH58" s="18">
        <f t="shared" si="150"/>
        <v>1.0000000000000031</v>
      </c>
      <c r="CI58" s="18">
        <f t="shared" si="150"/>
        <v>0</v>
      </c>
      <c r="CJ58" s="18">
        <f t="shared" si="150"/>
        <v>-1.0386460109693481</v>
      </c>
      <c r="CK58" s="18">
        <f t="shared" si="150"/>
        <v>-2.1179511685214236</v>
      </c>
      <c r="CL58" s="18">
        <f t="shared" si="151"/>
        <v>-3.2401733307347742</v>
      </c>
      <c r="CM58" s="18">
        <f t="shared" si="151"/>
        <v>-4.4078468536566637</v>
      </c>
      <c r="CN58" s="18">
        <f t="shared" si="151"/>
        <v>-5.6239465864095664</v>
      </c>
      <c r="CO58" s="18">
        <f t="shared" si="151"/>
        <v>-6.8914791642697821</v>
      </c>
      <c r="CP58" s="18">
        <f t="shared" si="152"/>
        <v>-8.213894903556815</v>
      </c>
      <c r="CQ58" s="18">
        <f t="shared" si="153"/>
        <v>-9.5948629611097296</v>
      </c>
      <c r="CR58" s="18">
        <f t="shared" si="154"/>
        <v>-11.038420395665828</v>
      </c>
      <c r="CS58" s="18">
        <f t="shared" si="142"/>
        <v>-12.548597578576663</v>
      </c>
      <c r="CT58" s="18">
        <f t="shared" si="125"/>
        <v>-14.129485511827038</v>
      </c>
      <c r="CU58" s="18">
        <f t="shared" si="125"/>
        <v>-15.785455579954199</v>
      </c>
      <c r="CV58" s="18">
        <f t="shared" si="125"/>
        <v>-17.521310509978349</v>
      </c>
      <c r="CW58" s="18">
        <f t="shared" si="22"/>
        <v>-19.342204299768436</v>
      </c>
      <c r="CX58" s="17">
        <f t="shared" si="23"/>
        <v>823.16070911830457</v>
      </c>
      <c r="CY58" s="17">
        <f t="shared" si="126"/>
        <v>820.82225237662601</v>
      </c>
      <c r="CZ58" s="17">
        <f t="shared" si="126"/>
        <v>827.82290946077819</v>
      </c>
      <c r="DA58" s="17">
        <f t="shared" si="126"/>
        <v>846.94253061615575</v>
      </c>
      <c r="DB58" s="17">
        <f t="shared" si="126"/>
        <v>863.01334300521671</v>
      </c>
      <c r="DC58" s="17">
        <f t="shared" si="126"/>
        <v>885.39366910186175</v>
      </c>
      <c r="DD58" s="17">
        <f t="shared" si="126"/>
        <v>907.55302244505697</v>
      </c>
      <c r="DE58" s="17">
        <f t="shared" si="126"/>
        <v>934.63996497175719</v>
      </c>
      <c r="DF58" s="3" t="e">
        <f>#REF!+$AG$35*0.004*(1+$R$28)*#REF!-S58*#REF!</f>
        <v>#REF!</v>
      </c>
      <c r="DG58" s="19">
        <f t="shared" si="25"/>
        <v>1728.3093810755672</v>
      </c>
      <c r="DH58" s="19">
        <f t="shared" si="26"/>
        <v>1588.6362249939752</v>
      </c>
      <c r="DI58" s="19">
        <f t="shared" si="27"/>
        <v>1453.1880630638832</v>
      </c>
      <c r="DJ58" s="19">
        <f t="shared" si="28"/>
        <v>1324.5425374443944</v>
      </c>
      <c r="DK58" s="19">
        <f t="shared" si="29"/>
        <v>1187.3090761348799</v>
      </c>
      <c r="DL58" s="19">
        <f t="shared" si="30"/>
        <v>1050.5816516513999</v>
      </c>
      <c r="DM58" s="19">
        <f t="shared" si="31"/>
        <v>907.55302244505697</v>
      </c>
      <c r="DN58" s="19">
        <f t="shared" si="32"/>
        <v>763.06812583660576</v>
      </c>
      <c r="DO58" s="173">
        <f t="shared" si="127"/>
        <v>89484.364534015098</v>
      </c>
      <c r="DP58" s="25">
        <f t="shared" si="155"/>
        <v>88661.203824896802</v>
      </c>
      <c r="DQ58" s="26">
        <f t="shared" si="155"/>
        <v>87840.381572520157</v>
      </c>
      <c r="DR58" s="26">
        <f t="shared" si="155"/>
        <v>87012.558663059375</v>
      </c>
      <c r="DS58" s="26">
        <f t="shared" si="155"/>
        <v>86165.616132443218</v>
      </c>
      <c r="DT58" s="26">
        <f t="shared" si="155"/>
        <v>85302.60278943798</v>
      </c>
      <c r="DU58" s="26">
        <f t="shared" si="155"/>
        <v>84417.209120336134</v>
      </c>
      <c r="DV58" s="26">
        <f t="shared" si="155"/>
        <v>83509.656097891071</v>
      </c>
      <c r="DW58" s="26">
        <f t="shared" si="155"/>
        <v>82575.016132919322</v>
      </c>
      <c r="DX58" s="26">
        <f t="shared" si="155"/>
        <v>81606.783444357046</v>
      </c>
      <c r="DY58" s="26">
        <f t="shared" si="155"/>
        <v>80598.972968603455</v>
      </c>
      <c r="DZ58" s="26">
        <f t="shared" si="155"/>
        <v>79541.088741864602</v>
      </c>
      <c r="EA58" s="26">
        <f t="shared" si="155"/>
        <v>78436.477379158212</v>
      </c>
      <c r="EB58" s="26">
        <f t="shared" si="155"/>
        <v>77283.157471351093</v>
      </c>
      <c r="EC58" s="26">
        <f t="shared" si="155"/>
        <v>76082.783920534741</v>
      </c>
      <c r="ED58" s="26">
        <f t="shared" si="155"/>
        <v>74836.579607665073</v>
      </c>
      <c r="EE58" s="26">
        <f t="shared" si="145"/>
        <v>73551.575928090766</v>
      </c>
      <c r="EF58" s="26">
        <f t="shared" si="34"/>
        <v>72236.692138670856</v>
      </c>
      <c r="EG58" s="26">
        <f t="shared" si="34"/>
        <v>70899.201060349529</v>
      </c>
      <c r="EH58" s="26">
        <f t="shared" si="34"/>
        <v>69544.014517296338</v>
      </c>
      <c r="EI58" s="26">
        <f t="shared" si="34"/>
        <v>68175.46941806782</v>
      </c>
      <c r="EJ58" s="26">
        <f t="shared" si="128"/>
        <v>1.5403677853446337E-2</v>
      </c>
      <c r="EK58" s="26">
        <f t="shared" si="128"/>
        <v>1.3386973350362576E-2</v>
      </c>
      <c r="EL58" s="26">
        <f t="shared" si="156"/>
        <v>1.1205265828135465E-2</v>
      </c>
      <c r="EM58" s="26">
        <f t="shared" si="156"/>
        <v>8.8171554353981482E-3</v>
      </c>
      <c r="EN58" s="26">
        <f t="shared" si="156"/>
        <v>6.1657892056886437E-3</v>
      </c>
      <c r="EO58" s="26">
        <f t="shared" si="156"/>
        <v>3.2416763986327789E-3</v>
      </c>
      <c r="EP58" s="26">
        <f t="shared" si="156"/>
        <v>0</v>
      </c>
      <c r="EQ58" s="26">
        <f t="shared" si="156"/>
        <v>-3.5838332632208295E-3</v>
      </c>
      <c r="ER58" s="26">
        <f t="shared" si="156"/>
        <v>-7.557619699855125E-3</v>
      </c>
      <c r="ES58" s="26">
        <f t="shared" si="156"/>
        <v>-1.1981769152790032E-2</v>
      </c>
      <c r="ET58" s="26">
        <f t="shared" si="156"/>
        <v>-1.6922110070358317E-2</v>
      </c>
      <c r="EU58" s="26">
        <f t="shared" si="156"/>
        <v>-2.2474133280288466E-2</v>
      </c>
      <c r="EV58" s="26">
        <f t="shared" si="156"/>
        <v>-2.8678635365159286E-2</v>
      </c>
      <c r="EW58" s="26">
        <f t="shared" si="156"/>
        <v>-3.5606651660207156E-2</v>
      </c>
      <c r="EX58" s="26">
        <f t="shared" si="156"/>
        <v>-4.3317767096199111E-2</v>
      </c>
      <c r="EY58" s="26">
        <f t="shared" si="156"/>
        <v>-5.1879530980111249E-2</v>
      </c>
      <c r="EZ58" s="26">
        <f t="shared" si="146"/>
        <v>-6.1331377868439632E-2</v>
      </c>
      <c r="FA58" s="26">
        <f t="shared" si="37"/>
        <v>-7.1701032296050307E-2</v>
      </c>
      <c r="FB58" s="26">
        <f t="shared" si="37"/>
        <v>-8.3024324057607637E-2</v>
      </c>
      <c r="FC58" s="26">
        <f t="shared" si="37"/>
        <v>-9.5352121659330311E-2</v>
      </c>
      <c r="FD58" s="26">
        <f t="shared" si="37"/>
        <v>-0.10874089419210767</v>
      </c>
      <c r="FE58" s="26">
        <f t="shared" si="130"/>
        <v>5.2790684693507188</v>
      </c>
      <c r="FF58" s="26">
        <f t="shared" si="130"/>
        <v>4.4777809026794593</v>
      </c>
      <c r="FG58" s="26">
        <f t="shared" si="130"/>
        <v>3.6467430681011423</v>
      </c>
      <c r="FH58" s="26">
        <f t="shared" si="130"/>
        <v>2.7848129454974564</v>
      </c>
      <c r="FI58" s="26">
        <f t="shared" si="130"/>
        <v>1.8907432672419202</v>
      </c>
      <c r="FJ58" s="26">
        <f t="shared" si="157"/>
        <v>0.9629971808163218</v>
      </c>
      <c r="FK58" s="26">
        <f t="shared" si="157"/>
        <v>0</v>
      </c>
      <c r="FL58" s="26">
        <f t="shared" si="157"/>
        <v>-0.99999999999999767</v>
      </c>
      <c r="FM58" s="26">
        <f t="shared" si="157"/>
        <v>-2.0389008965388609</v>
      </c>
      <c r="FN58" s="26">
        <f t="shared" si="157"/>
        <v>-3.1188248153704325</v>
      </c>
      <c r="FO58" s="26">
        <f t="shared" si="157"/>
        <v>-4.2421557038458735</v>
      </c>
      <c r="FP58" s="26">
        <f t="shared" si="158"/>
        <v>-5.4116739499621458</v>
      </c>
      <c r="FQ58" s="26">
        <f t="shared" si="158"/>
        <v>-6.6302444144859392</v>
      </c>
      <c r="FR58" s="26">
        <f t="shared" si="158"/>
        <v>-7.9011309124480791</v>
      </c>
      <c r="FS58" s="26">
        <f t="shared" si="158"/>
        <v>-9.2278199541284494</v>
      </c>
      <c r="FT58" s="26">
        <f t="shared" si="159"/>
        <v>-10.614145682023477</v>
      </c>
      <c r="FU58" s="26">
        <f t="shared" si="143"/>
        <v>-12.063963412679366</v>
      </c>
      <c r="FV58" s="26">
        <f t="shared" si="131"/>
        <v>-13.581198553287594</v>
      </c>
      <c r="FW58" s="26">
        <f t="shared" si="131"/>
        <v>-15.170039445020782</v>
      </c>
      <c r="FX58" s="26">
        <f t="shared" si="39"/>
        <v>4807907.8302165577</v>
      </c>
      <c r="FY58" s="26">
        <f t="shared" si="40"/>
        <v>243753.06784120487</v>
      </c>
      <c r="FZ58" s="26">
        <f t="shared" si="132"/>
        <v>0.79956167964935043</v>
      </c>
      <c r="GA58" s="26">
        <f t="shared" si="160"/>
        <v>0.82965843779559956</v>
      </c>
      <c r="GB58" s="26">
        <f t="shared" si="132"/>
        <v>0.860964321057202</v>
      </c>
      <c r="GC58" s="26">
        <f t="shared" si="132"/>
        <v>0.89356141825628255</v>
      </c>
      <c r="GD58" s="26">
        <f t="shared" si="132"/>
        <v>0.92755122309662696</v>
      </c>
      <c r="GE58" s="26">
        <f t="shared" si="161"/>
        <v>0.96299718081632302</v>
      </c>
      <c r="GF58" s="26">
        <f t="shared" si="161"/>
        <v>1</v>
      </c>
      <c r="GG58" s="26">
        <f t="shared" si="161"/>
        <v>1.0386460109693494</v>
      </c>
      <c r="GH58" s="26">
        <f t="shared" si="161"/>
        <v>1.0790502719825676</v>
      </c>
      <c r="GI58" s="26">
        <f t="shared" si="161"/>
        <v>1.1213485153643428</v>
      </c>
      <c r="GJ58" s="26">
        <f t="shared" si="161"/>
        <v>1.1656911498107956</v>
      </c>
      <c r="GK58" s="26">
        <f t="shared" si="162"/>
        <v>1.2122726364474223</v>
      </c>
      <c r="GL58" s="26">
        <f t="shared" si="162"/>
        <v>1.2612347497838425</v>
      </c>
      <c r="GM58" s="26">
        <f t="shared" si="162"/>
        <v>1.3127639911087399</v>
      </c>
      <c r="GN58" s="26">
        <f t="shared" si="162"/>
        <v>1.3670430069812831</v>
      </c>
      <c r="GO58" s="26">
        <f t="shared" si="163"/>
        <v>1.4242747136423533</v>
      </c>
      <c r="GP58" s="26">
        <f t="shared" si="140"/>
        <v>1.4846341658973021</v>
      </c>
      <c r="GQ58" s="26">
        <f t="shared" si="134"/>
        <v>1.5482869585394448</v>
      </c>
      <c r="GR58" s="26">
        <f t="shared" si="134"/>
        <v>1.6154161349334188</v>
      </c>
      <c r="GS58" s="26">
        <f t="shared" si="134"/>
        <v>1.686234107151636</v>
      </c>
      <c r="GT58" s="26">
        <f t="shared" si="134"/>
        <v>1.7609706710652573</v>
      </c>
      <c r="GU58" s="26">
        <f t="shared" si="135"/>
        <v>5.479506789701369</v>
      </c>
      <c r="GV58" s="26">
        <f t="shared" si="164"/>
        <v>4.6481224648838619</v>
      </c>
      <c r="GW58" s="26">
        <f t="shared" si="135"/>
        <v>3.7857787470439423</v>
      </c>
      <c r="GX58" s="26">
        <f t="shared" si="135"/>
        <v>2.8912515272411725</v>
      </c>
      <c r="GY58" s="26">
        <f t="shared" si="135"/>
        <v>1.9631920441452895</v>
      </c>
      <c r="GZ58" s="26">
        <f t="shared" si="165"/>
        <v>1.0000000000000031</v>
      </c>
      <c r="HA58" s="26">
        <f t="shared" si="165"/>
        <v>0</v>
      </c>
      <c r="HB58" s="26">
        <f t="shared" si="165"/>
        <v>-1.0386460109693481</v>
      </c>
      <c r="HC58" s="26">
        <f t="shared" si="165"/>
        <v>-2.1179511685214236</v>
      </c>
      <c r="HD58" s="26">
        <f t="shared" si="165"/>
        <v>-3.2401733307347742</v>
      </c>
      <c r="HE58" s="26">
        <f t="shared" si="165"/>
        <v>-4.4078468536566637</v>
      </c>
      <c r="HF58" s="26">
        <f t="shared" si="166"/>
        <v>-5.6239465864095664</v>
      </c>
      <c r="HG58" s="26">
        <f t="shared" si="166"/>
        <v>-6.8914791642697821</v>
      </c>
      <c r="HH58" s="26">
        <f t="shared" si="166"/>
        <v>-8.213894903556815</v>
      </c>
      <c r="HI58" s="26">
        <f t="shared" si="166"/>
        <v>-9.5948629611097296</v>
      </c>
      <c r="HJ58" s="26">
        <f t="shared" si="167"/>
        <v>-11.038420395665828</v>
      </c>
      <c r="HK58" s="26">
        <f t="shared" si="141"/>
        <v>-12.548597578576663</v>
      </c>
      <c r="HL58" s="26">
        <f t="shared" si="137"/>
        <v>-14.129485511827038</v>
      </c>
      <c r="HM58" s="26">
        <f t="shared" si="137"/>
        <v>-15.785455579954199</v>
      </c>
      <c r="HN58" s="26">
        <f t="shared" si="137"/>
        <v>-17.521310509978349</v>
      </c>
      <c r="HO58" s="26">
        <f t="shared" si="137"/>
        <v>-19.342204299768436</v>
      </c>
      <c r="HP58" s="26">
        <f t="shared" si="44"/>
        <v>519265.70030499203</v>
      </c>
      <c r="HQ58" s="26">
        <f t="shared" si="45"/>
        <v>535937.04209202412</v>
      </c>
      <c r="HR58" s="26">
        <f t="shared" si="46"/>
        <v>553399.79736605915</v>
      </c>
      <c r="HS58" s="26">
        <f t="shared" si="47"/>
        <v>571695.7333082984</v>
      </c>
      <c r="HT58" s="26">
        <f t="shared" si="48"/>
        <v>590876.65436756483</v>
      </c>
      <c r="HU58" s="26">
        <f t="shared" si="49"/>
        <v>611022.43014241895</v>
      </c>
      <c r="HV58" s="26">
        <f t="shared" si="50"/>
        <v>632215.9078880985</v>
      </c>
      <c r="HW58" s="26">
        <f t="shared" si="51"/>
        <v>654556.00805547542</v>
      </c>
      <c r="HX58" s="26">
        <f t="shared" si="52"/>
        <v>678156.5283320595</v>
      </c>
      <c r="HY58" s="26">
        <f t="shared" si="53"/>
        <v>703154.59877479449</v>
      </c>
      <c r="HZ58" s="26">
        <f t="shared" si="54"/>
        <v>729714.59683534189</v>
      </c>
      <c r="IA58" s="26">
        <f t="shared" si="55"/>
        <v>758045.41244895244</v>
      </c>
      <c r="IB58" s="26">
        <f t="shared" si="56"/>
        <v>788358.28125973663</v>
      </c>
      <c r="IC58" s="26">
        <f t="shared" si="57"/>
        <v>820908.97874671046</v>
      </c>
      <c r="ID58" s="26">
        <f t="shared" si="58"/>
        <v>855974.27464124782</v>
      </c>
      <c r="IE58" s="26">
        <f t="shared" si="59"/>
        <v>893867.74151159194</v>
      </c>
      <c r="IF58" s="26">
        <f t="shared" si="60"/>
        <v>934898.7097991925</v>
      </c>
      <c r="IG58" s="26">
        <f t="shared" si="61"/>
        <v>979378.86647463334</v>
      </c>
      <c r="IH58" s="26">
        <f t="shared" si="62"/>
        <v>1027646.1261798457</v>
      </c>
      <c r="II58" s="26">
        <f t="shared" si="63"/>
        <v>-551153514722.71594</v>
      </c>
      <c r="IJ58" s="26">
        <f t="shared" si="64"/>
        <v>539161.48567292327</v>
      </c>
      <c r="IK58" s="26">
        <f t="shared" si="65"/>
        <v>555477.26166052988</v>
      </c>
      <c r="IL58" s="26">
        <f t="shared" si="66"/>
        <v>572655.38897510408</v>
      </c>
      <c r="IM58" s="26">
        <f t="shared" si="67"/>
        <v>590744.06127593666</v>
      </c>
      <c r="IN58" s="26">
        <f t="shared" si="68"/>
        <v>609802.14360298601</v>
      </c>
      <c r="IO58" s="26">
        <f t="shared" si="69"/>
        <v>629917.7130106109</v>
      </c>
      <c r="IP58" s="26">
        <f t="shared" si="70"/>
        <v>651182.38512474147</v>
      </c>
      <c r="IQ58" s="26">
        <f t="shared" si="71"/>
        <v>673704.79815031227</v>
      </c>
      <c r="IR58" s="26">
        <f t="shared" si="72"/>
        <v>697609.43537975138</v>
      </c>
      <c r="IS58" s="26">
        <f t="shared" si="73"/>
        <v>723045.3734514548</v>
      </c>
      <c r="IT58" s="26">
        <f t="shared" si="74"/>
        <v>750190.39046684164</v>
      </c>
      <c r="IU58" s="26">
        <f t="shared" si="75"/>
        <v>779268.80273850041</v>
      </c>
      <c r="IV58" s="26">
        <f t="shared" si="76"/>
        <v>810508.26730020391</v>
      </c>
      <c r="IW58" s="26">
        <f t="shared" si="77"/>
        <v>844183.21784715948</v>
      </c>
      <c r="IX58" s="26">
        <f t="shared" si="78"/>
        <v>880590.79425708926</v>
      </c>
      <c r="IY58" s="26">
        <f t="shared" si="79"/>
        <v>920067.21937472001</v>
      </c>
      <c r="IZ58" s="26">
        <f t="shared" si="80"/>
        <v>962945.67109316832</v>
      </c>
      <c r="JA58" s="26">
        <f t="shared" si="81"/>
        <v>1009563.1315893584</v>
      </c>
      <c r="JB58" s="26">
        <f t="shared" si="82"/>
        <v>1060285.0695943199</v>
      </c>
      <c r="JC58" s="26">
        <f t="shared" si="83"/>
        <v>-567688117125.36401</v>
      </c>
      <c r="JD58" s="26">
        <f t="shared" si="84"/>
        <v>154421.88116786792</v>
      </c>
      <c r="JE58" s="26">
        <f t="shared" si="85"/>
        <v>246005.87676293438</v>
      </c>
      <c r="JF58" s="26">
        <f t="shared" si="86"/>
        <v>341277.3163444064</v>
      </c>
      <c r="JG58" s="26">
        <f t="shared" si="87"/>
        <v>440411.44054100709</v>
      </c>
      <c r="JH58" s="26">
        <f t="shared" si="88"/>
        <v>543634.40539068484</v>
      </c>
      <c r="JI58" s="26">
        <f t="shared" si="89"/>
        <v>651182.38512474147</v>
      </c>
      <c r="JJ58" s="26">
        <f t="shared" si="90"/>
        <v>763322.6114229894</v>
      </c>
      <c r="JK58" s="26">
        <f t="shared" si="91"/>
        <v>880353.26757726667</v>
      </c>
      <c r="JL58" s="26">
        <f t="shared" si="92"/>
        <v>1002618.2456891229</v>
      </c>
      <c r="JM58" s="26">
        <f t="shared" si="93"/>
        <v>1130513.9964824216</v>
      </c>
      <c r="JN58" s="26">
        <f t="shared" si="94"/>
        <v>1264521.5160917086</v>
      </c>
      <c r="JO58" s="26">
        <f t="shared" si="95"/>
        <v>1405127.8839872025</v>
      </c>
      <c r="JP58" s="26">
        <f t="shared" si="96"/>
        <v>1552905.2385684927</v>
      </c>
      <c r="JQ58" s="26">
        <f t="shared" si="97"/>
        <v>1708467.3067015521</v>
      </c>
      <c r="JR58" s="26">
        <f t="shared" si="98"/>
        <v>1872498.6420120173</v>
      </c>
      <c r="JS58" s="26">
        <f t="shared" si="99"/>
        <v>2045680.1761641544</v>
      </c>
      <c r="JT58" s="26">
        <f t="shared" si="100"/>
        <v>2228701.8765176153</v>
      </c>
      <c r="JU58" s="26">
        <f t="shared" si="101"/>
        <v>2422306.3893201821</v>
      </c>
      <c r="JV58" s="26">
        <f t="shared" si="102"/>
        <v>-567686605328.73938</v>
      </c>
      <c r="JW58" s="26">
        <f t="shared" si="103"/>
        <v>1823331.2448122392</v>
      </c>
      <c r="JX58" s="26" t="e">
        <f>AH58+$AG$38*0.004*(1+$R$28)*#REF!-S58*#REF!</f>
        <v>#REF!</v>
      </c>
      <c r="JY58" s="34">
        <f t="shared" si="104"/>
        <v>5.1994243910415253E-2</v>
      </c>
      <c r="JZ58" s="4">
        <f t="shared" si="105"/>
        <v>47139.760479160934</v>
      </c>
      <c r="KA58" s="165"/>
    </row>
    <row r="59" spans="1:287" ht="15.75" x14ac:dyDescent="0.3">
      <c r="A59" s="34">
        <v>58</v>
      </c>
      <c r="B59" s="34">
        <v>31</v>
      </c>
      <c r="C59" s="2">
        <v>964354</v>
      </c>
      <c r="D59" s="1">
        <f t="shared" si="106"/>
        <v>1964</v>
      </c>
      <c r="E59" s="145">
        <f t="shared" si="107"/>
        <v>0.99796340348046464</v>
      </c>
      <c r="F59" s="146">
        <f t="shared" si="108"/>
        <v>2.0365965195353608E-3</v>
      </c>
      <c r="G59" s="158">
        <f t="shared" si="3"/>
        <v>2.545745649419201E-3</v>
      </c>
      <c r="H59" s="43">
        <f t="shared" si="109"/>
        <v>2432.795764901377</v>
      </c>
      <c r="I59" s="43">
        <f t="shared" si="139"/>
        <v>955631.90511841071</v>
      </c>
      <c r="J59" s="43">
        <f t="shared" si="110"/>
        <v>963372</v>
      </c>
      <c r="K59" s="147">
        <f>SUM(J59:$J$138)</f>
        <v>42973913</v>
      </c>
      <c r="L59" s="147">
        <f t="shared" si="111"/>
        <v>44.562383730455828</v>
      </c>
      <c r="M59" s="43">
        <f t="shared" si="4"/>
        <v>1204215</v>
      </c>
      <c r="N59" s="148">
        <f t="shared" si="5"/>
        <v>53717391.25</v>
      </c>
      <c r="O59" s="147">
        <f t="shared" si="6"/>
        <v>55.702979663069783</v>
      </c>
      <c r="P59" s="157">
        <f t="shared" si="7"/>
        <v>328957.50364873186</v>
      </c>
      <c r="Q59" s="43">
        <f t="shared" si="8"/>
        <v>1205442.5</v>
      </c>
      <c r="R59" s="43">
        <f t="shared" si="9"/>
        <v>823.16070911830457</v>
      </c>
      <c r="S59" s="43">
        <f>SUM(R59:$R$138)</f>
        <v>89484.364534015098</v>
      </c>
      <c r="T59" s="43">
        <f t="shared" si="112"/>
        <v>3043290.0031394819</v>
      </c>
      <c r="U59" s="153">
        <f>SUM(P59:$P$138)</f>
        <v>7126689.7998479586</v>
      </c>
      <c r="V59" s="129">
        <f t="shared" si="10"/>
        <v>5061143.1109308824</v>
      </c>
      <c r="W59" s="43">
        <f t="shared" si="113"/>
        <v>253235.28071432526</v>
      </c>
      <c r="X59" s="26">
        <f t="shared" si="114"/>
        <v>6.2790684693507188</v>
      </c>
      <c r="Y59" s="26">
        <f t="shared" si="115"/>
        <v>0.76981153463742091</v>
      </c>
      <c r="Z59" s="43">
        <f t="shared" si="11"/>
        <v>83509.656097891071</v>
      </c>
      <c r="AA59" s="149">
        <f t="shared" si="116"/>
        <v>1.8162554037691001E-2</v>
      </c>
      <c r="AB59" s="150">
        <f t="shared" si="138"/>
        <v>6797732.2961992268</v>
      </c>
      <c r="AC59" s="150">
        <f t="shared" si="117"/>
        <v>4807907.8302165577</v>
      </c>
      <c r="AD59" s="26">
        <f t="shared" si="118"/>
        <v>6.0488800039881383</v>
      </c>
      <c r="AE59" s="26">
        <f t="shared" si="12"/>
        <v>521289.48303907632</v>
      </c>
      <c r="AF59" s="43">
        <f t="shared" si="119"/>
        <v>83020.194091462065</v>
      </c>
      <c r="AG59" s="43">
        <f t="shared" si="13"/>
        <v>542225.49637523841</v>
      </c>
      <c r="AH59" s="27">
        <f t="shared" si="14"/>
        <v>90197.251976405649</v>
      </c>
      <c r="AI59" s="28">
        <f t="shared" si="120"/>
        <v>583038.1681454177</v>
      </c>
      <c r="AJ59" s="20">
        <f t="shared" si="15"/>
        <v>96986.292447748012</v>
      </c>
      <c r="AK59" s="3">
        <f t="shared" si="16"/>
        <v>8405.4786788048277</v>
      </c>
      <c r="AL59" s="3"/>
      <c r="AM59" s="46">
        <f t="shared" si="121"/>
        <v>6797732.2961992268</v>
      </c>
      <c r="AN59" s="46">
        <f t="shared" si="122"/>
        <v>6480708.0821750965</v>
      </c>
      <c r="AO59" s="46">
        <f t="shared" si="122"/>
        <v>6175211.3180029579</v>
      </c>
      <c r="AP59" s="3">
        <f t="shared" si="147"/>
        <v>5880859.0678085573</v>
      </c>
      <c r="AQ59" s="3">
        <f t="shared" si="147"/>
        <v>5597293.2575317528</v>
      </c>
      <c r="AR59" s="16">
        <f t="shared" si="147"/>
        <v>5324164.9250815194</v>
      </c>
      <c r="AS59" s="16">
        <f t="shared" si="147"/>
        <v>5061143.1109308824</v>
      </c>
      <c r="AT59" s="16">
        <f t="shared" si="147"/>
        <v>4807907.8302165577</v>
      </c>
      <c r="AU59" s="16">
        <f t="shared" si="147"/>
        <v>4564154.762375352</v>
      </c>
      <c r="AV59" s="16">
        <f t="shared" si="147"/>
        <v>4329596.2727115229</v>
      </c>
      <c r="AW59" s="16">
        <f t="shared" si="147"/>
        <v>4103960.3363030413</v>
      </c>
      <c r="AX59" s="16">
        <f t="shared" si="147"/>
        <v>3886994.4441078454</v>
      </c>
      <c r="AY59" s="16">
        <f t="shared" si="147"/>
        <v>3678451.3364938861</v>
      </c>
      <c r="AZ59" s="16">
        <f t="shared" si="147"/>
        <v>3478094.06288487</v>
      </c>
      <c r="BA59" s="16">
        <f t="shared" si="147"/>
        <v>3285692.0588459154</v>
      </c>
      <c r="BB59" s="16">
        <f t="shared" si="147"/>
        <v>3101021.3547806852</v>
      </c>
      <c r="BC59" s="16">
        <f t="shared" si="144"/>
        <v>2923858.6434593615</v>
      </c>
      <c r="BD59" s="16">
        <f t="shared" si="18"/>
        <v>2753979.4019531519</v>
      </c>
      <c r="BE59" s="16">
        <f t="shared" si="18"/>
        <v>2591159.5511030932</v>
      </c>
      <c r="BF59" s="16">
        <f t="shared" si="18"/>
        <v>2435177.7612465657</v>
      </c>
      <c r="BG59" s="16">
        <f t="shared" si="18"/>
        <v>2285815.9243503674</v>
      </c>
      <c r="BH59" s="172">
        <f t="shared" si="123"/>
        <v>317024.21402412985</v>
      </c>
      <c r="BI59" s="16">
        <f t="shared" si="148"/>
        <v>305496.76417213847</v>
      </c>
      <c r="BJ59" s="16">
        <f t="shared" si="148"/>
        <v>294352.25019440131</v>
      </c>
      <c r="BK59" s="16">
        <f t="shared" si="148"/>
        <v>283565.81027680589</v>
      </c>
      <c r="BL59" s="16">
        <f t="shared" si="148"/>
        <v>273128.33245023253</v>
      </c>
      <c r="BM59" s="16">
        <f t="shared" si="148"/>
        <v>263021.81415063736</v>
      </c>
      <c r="BN59" s="16">
        <f t="shared" si="148"/>
        <v>253235.28071432526</v>
      </c>
      <c r="BO59" s="16">
        <f t="shared" si="148"/>
        <v>243753.06784120487</v>
      </c>
      <c r="BP59" s="16">
        <f t="shared" si="148"/>
        <v>234558.48966382915</v>
      </c>
      <c r="BQ59" s="16">
        <f t="shared" si="148"/>
        <v>225635.93640848066</v>
      </c>
      <c r="BR59" s="16">
        <f t="shared" si="148"/>
        <v>216965.89219519592</v>
      </c>
      <c r="BS59" s="16">
        <f t="shared" si="148"/>
        <v>208543.10761395967</v>
      </c>
      <c r="BT59" s="16">
        <f t="shared" si="148"/>
        <v>200357.2736090158</v>
      </c>
      <c r="BU59" s="16">
        <f t="shared" si="148"/>
        <v>192402.00403895453</v>
      </c>
      <c r="BV59" s="16">
        <f t="shared" si="148"/>
        <v>184670.70406523009</v>
      </c>
      <c r="BW59" s="16">
        <f t="shared" si="148"/>
        <v>177162.71132132332</v>
      </c>
      <c r="BX59" s="16">
        <f t="shared" ref="BX59:BX91" si="168">BW60</f>
        <v>169879.2415062098</v>
      </c>
      <c r="BY59" s="16">
        <f t="shared" si="149"/>
        <v>162819.85085005857</v>
      </c>
      <c r="BZ59" s="16">
        <f t="shared" si="149"/>
        <v>155981.78985652846</v>
      </c>
      <c r="CA59" s="16">
        <f t="shared" si="149"/>
        <v>149361.83689619804</v>
      </c>
      <c r="CB59" s="16">
        <f t="shared" si="149"/>
        <v>142950.88600960682</v>
      </c>
      <c r="CC59" s="18">
        <f t="shared" si="124"/>
        <v>5.4777809026794602</v>
      </c>
      <c r="CD59" s="18">
        <f t="shared" si="124"/>
        <v>4.6467430681011432</v>
      </c>
      <c r="CE59" s="18">
        <f t="shared" si="124"/>
        <v>3.7848129454974537</v>
      </c>
      <c r="CF59" s="18">
        <f t="shared" si="124"/>
        <v>2.8907432672419153</v>
      </c>
      <c r="CG59" s="18">
        <f t="shared" si="124"/>
        <v>1.9629971808163249</v>
      </c>
      <c r="CH59" s="18">
        <f t="shared" si="150"/>
        <v>0.99999999999999867</v>
      </c>
      <c r="CI59" s="18">
        <f t="shared" si="150"/>
        <v>0</v>
      </c>
      <c r="CJ59" s="18">
        <f t="shared" si="150"/>
        <v>-1.0389008965388573</v>
      </c>
      <c r="CK59" s="18">
        <f t="shared" si="150"/>
        <v>-2.118824815370433</v>
      </c>
      <c r="CL59" s="18">
        <f t="shared" si="151"/>
        <v>-3.2421557038458699</v>
      </c>
      <c r="CM59" s="18">
        <f t="shared" si="151"/>
        <v>-4.4116739499621458</v>
      </c>
      <c r="CN59" s="18">
        <f t="shared" si="151"/>
        <v>-5.6302444144859409</v>
      </c>
      <c r="CO59" s="18">
        <f t="shared" si="151"/>
        <v>-6.9011309124480773</v>
      </c>
      <c r="CP59" s="18">
        <f t="shared" si="152"/>
        <v>-8.2278199541284476</v>
      </c>
      <c r="CQ59" s="18">
        <f t="shared" si="153"/>
        <v>-9.6141456820234765</v>
      </c>
      <c r="CR59" s="18">
        <f t="shared" si="154"/>
        <v>-11.063963412679364</v>
      </c>
      <c r="CS59" s="18">
        <f t="shared" si="142"/>
        <v>-12.581198553287596</v>
      </c>
      <c r="CT59" s="18">
        <f t="shared" si="125"/>
        <v>-14.170039445020782</v>
      </c>
      <c r="CU59" s="18">
        <f t="shared" si="125"/>
        <v>-15.835076402826715</v>
      </c>
      <c r="CV59" s="18">
        <f t="shared" si="125"/>
        <v>-17.581233628703181</v>
      </c>
      <c r="CW59" s="18">
        <f t="shared" si="22"/>
        <v>-19.414550437931549</v>
      </c>
      <c r="CX59" s="17">
        <f t="shared" si="23"/>
        <v>820.82225237662601</v>
      </c>
      <c r="CY59" s="17">
        <f t="shared" si="126"/>
        <v>827.82290946077819</v>
      </c>
      <c r="CZ59" s="17">
        <f t="shared" si="126"/>
        <v>846.94253061615575</v>
      </c>
      <c r="DA59" s="17">
        <f t="shared" si="126"/>
        <v>863.01334300521671</v>
      </c>
      <c r="DB59" s="17">
        <f t="shared" si="126"/>
        <v>885.39366910186175</v>
      </c>
      <c r="DC59" s="17">
        <f t="shared" si="126"/>
        <v>907.55302244505697</v>
      </c>
      <c r="DD59" s="17">
        <f t="shared" si="126"/>
        <v>934.63996497175719</v>
      </c>
      <c r="DE59" s="17">
        <f t="shared" si="126"/>
        <v>968.23268856226048</v>
      </c>
      <c r="DF59" s="3" t="e">
        <f>#REF!+$AG$35*0.004*(1+$R$28)*#REF!-S59*#REF!</f>
        <v>#REF!</v>
      </c>
      <c r="DG59" s="19">
        <f t="shared" si="25"/>
        <v>1731.917726059271</v>
      </c>
      <c r="DH59" s="19">
        <f t="shared" si="26"/>
        <v>1600.6954744518821</v>
      </c>
      <c r="DI59" s="19">
        <f t="shared" si="27"/>
        <v>1476.4540070046069</v>
      </c>
      <c r="DJ59" s="19">
        <f t="shared" si="28"/>
        <v>1343.8180982801846</v>
      </c>
      <c r="DK59" s="19">
        <f t="shared" si="29"/>
        <v>1211.8904527572124</v>
      </c>
      <c r="DL59" s="19">
        <f t="shared" si="30"/>
        <v>1073.8786732641652</v>
      </c>
      <c r="DM59" s="19">
        <f t="shared" si="31"/>
        <v>934.63996497175719</v>
      </c>
      <c r="DN59" s="19">
        <f t="shared" si="32"/>
        <v>795.4368208088797</v>
      </c>
      <c r="DO59" s="173">
        <f t="shared" si="127"/>
        <v>88661.203824896802</v>
      </c>
      <c r="DP59" s="25">
        <f t="shared" si="155"/>
        <v>87840.381572520157</v>
      </c>
      <c r="DQ59" s="26">
        <f t="shared" si="155"/>
        <v>87012.558663059375</v>
      </c>
      <c r="DR59" s="26">
        <f t="shared" si="155"/>
        <v>86165.616132443218</v>
      </c>
      <c r="DS59" s="26">
        <f t="shared" si="155"/>
        <v>85302.60278943798</v>
      </c>
      <c r="DT59" s="26">
        <f t="shared" si="155"/>
        <v>84417.209120336134</v>
      </c>
      <c r="DU59" s="26">
        <f t="shared" si="155"/>
        <v>83509.656097891071</v>
      </c>
      <c r="DV59" s="26">
        <f t="shared" si="155"/>
        <v>82575.016132919322</v>
      </c>
      <c r="DW59" s="26">
        <f t="shared" si="155"/>
        <v>81606.783444357046</v>
      </c>
      <c r="DX59" s="26">
        <f t="shared" si="155"/>
        <v>80598.972968603455</v>
      </c>
      <c r="DY59" s="26">
        <f t="shared" si="155"/>
        <v>79541.088741864602</v>
      </c>
      <c r="DZ59" s="26">
        <f t="shared" si="155"/>
        <v>78436.477379158212</v>
      </c>
      <c r="EA59" s="26">
        <f t="shared" si="155"/>
        <v>77283.157471351093</v>
      </c>
      <c r="EB59" s="26">
        <f t="shared" si="155"/>
        <v>76082.783920534741</v>
      </c>
      <c r="EC59" s="26">
        <f t="shared" si="155"/>
        <v>74836.579607665073</v>
      </c>
      <c r="ED59" s="26">
        <f t="shared" si="155"/>
        <v>73551.575928090766</v>
      </c>
      <c r="EE59" s="26">
        <f t="shared" si="145"/>
        <v>72236.692138670856</v>
      </c>
      <c r="EF59" s="26">
        <f t="shared" si="34"/>
        <v>70899.201060349529</v>
      </c>
      <c r="EG59" s="26">
        <f t="shared" si="34"/>
        <v>69544.014517296338</v>
      </c>
      <c r="EH59" s="26">
        <f t="shared" si="34"/>
        <v>68175.46941806782</v>
      </c>
      <c r="EI59" s="26">
        <f t="shared" si="34"/>
        <v>66791.805416898773</v>
      </c>
      <c r="EJ59" s="26">
        <f t="shared" si="128"/>
        <v>1.6249697969801222E-2</v>
      </c>
      <c r="EK59" s="26">
        <f t="shared" si="128"/>
        <v>1.4176010951752171E-2</v>
      </c>
      <c r="EL59" s="26">
        <f t="shared" ref="EL59:EY74" si="169">(DQ59-$Z59)/BJ59</f>
        <v>1.1900376378488207E-2</v>
      </c>
      <c r="EM59" s="26">
        <f t="shared" si="169"/>
        <v>9.3662914861262787E-3</v>
      </c>
      <c r="EN59" s="26">
        <f t="shared" si="169"/>
        <v>6.5644844511823282E-3</v>
      </c>
      <c r="EO59" s="26">
        <f t="shared" si="169"/>
        <v>3.450485752962266E-3</v>
      </c>
      <c r="EP59" s="26">
        <f t="shared" si="169"/>
        <v>0</v>
      </c>
      <c r="EQ59" s="26">
        <f t="shared" si="169"/>
        <v>-3.8343721096492176E-3</v>
      </c>
      <c r="ER59" s="26">
        <f t="shared" si="169"/>
        <v>-8.1125720764199799E-3</v>
      </c>
      <c r="ES59" s="26">
        <f t="shared" si="169"/>
        <v>-1.2899909365581963E-2</v>
      </c>
      <c r="ET59" s="26">
        <f t="shared" si="169"/>
        <v>-1.8291203819520634E-2</v>
      </c>
      <c r="EU59" s="26">
        <f t="shared" si="169"/>
        <v>-2.4326762829889208E-2</v>
      </c>
      <c r="EV59" s="26">
        <f t="shared" si="169"/>
        <v>-3.1076978211884564E-2</v>
      </c>
      <c r="EW59" s="26">
        <f t="shared" si="169"/>
        <v>-3.8600804676923499E-2</v>
      </c>
      <c r="EX59" s="26">
        <f t="shared" si="169"/>
        <v>-4.6965091372383902E-2</v>
      </c>
      <c r="EY59" s="26">
        <f t="shared" si="169"/>
        <v>-5.6208668830649969E-2</v>
      </c>
      <c r="EZ59" s="26">
        <f t="shared" si="146"/>
        <v>-6.6358690204112669E-2</v>
      </c>
      <c r="FA59" s="26">
        <f t="shared" si="37"/>
        <v>-7.7450353698914509E-2</v>
      </c>
      <c r="FB59" s="26">
        <f t="shared" si="37"/>
        <v>-8.9533794896444543E-2</v>
      </c>
      <c r="FC59" s="26">
        <f t="shared" si="37"/>
        <v>-0.1026646899802126</v>
      </c>
      <c r="FD59" s="26">
        <f t="shared" si="37"/>
        <v>-0.11694821310774385</v>
      </c>
      <c r="FE59" s="26">
        <f t="shared" si="130"/>
        <v>5.2765693532520386</v>
      </c>
      <c r="FF59" s="26">
        <f t="shared" si="130"/>
        <v>4.47567257051523</v>
      </c>
      <c r="FG59" s="26">
        <f t="shared" si="130"/>
        <v>3.6451266701150824</v>
      </c>
      <c r="FH59" s="26">
        <f t="shared" si="130"/>
        <v>2.7837821017443103</v>
      </c>
      <c r="FI59" s="26">
        <f t="shared" si="130"/>
        <v>1.8901630974480845</v>
      </c>
      <c r="FJ59" s="26">
        <f t="shared" si="157"/>
        <v>0.96279193241854932</v>
      </c>
      <c r="FK59" s="26">
        <f t="shared" si="157"/>
        <v>0</v>
      </c>
      <c r="FL59" s="26">
        <f t="shared" si="157"/>
        <v>-1.0000000000000036</v>
      </c>
      <c r="FM59" s="26">
        <f t="shared" si="157"/>
        <v>-2.039199511348126</v>
      </c>
      <c r="FN59" s="26">
        <f t="shared" si="157"/>
        <v>-3.1198376691163374</v>
      </c>
      <c r="FO59" s="26">
        <f t="shared" ref="FO59:FO90" si="170">(AX59-$AC59)/BR59</f>
        <v>-4.2445076356988025</v>
      </c>
      <c r="FP59" s="26">
        <f t="shared" si="158"/>
        <v>-5.4159377725081281</v>
      </c>
      <c r="FQ59" s="26">
        <f t="shared" si="158"/>
        <v>-6.6372123326390078</v>
      </c>
      <c r="FR59" s="26">
        <f t="shared" si="158"/>
        <v>-7.911641975737675</v>
      </c>
      <c r="FS59" s="26">
        <f t="shared" si="158"/>
        <v>-9.2428654781808799</v>
      </c>
      <c r="FT59" s="26">
        <f t="shared" si="159"/>
        <v>-10.634569615160501</v>
      </c>
      <c r="FU59" s="26">
        <f t="shared" si="143"/>
        <v>-12.090520360536965</v>
      </c>
      <c r="FV59" s="26">
        <f t="shared" si="131"/>
        <v>-13.614729822808133</v>
      </c>
      <c r="FW59" s="26">
        <f t="shared" si="131"/>
        <v>-15.211583808292119</v>
      </c>
      <c r="FX59" s="26">
        <f t="shared" si="39"/>
        <v>4564154.762375352</v>
      </c>
      <c r="FY59" s="26">
        <f t="shared" si="40"/>
        <v>234558.48966382915</v>
      </c>
      <c r="FZ59" s="26">
        <f t="shared" si="132"/>
        <v>0.79878845057258185</v>
      </c>
      <c r="GA59" s="26">
        <f t="shared" si="160"/>
        <v>0.82892950241408969</v>
      </c>
      <c r="GB59" s="26">
        <f t="shared" si="132"/>
        <v>0.8603137246176279</v>
      </c>
      <c r="GC59" s="26">
        <f t="shared" si="132"/>
        <v>0.89303883450239241</v>
      </c>
      <c r="GD59" s="26">
        <f t="shared" si="132"/>
        <v>0.92716591663176484</v>
      </c>
      <c r="GE59" s="26">
        <f t="shared" si="161"/>
        <v>0.96279193241855143</v>
      </c>
      <c r="GF59" s="26">
        <f t="shared" si="161"/>
        <v>1</v>
      </c>
      <c r="GG59" s="26">
        <f t="shared" si="161"/>
        <v>1.0389008965388598</v>
      </c>
      <c r="GH59" s="26">
        <f t="shared" si="161"/>
        <v>1.0796253040223094</v>
      </c>
      <c r="GI59" s="26">
        <f t="shared" si="161"/>
        <v>1.1223180347295389</v>
      </c>
      <c r="GJ59" s="26">
        <f t="shared" ref="GJ59:GJ90" si="171">$W59/BR59</f>
        <v>1.1671663142633459</v>
      </c>
      <c r="GK59" s="26">
        <f t="shared" si="162"/>
        <v>1.2143066419778139</v>
      </c>
      <c r="GL59" s="26">
        <f t="shared" si="162"/>
        <v>1.2639185798090737</v>
      </c>
      <c r="GM59" s="26">
        <f t="shared" si="162"/>
        <v>1.3161779783907768</v>
      </c>
      <c r="GN59" s="26">
        <f t="shared" si="162"/>
        <v>1.3712802038426004</v>
      </c>
      <c r="GO59" s="26">
        <f t="shared" si="163"/>
        <v>1.4293937975188677</v>
      </c>
      <c r="GP59" s="26">
        <f t="shared" si="140"/>
        <v>1.4906781927506336</v>
      </c>
      <c r="GQ59" s="26">
        <f t="shared" si="134"/>
        <v>1.5553096222126539</v>
      </c>
      <c r="GR59" s="26">
        <f t="shared" si="134"/>
        <v>1.6234925945345944</v>
      </c>
      <c r="GS59" s="26">
        <f t="shared" si="134"/>
        <v>1.6954483553273123</v>
      </c>
      <c r="GT59" s="26">
        <f t="shared" si="134"/>
        <v>1.7714845132006172</v>
      </c>
      <c r="GU59" s="26">
        <f t="shared" si="135"/>
        <v>5.4777809026794602</v>
      </c>
      <c r="GV59" s="26">
        <f t="shared" si="164"/>
        <v>4.6467430681011432</v>
      </c>
      <c r="GW59" s="26">
        <f t="shared" si="135"/>
        <v>3.7848129454974537</v>
      </c>
      <c r="GX59" s="26">
        <f t="shared" si="135"/>
        <v>2.8907432672419153</v>
      </c>
      <c r="GY59" s="26">
        <f t="shared" si="135"/>
        <v>1.9629971808163249</v>
      </c>
      <c r="GZ59" s="26">
        <f t="shared" si="165"/>
        <v>0.99999999999999867</v>
      </c>
      <c r="HA59" s="26">
        <f t="shared" si="165"/>
        <v>0</v>
      </c>
      <c r="HB59" s="26">
        <f t="shared" si="165"/>
        <v>-1.0389008965388573</v>
      </c>
      <c r="HC59" s="26">
        <f t="shared" si="165"/>
        <v>-2.118824815370433</v>
      </c>
      <c r="HD59" s="26">
        <f t="shared" si="165"/>
        <v>-3.2421557038458699</v>
      </c>
      <c r="HE59" s="26">
        <f t="shared" ref="HE59:HE90" si="172">(AW59-$V59)/BR59</f>
        <v>-4.4116739499621458</v>
      </c>
      <c r="HF59" s="26">
        <f t="shared" si="166"/>
        <v>-5.6302444144859409</v>
      </c>
      <c r="HG59" s="26">
        <f t="shared" si="166"/>
        <v>-6.9011309124480773</v>
      </c>
      <c r="HH59" s="26">
        <f t="shared" si="166"/>
        <v>-8.2278199541284476</v>
      </c>
      <c r="HI59" s="26">
        <f t="shared" si="166"/>
        <v>-9.6141456820234765</v>
      </c>
      <c r="HJ59" s="26">
        <f t="shared" si="167"/>
        <v>-11.063963412679364</v>
      </c>
      <c r="HK59" s="26">
        <f t="shared" si="141"/>
        <v>-12.581198553287596</v>
      </c>
      <c r="HL59" s="26">
        <f t="shared" si="137"/>
        <v>-14.170039445020782</v>
      </c>
      <c r="HM59" s="26">
        <f t="shared" si="137"/>
        <v>-15.835076402826715</v>
      </c>
      <c r="HN59" s="26">
        <f t="shared" si="137"/>
        <v>-17.581233628703181</v>
      </c>
      <c r="HO59" s="26">
        <f t="shared" si="137"/>
        <v>-19.414550437931549</v>
      </c>
      <c r="HP59" s="26">
        <f t="shared" si="44"/>
        <v>519512.03829526919</v>
      </c>
      <c r="HQ59" s="26">
        <f t="shared" si="45"/>
        <v>536140.3942226537</v>
      </c>
      <c r="HR59" s="26">
        <f t="shared" si="46"/>
        <v>553550.35352017311</v>
      </c>
      <c r="HS59" s="26">
        <f t="shared" si="47"/>
        <v>571785.47249781305</v>
      </c>
      <c r="HT59" s="26">
        <f t="shared" si="48"/>
        <v>590921.84458839567</v>
      </c>
      <c r="HU59" s="26">
        <f t="shared" si="49"/>
        <v>611034.39853243006</v>
      </c>
      <c r="HV59" s="26">
        <f t="shared" si="50"/>
        <v>632215.9078880985</v>
      </c>
      <c r="HW59" s="26">
        <f t="shared" si="51"/>
        <v>654570.86655255442</v>
      </c>
      <c r="HX59" s="26">
        <f t="shared" si="52"/>
        <v>678224.87012645532</v>
      </c>
      <c r="HY59" s="26">
        <f t="shared" si="53"/>
        <v>703329.22202885314</v>
      </c>
      <c r="HZ59" s="26">
        <f t="shared" si="54"/>
        <v>730074.84178067988</v>
      </c>
      <c r="IA59" s="26">
        <f t="shared" si="55"/>
        <v>758661.17381031171</v>
      </c>
      <c r="IB59" s="26">
        <f t="shared" si="56"/>
        <v>789327.23914504785</v>
      </c>
      <c r="IC59" s="26">
        <f t="shared" si="57"/>
        <v>822333.65477346384</v>
      </c>
      <c r="ID59" s="26">
        <f t="shared" si="58"/>
        <v>857975.68712897261</v>
      </c>
      <c r="IE59" s="26">
        <f t="shared" si="59"/>
        <v>896547.72091648006</v>
      </c>
      <c r="IF59" s="26">
        <f t="shared" si="60"/>
        <v>938347.75798833463</v>
      </c>
      <c r="IG59" s="26">
        <f t="shared" si="61"/>
        <v>983698.21538476204</v>
      </c>
      <c r="IH59" s="26">
        <f t="shared" si="62"/>
        <v>1032961.2847819205</v>
      </c>
      <c r="II59" s="26">
        <f t="shared" si="63"/>
        <v>-523210974904.784</v>
      </c>
      <c r="IJ59" s="26">
        <f t="shared" si="64"/>
        <v>539413.85381558666</v>
      </c>
      <c r="IK59" s="26">
        <f t="shared" si="65"/>
        <v>555685.68692495057</v>
      </c>
      <c r="IL59" s="26">
        <f t="shared" si="66"/>
        <v>572809.78484645323</v>
      </c>
      <c r="IM59" s="26">
        <f t="shared" si="67"/>
        <v>590836.15908282821</v>
      </c>
      <c r="IN59" s="26">
        <f t="shared" si="68"/>
        <v>609848.57050078339</v>
      </c>
      <c r="IO59" s="26">
        <f t="shared" si="69"/>
        <v>629930.04045232234</v>
      </c>
      <c r="IP59" s="26">
        <f t="shared" si="70"/>
        <v>651182.38512474147</v>
      </c>
      <c r="IQ59" s="26">
        <f t="shared" si="71"/>
        <v>673719.9826731981</v>
      </c>
      <c r="IR59" s="26">
        <f t="shared" si="72"/>
        <v>697679.45956847002</v>
      </c>
      <c r="IS59" s="26">
        <f t="shared" si="73"/>
        <v>723224.49886654748</v>
      </c>
      <c r="IT59" s="26">
        <f t="shared" si="74"/>
        <v>750560.21363277081</v>
      </c>
      <c r="IU59" s="26">
        <f t="shared" si="75"/>
        <v>779901.33707974665</v>
      </c>
      <c r="IV59" s="26">
        <f t="shared" si="76"/>
        <v>811504.1920538994</v>
      </c>
      <c r="IW59" s="26">
        <f t="shared" si="77"/>
        <v>845648.34035682247</v>
      </c>
      <c r="IX59" s="26">
        <f t="shared" si="78"/>
        <v>882650.11340225197</v>
      </c>
      <c r="IY59" s="26">
        <f t="shared" si="79"/>
        <v>922826.17144864635</v>
      </c>
      <c r="IZ59" s="26">
        <f t="shared" si="80"/>
        <v>966498.19072798465</v>
      </c>
      <c r="JA59" s="26">
        <f t="shared" si="81"/>
        <v>1014014.3654185183</v>
      </c>
      <c r="JB59" s="26">
        <f t="shared" si="82"/>
        <v>1065765.3712184022</v>
      </c>
      <c r="JC59" s="26">
        <f t="shared" si="83"/>
        <v>-538907301102.50055</v>
      </c>
      <c r="JD59" s="26">
        <f t="shared" si="84"/>
        <v>154418.75076588761</v>
      </c>
      <c r="JE59" s="26">
        <f t="shared" si="85"/>
        <v>245974.34929147305</v>
      </c>
      <c r="JF59" s="26">
        <f t="shared" si="86"/>
        <v>341207.61774352589</v>
      </c>
      <c r="JG59" s="26">
        <f t="shared" si="87"/>
        <v>440335.03104078327</v>
      </c>
      <c r="JH59" s="26">
        <f t="shared" si="88"/>
        <v>543575.59169580066</v>
      </c>
      <c r="JI59" s="26">
        <f t="shared" si="89"/>
        <v>651182.38512474147</v>
      </c>
      <c r="JJ59" s="26">
        <f t="shared" si="90"/>
        <v>763433.69690646743</v>
      </c>
      <c r="JK59" s="26">
        <f t="shared" si="91"/>
        <v>880649.40851142281</v>
      </c>
      <c r="JL59" s="26">
        <f t="shared" si="92"/>
        <v>1003199.0674549704</v>
      </c>
      <c r="JM59" s="26">
        <f t="shared" si="93"/>
        <v>1131527.8856752589</v>
      </c>
      <c r="JN59" s="26">
        <f t="shared" si="94"/>
        <v>1266097.9898571658</v>
      </c>
      <c r="JO59" s="26">
        <f t="shared" si="95"/>
        <v>1407447.5477949455</v>
      </c>
      <c r="JP59" s="26">
        <f t="shared" si="96"/>
        <v>1556157.1969634951</v>
      </c>
      <c r="JQ59" s="26">
        <f t="shared" si="97"/>
        <v>1712874.3640382835</v>
      </c>
      <c r="JR59" s="26">
        <f t="shared" si="98"/>
        <v>1878248.6330128983</v>
      </c>
      <c r="JS59" s="26">
        <f t="shared" si="99"/>
        <v>2052940.6564934845</v>
      </c>
      <c r="JT59" s="26">
        <f t="shared" si="100"/>
        <v>2237660.310551458</v>
      </c>
      <c r="JU59" s="26">
        <f t="shared" si="101"/>
        <v>2433194.6650019092</v>
      </c>
      <c r="JV59" s="26">
        <f t="shared" si="102"/>
        <v>-538905782884.76208</v>
      </c>
      <c r="JW59" s="26">
        <f t="shared" si="103"/>
        <v>1830951.5516891554</v>
      </c>
      <c r="JX59" s="26" t="e">
        <f>AH59+$AG$38*0.004*(1+$R$28)*#REF!-S59*#REF!</f>
        <v>#REF!</v>
      </c>
      <c r="JY59" s="34">
        <f t="shared" si="104"/>
        <v>5.2036596519535364E-2</v>
      </c>
      <c r="JZ59" s="4">
        <f t="shared" si="105"/>
        <v>47157.405752919673</v>
      </c>
      <c r="KA59" s="165"/>
    </row>
    <row r="60" spans="1:287" ht="15.75" x14ac:dyDescent="0.3">
      <c r="A60" s="34">
        <v>59</v>
      </c>
      <c r="B60" s="34">
        <v>32</v>
      </c>
      <c r="C60" s="2">
        <v>962390</v>
      </c>
      <c r="D60" s="1">
        <f t="shared" si="106"/>
        <v>2028</v>
      </c>
      <c r="E60" s="145">
        <f t="shared" si="107"/>
        <v>0.9978927461839795</v>
      </c>
      <c r="F60" s="146">
        <f t="shared" si="108"/>
        <v>2.1072538160205045E-3</v>
      </c>
      <c r="G60" s="158">
        <f t="shared" ref="G60:G91" si="173">(1+majoration)*F60</f>
        <v>2.6340672700256307E-3</v>
      </c>
      <c r="H60" s="43">
        <f t="shared" si="109"/>
        <v>2510.7905757656613</v>
      </c>
      <c r="I60" s="43">
        <f t="shared" si="139"/>
        <v>953199.10935350938</v>
      </c>
      <c r="J60" s="43">
        <f t="shared" si="110"/>
        <v>961376</v>
      </c>
      <c r="K60" s="147">
        <f>SUM(J60:$J$138)</f>
        <v>42010541</v>
      </c>
      <c r="L60" s="147">
        <f t="shared" si="111"/>
        <v>43.652304159436405</v>
      </c>
      <c r="M60" s="43">
        <f t="shared" ref="M60:M91" si="174">(1+majoration)*J60</f>
        <v>1201720</v>
      </c>
      <c r="N60" s="148">
        <f t="shared" ref="N60:N91" si="175">(1+majoration)*K60</f>
        <v>52513176.25</v>
      </c>
      <c r="O60" s="147">
        <f t="shared" si="6"/>
        <v>54.565380199295504</v>
      </c>
      <c r="P60" s="157">
        <f t="shared" ref="P60:P91" si="176">I60*v^B60</f>
        <v>317024.21402412985</v>
      </c>
      <c r="Q60" s="43">
        <f t="shared" ref="Q60:Q91" si="177">C60*(1+majoration)</f>
        <v>1202987.5</v>
      </c>
      <c r="R60" s="43">
        <f t="shared" ref="R60:R91" si="178">P60*v^0.5*G60</f>
        <v>820.82225237662601</v>
      </c>
      <c r="S60" s="43">
        <f>SUM(R60:$R$138)</f>
        <v>88661.203824896802</v>
      </c>
      <c r="T60" s="43">
        <f t="shared" si="112"/>
        <v>2953805.638605467</v>
      </c>
      <c r="U60" s="153">
        <f>SUM(P60:$P$138)</f>
        <v>6797732.2961992268</v>
      </c>
      <c r="V60" s="129">
        <f t="shared" ref="V60:V91" si="179">VLOOKUP(A60+n,A60:AF170,21)</f>
        <v>4807907.8302165577</v>
      </c>
      <c r="W60" s="43">
        <f t="shared" ref="W60:W91" si="180">VLOOKUP(A60+n,A60:AF170,16)</f>
        <v>243753.06784120487</v>
      </c>
      <c r="X60" s="26">
        <f t="shared" si="114"/>
        <v>6.2765693532520404</v>
      </c>
      <c r="Y60" s="26">
        <f t="shared" si="115"/>
        <v>0.76887839180212258</v>
      </c>
      <c r="Z60" s="43">
        <f t="shared" ref="Z60:Z91" si="181">VLOOKUP(A60+n,A60:AF170,19)</f>
        <v>82575.016132919322</v>
      </c>
      <c r="AA60" s="149">
        <f t="shared" si="116"/>
        <v>1.9197863831039226E-2</v>
      </c>
      <c r="AB60" s="150">
        <f t="shared" si="138"/>
        <v>6480708.0821750965</v>
      </c>
      <c r="AC60" s="150">
        <f t="shared" si="117"/>
        <v>4564154.762375352</v>
      </c>
      <c r="AD60" s="26">
        <f t="shared" si="118"/>
        <v>6.0454477450541644</v>
      </c>
      <c r="AE60" s="26">
        <f t="shared" ref="AE60:AE91" si="182">(rd*Periodicité/(1+fractionnelentrente))*(AA60*0.5+$H$4-AD60-am*Y60)+(rv*Periodicité/(1+fractionnelentrente))*(1+am)*Y60</f>
        <v>521635.30942183168</v>
      </c>
      <c r="AF60" s="43">
        <f t="shared" ref="AF60:AF91" si="183">AE60/X60</f>
        <v>83108.347898929846</v>
      </c>
      <c r="AG60" s="43">
        <f t="shared" ref="AG60:AG91" si="184">AE60*(1+$H$7)+(rd*Periodicité/(1+fractionnelentrente))*gg*X60*$H$5+(rv*Periodicité/(1+fractionnelentrente))*grr*(1+am)*X60</f>
        <v>542579.58917307295</v>
      </c>
      <c r="AH60" s="27">
        <f t="shared" ref="AH60:AH91" si="185">AF60*(1+$H$7)+(rd*Periodicité/(1+fractionnelentrente))*gg*$H$5+(rv*Periodicité/(1+fractionnelentrente))*(gpp+grr)*(1+am)</f>
        <v>90288.050398097461</v>
      </c>
      <c r="AI60" s="28">
        <f t="shared" ref="AI60:AI91" si="186">AG60/(1-Frais_sur_versement)</f>
        <v>583418.91308932577</v>
      </c>
      <c r="AJ60" s="20">
        <f t="shared" ref="AJ60:AJ91" si="187">AH60/(1-Frais_sur_versement)</f>
        <v>97083.925159244594</v>
      </c>
      <c r="AK60" s="3">
        <f t="shared" ref="AK60:AK91" si="188">(AJ60/(period))*(1+frac)</f>
        <v>8413.9401804678655</v>
      </c>
      <c r="AL60" s="3"/>
      <c r="AM60" s="46">
        <f t="shared" si="121"/>
        <v>6480708.0821750965</v>
      </c>
      <c r="AN60" s="46">
        <f t="shared" si="122"/>
        <v>6175211.3180029579</v>
      </c>
      <c r="AO60" s="46">
        <f t="shared" si="122"/>
        <v>5880859.0678085573</v>
      </c>
      <c r="AP60" s="3">
        <f t="shared" si="147"/>
        <v>5597293.2575317528</v>
      </c>
      <c r="AQ60" s="3">
        <f t="shared" si="147"/>
        <v>5324164.9250815194</v>
      </c>
      <c r="AR60" s="16">
        <f t="shared" si="147"/>
        <v>5061143.1109308824</v>
      </c>
      <c r="AS60" s="16">
        <f t="shared" si="147"/>
        <v>4807907.8302165577</v>
      </c>
      <c r="AT60" s="16">
        <f t="shared" si="147"/>
        <v>4564154.762375352</v>
      </c>
      <c r="AU60" s="16">
        <f t="shared" si="147"/>
        <v>4329596.2727115229</v>
      </c>
      <c r="AV60" s="16">
        <f t="shared" si="147"/>
        <v>4103960.3363030413</v>
      </c>
      <c r="AW60" s="16">
        <f t="shared" si="147"/>
        <v>3886994.4441078454</v>
      </c>
      <c r="AX60" s="16">
        <f t="shared" si="147"/>
        <v>3678451.3364938861</v>
      </c>
      <c r="AY60" s="16">
        <f t="shared" si="147"/>
        <v>3478094.06288487</v>
      </c>
      <c r="AZ60" s="16">
        <f t="shared" si="147"/>
        <v>3285692.0588459154</v>
      </c>
      <c r="BA60" s="16">
        <f t="shared" si="147"/>
        <v>3101021.3547806852</v>
      </c>
      <c r="BB60" s="16">
        <f t="shared" si="147"/>
        <v>2923858.6434593615</v>
      </c>
      <c r="BC60" s="16">
        <f t="shared" si="144"/>
        <v>2753979.4019531519</v>
      </c>
      <c r="BD60" s="16">
        <f t="shared" si="18"/>
        <v>2591159.5511030932</v>
      </c>
      <c r="BE60" s="16">
        <f t="shared" si="18"/>
        <v>2435177.7612465657</v>
      </c>
      <c r="BF60" s="16">
        <f t="shared" si="18"/>
        <v>2285815.9243503674</v>
      </c>
      <c r="BG60" s="16">
        <f t="shared" si="18"/>
        <v>2142865.0383407604</v>
      </c>
      <c r="BH60" s="172">
        <f t="shared" si="123"/>
        <v>305496.76417213847</v>
      </c>
      <c r="BI60" s="16">
        <f t="shared" ref="BI60:BW76" si="189">BH61</f>
        <v>294352.25019440131</v>
      </c>
      <c r="BJ60" s="16">
        <f t="shared" si="189"/>
        <v>283565.81027680589</v>
      </c>
      <c r="BK60" s="16">
        <f t="shared" si="189"/>
        <v>273128.33245023253</v>
      </c>
      <c r="BL60" s="16">
        <f t="shared" si="189"/>
        <v>263021.81415063736</v>
      </c>
      <c r="BM60" s="16">
        <f t="shared" si="189"/>
        <v>253235.28071432526</v>
      </c>
      <c r="BN60" s="16">
        <f t="shared" si="189"/>
        <v>243753.06784120487</v>
      </c>
      <c r="BO60" s="16">
        <f t="shared" si="189"/>
        <v>234558.48966382915</v>
      </c>
      <c r="BP60" s="16">
        <f t="shared" si="189"/>
        <v>225635.93640848066</v>
      </c>
      <c r="BQ60" s="16">
        <f t="shared" si="189"/>
        <v>216965.89219519592</v>
      </c>
      <c r="BR60" s="16">
        <f t="shared" si="189"/>
        <v>208543.10761395967</v>
      </c>
      <c r="BS60" s="16">
        <f t="shared" si="189"/>
        <v>200357.2736090158</v>
      </c>
      <c r="BT60" s="16">
        <f t="shared" si="189"/>
        <v>192402.00403895453</v>
      </c>
      <c r="BU60" s="16">
        <f t="shared" si="189"/>
        <v>184670.70406523009</v>
      </c>
      <c r="BV60" s="16">
        <f t="shared" si="189"/>
        <v>177162.71132132332</v>
      </c>
      <c r="BW60" s="16">
        <f t="shared" si="189"/>
        <v>169879.2415062098</v>
      </c>
      <c r="BX60" s="16">
        <f t="shared" si="168"/>
        <v>162819.85085005857</v>
      </c>
      <c r="BY60" s="16">
        <f t="shared" si="149"/>
        <v>155981.78985652846</v>
      </c>
      <c r="BZ60" s="16">
        <f t="shared" si="149"/>
        <v>149361.83689619804</v>
      </c>
      <c r="CA60" s="16">
        <f t="shared" si="149"/>
        <v>142950.88600960682</v>
      </c>
      <c r="CB60" s="16">
        <f t="shared" si="149"/>
        <v>136742.02678352417</v>
      </c>
      <c r="CC60" s="18">
        <f t="shared" si="124"/>
        <v>5.4756725705152309</v>
      </c>
      <c r="CD60" s="18">
        <f t="shared" si="124"/>
        <v>4.6451266701150793</v>
      </c>
      <c r="CE60" s="18">
        <f t="shared" si="124"/>
        <v>3.7837821017443054</v>
      </c>
      <c r="CF60" s="18">
        <f t="shared" si="124"/>
        <v>2.8901630974480876</v>
      </c>
      <c r="CG60" s="18">
        <f t="shared" si="124"/>
        <v>1.9627919324185479</v>
      </c>
      <c r="CH60" s="18">
        <f t="shared" si="150"/>
        <v>0.99999999999999767</v>
      </c>
      <c r="CI60" s="18">
        <f t="shared" si="150"/>
        <v>0</v>
      </c>
      <c r="CJ60" s="18">
        <f t="shared" si="150"/>
        <v>-1.039199511348126</v>
      </c>
      <c r="CK60" s="18">
        <f t="shared" si="150"/>
        <v>-2.1198376691163334</v>
      </c>
      <c r="CL60" s="18">
        <f t="shared" si="151"/>
        <v>-3.2445076356988025</v>
      </c>
      <c r="CM60" s="18">
        <f t="shared" si="151"/>
        <v>-4.4159377725081299</v>
      </c>
      <c r="CN60" s="18">
        <f t="shared" si="151"/>
        <v>-5.6372123326390069</v>
      </c>
      <c r="CO60" s="18">
        <f t="shared" si="151"/>
        <v>-6.9116419757376741</v>
      </c>
      <c r="CP60" s="18">
        <f t="shared" si="152"/>
        <v>-8.2428654781808781</v>
      </c>
      <c r="CQ60" s="18">
        <f t="shared" si="153"/>
        <v>-9.6345696151604994</v>
      </c>
      <c r="CR60" s="18">
        <f t="shared" si="154"/>
        <v>-11.090520360536965</v>
      </c>
      <c r="CS60" s="18">
        <f t="shared" si="142"/>
        <v>-12.614729822808131</v>
      </c>
      <c r="CT60" s="18">
        <f t="shared" si="125"/>
        <v>-14.211583808292124</v>
      </c>
      <c r="CU60" s="18">
        <f t="shared" si="125"/>
        <v>-15.885785273375873</v>
      </c>
      <c r="CV60" s="18">
        <f t="shared" si="125"/>
        <v>-17.643065924730934</v>
      </c>
      <c r="CW60" s="18">
        <f t="shared" si="22"/>
        <v>-19.489566262571326</v>
      </c>
      <c r="CX60" s="17">
        <f t="shared" ref="CX60:CX91" si="190">R61</f>
        <v>827.82290946077819</v>
      </c>
      <c r="CY60" s="17">
        <f t="shared" si="126"/>
        <v>846.94253061615575</v>
      </c>
      <c r="CZ60" s="17">
        <f t="shared" si="126"/>
        <v>863.01334300521671</v>
      </c>
      <c r="DA60" s="17">
        <f t="shared" si="126"/>
        <v>885.39366910186175</v>
      </c>
      <c r="DB60" s="17">
        <f t="shared" si="126"/>
        <v>907.55302244505697</v>
      </c>
      <c r="DC60" s="17">
        <f t="shared" si="126"/>
        <v>934.63996497175719</v>
      </c>
      <c r="DD60" s="17">
        <f t="shared" si="126"/>
        <v>968.23268856226048</v>
      </c>
      <c r="DE60" s="17">
        <f t="shared" si="126"/>
        <v>1007.810475753591</v>
      </c>
      <c r="DF60" s="3" t="e">
        <f>#REF!+$AG$35*0.004*(1+$R$28)*#REF!-S60*#REF!</f>
        <v>#REF!</v>
      </c>
      <c r="DG60" s="19">
        <f t="shared" ref="DG60:DG91" si="191">CX60+rv*0.004*(1+am)*CC60-$O60*CC60</f>
        <v>1744.7968356040867</v>
      </c>
      <c r="DH60" s="19">
        <f t="shared" ref="DH60:DH91" si="192">CY60+rv*0.004*(1+am)*CD60-$O60*CD60</f>
        <v>1624.8305407693315</v>
      </c>
      <c r="DI60" s="19">
        <f t="shared" ref="DI60:DI91" si="193">CZ60+rv*0.004*(1+am)*CE60-$O60*CE60</f>
        <v>1496.6577921255157</v>
      </c>
      <c r="DJ60" s="19">
        <f t="shared" ref="DJ60:DJ91" si="194">DA60+rv*0.004*(1+am)*CF60-$O60*CF60</f>
        <v>1369.3897752481628</v>
      </c>
      <c r="DK60" s="19">
        <f t="shared" ref="DK60:DK91" si="195">DB60+rv*0.004*(1+am)*CG60-$O60*CG60</f>
        <v>1236.2485390768875</v>
      </c>
      <c r="DL60" s="19">
        <f t="shared" ref="DL60:DL91" si="196">DC60+rv*0.004*(1+am)*CH60-$O60*CH60</f>
        <v>1102.1032152546397</v>
      </c>
      <c r="DM60" s="19">
        <f t="shared" ref="DM60:DM91" si="197">DD60+rv*0.004*(1+am)*CI60-$O60*CI60</f>
        <v>968.23268856226048</v>
      </c>
      <c r="DN60" s="19">
        <f t="shared" ref="DN60:DN91" si="198">DE60+rv*0.004*(1+am)*CJ60-$O60*CJ60</f>
        <v>833.78274789085037</v>
      </c>
      <c r="DO60" s="173">
        <f t="shared" si="127"/>
        <v>87840.381572520157</v>
      </c>
      <c r="DP60" s="25">
        <f t="shared" si="155"/>
        <v>87012.558663059375</v>
      </c>
      <c r="DQ60" s="26">
        <f t="shared" si="155"/>
        <v>86165.616132443218</v>
      </c>
      <c r="DR60" s="26">
        <f t="shared" si="155"/>
        <v>85302.60278943798</v>
      </c>
      <c r="DS60" s="26">
        <f t="shared" si="155"/>
        <v>84417.209120336134</v>
      </c>
      <c r="DT60" s="26">
        <f t="shared" si="155"/>
        <v>83509.656097891071</v>
      </c>
      <c r="DU60" s="26">
        <f t="shared" si="155"/>
        <v>82575.016132919322</v>
      </c>
      <c r="DV60" s="26">
        <f t="shared" si="155"/>
        <v>81606.783444357046</v>
      </c>
      <c r="DW60" s="26">
        <f t="shared" si="155"/>
        <v>80598.972968603455</v>
      </c>
      <c r="DX60" s="26">
        <f t="shared" si="155"/>
        <v>79541.088741864602</v>
      </c>
      <c r="DY60" s="26">
        <f t="shared" si="155"/>
        <v>78436.477379158212</v>
      </c>
      <c r="DZ60" s="26">
        <f t="shared" si="155"/>
        <v>77283.157471351093</v>
      </c>
      <c r="EA60" s="26">
        <f t="shared" si="155"/>
        <v>76082.783920534741</v>
      </c>
      <c r="EB60" s="26">
        <f t="shared" si="155"/>
        <v>74836.579607665073</v>
      </c>
      <c r="EC60" s="26">
        <f t="shared" si="155"/>
        <v>73551.575928090766</v>
      </c>
      <c r="ED60" s="26">
        <f t="shared" si="155"/>
        <v>72236.692138670856</v>
      </c>
      <c r="EE60" s="26">
        <f t="shared" si="145"/>
        <v>70899.201060349529</v>
      </c>
      <c r="EF60" s="26">
        <f t="shared" si="34"/>
        <v>69544.014517296338</v>
      </c>
      <c r="EG60" s="26">
        <f t="shared" si="34"/>
        <v>68175.46941806782</v>
      </c>
      <c r="EH60" s="26">
        <f t="shared" si="34"/>
        <v>66791.805416898773</v>
      </c>
      <c r="EI60" s="26">
        <f t="shared" si="34"/>
        <v>65393.182532433275</v>
      </c>
      <c r="EJ60" s="26">
        <f t="shared" si="128"/>
        <v>1.7235421310825918E-2</v>
      </c>
      <c r="EK60" s="26">
        <f t="shared" si="128"/>
        <v>1.5075619524597938E-2</v>
      </c>
      <c r="EL60" s="26">
        <f t="shared" si="169"/>
        <v>1.266231636324172E-2</v>
      </c>
      <c r="EM60" s="26">
        <f t="shared" si="169"/>
        <v>9.9864654539845669E-3</v>
      </c>
      <c r="EN60" s="26">
        <f t="shared" si="169"/>
        <v>7.0039551410049786E-3</v>
      </c>
      <c r="EO60" s="26">
        <f t="shared" si="169"/>
        <v>3.6907968049922596E-3</v>
      </c>
      <c r="EP60" s="26">
        <f t="shared" si="169"/>
        <v>0</v>
      </c>
      <c r="EQ60" s="26">
        <f t="shared" si="169"/>
        <v>-4.1278944537456435E-3</v>
      </c>
      <c r="ER60" s="26">
        <f t="shared" si="169"/>
        <v>-8.7576615488169883E-3</v>
      </c>
      <c r="ES60" s="26">
        <f t="shared" si="169"/>
        <v>-1.3983430115942885E-2</v>
      </c>
      <c r="ET60" s="26">
        <f t="shared" si="169"/>
        <v>-1.9845003755396613E-2</v>
      </c>
      <c r="EU60" s="26">
        <f t="shared" si="169"/>
        <v>-2.6412111555754882E-2</v>
      </c>
      <c r="EV60" s="26">
        <f t="shared" si="169"/>
        <v>-3.3743059199477649E-2</v>
      </c>
      <c r="EW60" s="26">
        <f t="shared" si="169"/>
        <v>-4.1903974777292498E-2</v>
      </c>
      <c r="EX60" s="26">
        <f t="shared" si="169"/>
        <v>-5.093306676969158E-2</v>
      </c>
      <c r="EY60" s="26">
        <f t="shared" si="169"/>
        <v>-6.0856899893036998E-2</v>
      </c>
      <c r="EZ60" s="26">
        <f t="shared" si="146"/>
        <v>-7.1710021914478325E-2</v>
      </c>
      <c r="FA60" s="26">
        <f t="shared" si="146"/>
        <v>-8.3541813615607668E-2</v>
      </c>
      <c r="FB60" s="26">
        <f t="shared" si="146"/>
        <v>-9.6407134607341169E-2</v>
      </c>
      <c r="FC60" s="26">
        <f t="shared" si="146"/>
        <v>-0.11041002372632974</v>
      </c>
      <c r="FD60" s="26">
        <f t="shared" si="146"/>
        <v>-0.12565144750769672</v>
      </c>
      <c r="FE60" s="26">
        <f t="shared" si="130"/>
        <v>5.273563404160388</v>
      </c>
      <c r="FF60" s="26">
        <f t="shared" si="130"/>
        <v>4.473226566345609</v>
      </c>
      <c r="FG60" s="26">
        <f t="shared" si="130"/>
        <v>3.6433817396670327</v>
      </c>
      <c r="FH60" s="26">
        <f t="shared" si="130"/>
        <v>2.7826119534656883</v>
      </c>
      <c r="FI60" s="26">
        <f t="shared" si="130"/>
        <v>1.8895328136961909</v>
      </c>
      <c r="FJ60" s="26">
        <f t="shared" si="157"/>
        <v>0.96255571954124197</v>
      </c>
      <c r="FK60" s="26">
        <f t="shared" si="157"/>
        <v>0</v>
      </c>
      <c r="FL60" s="26">
        <f t="shared" si="157"/>
        <v>-0.99999999999999978</v>
      </c>
      <c r="FM60" s="26">
        <f t="shared" si="157"/>
        <v>-2.0395440256431332</v>
      </c>
      <c r="FN60" s="26">
        <f t="shared" si="157"/>
        <v>-3.1210450242487484</v>
      </c>
      <c r="FO60" s="26">
        <f t="shared" si="170"/>
        <v>-4.2470999689954647</v>
      </c>
      <c r="FP60" s="26">
        <f t="shared" si="158"/>
        <v>-5.4206202746093402</v>
      </c>
      <c r="FQ60" s="26">
        <f t="shared" si="158"/>
        <v>-6.6447473347034034</v>
      </c>
      <c r="FR60" s="26">
        <f t="shared" si="158"/>
        <v>-7.922931874878504</v>
      </c>
      <c r="FS60" s="26">
        <f t="shared" si="158"/>
        <v>-9.2586984398819379</v>
      </c>
      <c r="FT60" s="26">
        <f t="shared" si="159"/>
        <v>-10.65565954010944</v>
      </c>
      <c r="FU60" s="26">
        <f t="shared" si="143"/>
        <v>-12.117657650289814</v>
      </c>
      <c r="FV60" s="26">
        <f t="shared" si="131"/>
        <v>-13.648881725789993</v>
      </c>
      <c r="FW60" s="26">
        <f t="shared" si="131"/>
        <v>-15.253821761768778</v>
      </c>
      <c r="FX60" s="26">
        <f t="shared" si="39"/>
        <v>4329596.2727115229</v>
      </c>
      <c r="FY60" s="26">
        <f t="shared" si="40"/>
        <v>225635.93640848066</v>
      </c>
      <c r="FZ60" s="26">
        <f t="shared" si="132"/>
        <v>0.79789083364515501</v>
      </c>
      <c r="GA60" s="26">
        <f t="shared" si="160"/>
        <v>0.82809989623052371</v>
      </c>
      <c r="GB60" s="26">
        <f t="shared" si="132"/>
        <v>0.85959963792271932</v>
      </c>
      <c r="GC60" s="26">
        <f t="shared" si="132"/>
        <v>0.89244885601760049</v>
      </c>
      <c r="GD60" s="26">
        <f t="shared" si="132"/>
        <v>0.92674088127763832</v>
      </c>
      <c r="GE60" s="26">
        <f t="shared" si="161"/>
        <v>0.96255571954123853</v>
      </c>
      <c r="GF60" s="26">
        <f t="shared" si="161"/>
        <v>1</v>
      </c>
      <c r="GG60" s="26">
        <f t="shared" si="161"/>
        <v>1.0391995113481225</v>
      </c>
      <c r="GH60" s="26">
        <f t="shared" si="161"/>
        <v>1.0802936434732002</v>
      </c>
      <c r="GI60" s="26">
        <f t="shared" si="161"/>
        <v>1.1234626114500501</v>
      </c>
      <c r="GJ60" s="26">
        <f t="shared" si="171"/>
        <v>1.1688378035126599</v>
      </c>
      <c r="GK60" s="26">
        <f t="shared" si="162"/>
        <v>1.2165920580296632</v>
      </c>
      <c r="GL60" s="26">
        <f t="shared" si="162"/>
        <v>1.266894641034267</v>
      </c>
      <c r="GM60" s="26">
        <f t="shared" si="162"/>
        <v>1.3199336033023705</v>
      </c>
      <c r="GN60" s="26">
        <f t="shared" si="162"/>
        <v>1.3758711752785573</v>
      </c>
      <c r="GO60" s="26">
        <f t="shared" si="163"/>
        <v>1.4348608204275193</v>
      </c>
      <c r="GP60" s="26">
        <f t="shared" si="140"/>
        <v>1.4970721725183129</v>
      </c>
      <c r="GQ60" s="26">
        <f t="shared" si="134"/>
        <v>1.5627020825021187</v>
      </c>
      <c r="GR60" s="26">
        <f t="shared" si="134"/>
        <v>1.6319635116070905</v>
      </c>
      <c r="GS60" s="26">
        <f t="shared" si="134"/>
        <v>1.7051525502599807</v>
      </c>
      <c r="GT60" s="26">
        <f t="shared" si="134"/>
        <v>1.7825760929161121</v>
      </c>
      <c r="GU60" s="26">
        <f t="shared" si="135"/>
        <v>5.4756725705152309</v>
      </c>
      <c r="GV60" s="26">
        <f t="shared" si="164"/>
        <v>4.6451266701150793</v>
      </c>
      <c r="GW60" s="26">
        <f t="shared" si="135"/>
        <v>3.7837821017443054</v>
      </c>
      <c r="GX60" s="26">
        <f t="shared" si="135"/>
        <v>2.8901630974480876</v>
      </c>
      <c r="GY60" s="26">
        <f t="shared" si="135"/>
        <v>1.9627919324185479</v>
      </c>
      <c r="GZ60" s="26">
        <f t="shared" si="165"/>
        <v>0.99999999999999767</v>
      </c>
      <c r="HA60" s="26">
        <f t="shared" si="165"/>
        <v>0</v>
      </c>
      <c r="HB60" s="26">
        <f t="shared" si="165"/>
        <v>-1.039199511348126</v>
      </c>
      <c r="HC60" s="26">
        <f t="shared" si="165"/>
        <v>-2.1198376691163334</v>
      </c>
      <c r="HD60" s="26">
        <f t="shared" si="165"/>
        <v>-3.2445076356988025</v>
      </c>
      <c r="HE60" s="26">
        <f t="shared" si="172"/>
        <v>-4.4159377725081299</v>
      </c>
      <c r="HF60" s="26">
        <f t="shared" si="166"/>
        <v>-5.6372123326390069</v>
      </c>
      <c r="HG60" s="26">
        <f t="shared" si="166"/>
        <v>-6.9116419757376741</v>
      </c>
      <c r="HH60" s="26">
        <f t="shared" si="166"/>
        <v>-8.2428654781808781</v>
      </c>
      <c r="HI60" s="26">
        <f t="shared" si="166"/>
        <v>-9.6345696151604994</v>
      </c>
      <c r="HJ60" s="26">
        <f t="shared" si="167"/>
        <v>-11.090520360536965</v>
      </c>
      <c r="HK60" s="26">
        <f t="shared" si="141"/>
        <v>-12.614729822808131</v>
      </c>
      <c r="HL60" s="26">
        <f t="shared" si="137"/>
        <v>-14.211583808292124</v>
      </c>
      <c r="HM60" s="26">
        <f t="shared" si="137"/>
        <v>-15.885785273375873</v>
      </c>
      <c r="HN60" s="26">
        <f t="shared" si="137"/>
        <v>-17.643065924730934</v>
      </c>
      <c r="HO60" s="26">
        <f t="shared" si="137"/>
        <v>-19.489566262571326</v>
      </c>
      <c r="HP60" s="26">
        <f t="shared" ref="HP60:HP91" si="199">(rd*Periodicité/(1+fractionnelentrente))*(0.5*EJ60+am_n_1-FE60-am*FZ60)+(rv*Periodicité/(1+fractionnelentrente))*(1+am)*FZ60</f>
        <v>519810.22515005496</v>
      </c>
      <c r="HQ60" s="26">
        <f t="shared" ref="HQ60:HQ91" si="200">(rd*Periodicité/(1+fractionnelentrente))*(0.5*EK60+am_n_2-FF60-am*GA60)+(rv*Periodicité/(1+fractionnelentrente))*(1+am)*GA60</f>
        <v>536377.25252546603</v>
      </c>
      <c r="HR60" s="26">
        <f t="shared" ref="HR60:HR91" si="201">(rd*Periodicité/(1+fractionnelentrente))*(0.5*EL60+am_n_3-FG60-am*GB60)+(rv*Periodicité/(1+fractionnelentrente))*(1+am)*GB60</f>
        <v>553712.19624588522</v>
      </c>
      <c r="HS60" s="26">
        <f t="shared" ref="HS60:HS91" si="202">(rd*Periodicité/(1+fractionnelentrente))*(0.5*EM60+am_n_4-FH60-am*GC60)+(rv*Periodicité/(1+fractionnelentrente))*(1+am)*GC60</f>
        <v>571887.52674112504</v>
      </c>
      <c r="HT60" s="26">
        <f t="shared" ref="HT60:HT91" si="203">(rd*Periodicité/(1+fractionnelentrente))*(0.5*EN60+am_n_5-FI60-am*GD60)+(rv*Periodicité/(1+fractionnelentrente))*(1+am)*GD60</f>
        <v>590970.5624362824</v>
      </c>
      <c r="HU60" s="26">
        <f t="shared" ref="HU60:HU91" si="204">(rd*Periodicité/(1+fractionnelentrente))*(0.5*EO60+am_n_6-FJ60-am*GE60)+(rv*Periodicité/(1+fractionnelentrente))*(1+am)*GE60</f>
        <v>611048.17251494061</v>
      </c>
      <c r="HV60" s="26">
        <f t="shared" ref="HV60:HV91" si="205">(rd*Periodicité/(1+fractionnelentrente))*(0.5*EP60+am_n_7-FK60-am*GF60)+(rv*Periodicité/(1+fractionnelentrente))*(1+am)*GF60</f>
        <v>632215.9078880985</v>
      </c>
      <c r="HW60" s="26">
        <f t="shared" ref="HW60:HW91" si="206">(rd*Periodicité/(1+fractionnelentrente))*(0.5*EQ60+am_n_8-FL60-am*GG60)+(rv*Periodicité/(1+fractionnelentrente))*(1+am)*GG60</f>
        <v>654588.2742358509</v>
      </c>
      <c r="HX60" s="26">
        <f t="shared" ref="HX60:HX91" si="207">(rd*Periodicité/(1+fractionnelentrente))*(0.5*ER60+am_n_9-FM60-am*GH60)+(rv*Periodicité/(1+fractionnelentrente))*(1+am)*GH60</f>
        <v>678304.00343427877</v>
      </c>
      <c r="HY60" s="26">
        <f t="shared" ref="HY60:HY91" si="208">(rd*Periodicité/(1+fractionnelentrente))*(0.5*ES60+am_n_10-FN60-am*GI60)+(rv*Periodicité/(1+fractionnelentrente))*(1+am)*GI60</f>
        <v>703536.73033998418</v>
      </c>
      <c r="HZ60" s="26">
        <f t="shared" ref="HZ60:HZ91" si="209">(rd*Periodicité/(1+fractionnelentrente))*(0.5*ET60+am_n_11-FO60-am*GJ60)+(rv*Periodicité/(1+fractionnelentrente))*(1+am)*GJ60</f>
        <v>730474.56380928913</v>
      </c>
      <c r="IA60" s="26">
        <f t="shared" ref="IA60:IA91" si="210">(rd*Periodicité/(1+fractionnelentrente))*(0.5*EU60+am_n_12-FP60-am*GK60)+(rv*Periodicité/(1+fractionnelentrente))*(1+am)*GK60</f>
        <v>759340.41185325314</v>
      </c>
      <c r="IB60" s="26">
        <f t="shared" ref="IB60:IB91" si="211">(rd*Periodicité/(1+fractionnelentrente))*(0.5*EV60+am_n_13-FQ60-am*GL60)+(rv*Periodicité/(1+fractionnelentrente))*(1+am)*GL60</f>
        <v>790379.35825823469</v>
      </c>
      <c r="IC60" s="26">
        <f t="shared" ref="IC60:IC91" si="212">(rd*Periodicité/(1+fractionnelentrente))*(0.5*EW60+am_n_14-FR60-am*GM60)+(rv*Periodicité/(1+fractionnelentrente))*(1+am)*GM60</f>
        <v>823869.06381947047</v>
      </c>
      <c r="ID60" s="26">
        <f t="shared" ref="ID60:ID91" si="213">(rd*Periodicité/(1+fractionnelentrente))*(0.5*EX60+am_n_15-FS60-am*GN60)+(rv*Periodicité/(1+fractionnelentrente))*(1+am)*GN60</f>
        <v>860089.54318201239</v>
      </c>
      <c r="IE60" s="26">
        <f t="shared" ref="IE60:IE91" si="214">(rd*Periodicité/(1+fractionnelentrente))*(0.5*EY60+am_n_16-FT60-am*GO60)+(rv*Periodicité/(1+fractionnelentrente))*(1+am)*GO60</f>
        <v>899325.64232989633</v>
      </c>
      <c r="IF60" s="26">
        <f t="shared" ref="IF60:IF91" si="215">(rd*Periodicité/(1+fractionnelentrente))*(0.5*EZ60+am_n_17-FU60-am*GP60)+(rv*Periodicité/(1+fractionnelentrente))*(1+am)*GP60</f>
        <v>941884.87824697164</v>
      </c>
      <c r="IG60" s="26">
        <f t="shared" ref="IG60:IG91" si="216">(rd*Periodicité/(1+fractionnelentrente))*(0.5*FA60+am_n_18-FV60-am*GQ60)+(rv*Periodicité/(1+fractionnelentrente))*(1+am)*GQ60</f>
        <v>988111.49140742864</v>
      </c>
      <c r="IH60" s="26">
        <f t="shared" ref="IH60:IH91" si="217">(rd*Periodicité/(1+fractionnelentrente))*(0.5*FB60+am_n_19-FW60-am*GR60)+(rv*Periodicité/(1+fractionnelentrente))*(1+am)*GR60</f>
        <v>1038380.3153268279</v>
      </c>
      <c r="II60" s="26">
        <f t="shared" ref="II60:II91" si="218">(rd*Periodicité/(1+fractionnelentrente))*(0.5*FC60+am_n_20-FX60-am*GS60)+(rv*Periodicité/(1+fractionnelentrente))*(1+am)*GS60</f>
        <v>-496322451988.47974</v>
      </c>
      <c r="IJ60" s="26">
        <f t="shared" ref="IJ60:IJ91" si="219">HP60*(1+$H$7)+(rd*Periodicité/(1+fractionnelentrente))*gg*GU60*am_n_2_1+(rv*Periodicité/(1+fractionnelentrente))*grr*(1+am)*GU60</f>
        <v>539719.3249245038</v>
      </c>
      <c r="IK60" s="26">
        <f t="shared" ref="IK60:IK91" si="220">HQ60*(1+$H$7)+(rd*Periodicité/(1+fractionnelentrente))*gg*GV60*am_n_2_2+(rv*Periodicité/(1+fractionnelentrente))*grr*(1+am)*GV60</f>
        <v>555928.44701870391</v>
      </c>
      <c r="IL60" s="26">
        <f t="shared" ref="IL60:IL91" si="221">HR60*(1+$H$7)+(rd*Periodicité/(1+fractionnelentrente))*gg*GW60*am_n_2_3+(rv*Periodicité/(1+fractionnelentrente))*grr*(1+am)*GW60</f>
        <v>572975.76029596839</v>
      </c>
      <c r="IM60" s="26">
        <f t="shared" ref="IM60:IM91" si="222">HS60*(1+$H$7)+(rd*Periodicité/(1+fractionnelentrente))*gg*GX60*am_n_2_4+(rv*Periodicité/(1+fractionnelentrente))*grr*(1+am)*GX60</f>
        <v>590940.89420253376</v>
      </c>
      <c r="IN60" s="26">
        <f t="shared" ref="IN60:IN91" si="223">HT60*(1+$H$7)+(rd*Periodicité/(1+fractionnelentrente))*gg*GY60*am_n_2_5+(rv*Periodicité/(1+fractionnelentrente))*grr*(1+am)*GY60</f>
        <v>609898.62451086799</v>
      </c>
      <c r="IO60" s="26">
        <f t="shared" ref="IO60:IO91" si="224">HU60*(1+$H$7)+(rd*Periodicité/(1+fractionnelentrente))*gg*GZ60*am_n_2_6+(rv*Periodicité/(1+fractionnelentrente))*grr*(1+am)*GZ60</f>
        <v>629944.2276543082</v>
      </c>
      <c r="IP60" s="26">
        <f t="shared" ref="IP60:IP91" si="225">HV60*(1+$H$7)+(rd*Periodicité/(1+fractionnelentrente))*gg*HA60*am_n_2_7+(rv*Periodicité/(1+fractionnelentrente))*grr*(1+am)*HA60</f>
        <v>651182.38512474147</v>
      </c>
      <c r="IQ60" s="26">
        <f t="shared" ref="IQ60:IQ91" si="226">HW60*(1+$H$7)+(rd*Periodicité/(1+fractionnelentrente))*gg*HB60*am_n_2_8+(rv*Periodicité/(1+fractionnelentrente))*grr*(1+am)*HB60</f>
        <v>673737.77231665922</v>
      </c>
      <c r="IR60" s="26">
        <f t="shared" ref="IR60:IR91" si="227">HX60*(1+$H$7)+(rd*Periodicité/(1+fractionnelentrente))*gg*HC60*am_n_2_9+(rv*Periodicité/(1+fractionnelentrente))*grr*(1+am)*HC60</f>
        <v>697760.54040128156</v>
      </c>
      <c r="IS60" s="26">
        <f t="shared" ref="IS60:IS91" si="228">HY60*(1+$H$7)+(rd*Periodicité/(1+fractionnelentrente))*gg*HD60*am_n_2_10+(rv*Periodicité/(1+fractionnelentrente))*grr*(1+am)*HD60</f>
        <v>723437.3585835105</v>
      </c>
      <c r="IT60" s="26">
        <f t="shared" ref="IT60:IT91" si="229">HZ60*(1+$H$7)+(rd*Periodicité/(1+fractionnelentrente))*gg*HE60*am_n_2_11+(rv*Periodicité/(1+fractionnelentrente))*grr*(1+am)*HE60</f>
        <v>750970.55793347082</v>
      </c>
      <c r="IU60" s="26">
        <f t="shared" ref="IU60:IU91" si="230">IA60*(1+$H$7)+(rd*Periodicité/(1+fractionnelentrente))*gg*HF60*am_n_2_12+(rv*Periodicité/(1+fractionnelentrente))*grr*(1+am)*HF60</f>
        <v>780599.07153750118</v>
      </c>
      <c r="IV60" s="26">
        <f t="shared" ref="IV60:IV91" si="231">IB60*(1+$H$7)+(rd*Periodicité/(1+fractionnelentrente))*gg*HG60*am_n_2_13+(rv*Periodicité/(1+fractionnelentrente))*grr*(1+am)*HG60</f>
        <v>812585.58573863411</v>
      </c>
      <c r="IW60" s="26">
        <f t="shared" ref="IW60:IW91" si="232">IC60*(1+$H$7)+(rd*Periodicité/(1+fractionnelentrente))*gg*HH60*am_n_2_14+(rv*Periodicité/(1+fractionnelentrente))*grr*(1+am)*HH60</f>
        <v>847227.33330681012</v>
      </c>
      <c r="IX60" s="26">
        <f t="shared" ref="IX60:IX91" si="233">ID60*(1+$H$7)+(rd*Periodicité/(1+fractionnelentrente))*gg*HI60*am_n_2_15+(rv*Periodicité/(1+fractionnelentrente))*grr*(1+am)*HI60</f>
        <v>884825.12302121171</v>
      </c>
      <c r="IY60" s="26">
        <f t="shared" ref="IY60:IY91" si="234">IE60*(1+$H$7)+(rd*Periodicité/(1+fractionnelentrente))*gg*HJ60*am_n_2_16+(rv*Periodicité/(1+fractionnelentrente))*grr*(1+am)*HJ60</f>
        <v>925685.94715793605</v>
      </c>
      <c r="IZ60" s="26">
        <f t="shared" ref="IZ60:IZ91" si="235">IF60*(1+$H$7)+(rd*Periodicité/(1+fractionnelentrente))*gg*HK60*am_n_2_17+(rv*Periodicité/(1+fractionnelentrente))*grr*(1+am)*HK60</f>
        <v>970141.42459438078</v>
      </c>
      <c r="JA60" s="26">
        <f t="shared" ref="JA60:JA91" si="236">IG60*(1+$H$7)+(rd*Periodicité/(1+fractionnelentrente))*gg*HL60*am_n_2_18+(rv*Periodicité/(1+fractionnelentrente))*grr*(1+am)*HL60</f>
        <v>1018562.400454158</v>
      </c>
      <c r="JB60" s="26">
        <f t="shared" ref="JB60:JB91" si="237">IH60*(1+$H$7)+(rd*Periodicité/(1+fractionnelentrente))*gg*HM60*am_n_2_19+(rv*Periodicité/(1+fractionnelentrente))*grr*(1+am)*HM60</f>
        <v>1071352.7856715287</v>
      </c>
      <c r="JC60" s="26">
        <f t="shared" ref="JC60:JC91" si="238">II60*(1+$H$7)+(rd*Periodicité/(1+fractionnelentrente))*gg*HN60*am_n_2_20+(rv*Periodicité/(1+fractionnelentrente))*grr*(1+am)*HN60</f>
        <v>-511212122487.98248</v>
      </c>
      <c r="JD60" s="26">
        <f t="shared" ref="JD60:JD91" si="239">IK60+(rv*Periodicité/(1+fractionnelentrente))*gpp*(1+am)*GV60-$AH60*GV60</f>
        <v>154379.32384649356</v>
      </c>
      <c r="JE60" s="26">
        <f t="shared" ref="JE60:JE91" si="240">IL60+(rv*Periodicité/(1+fractionnelentrente))*gpp*(1+am)*GW60-$AH60*GW60</f>
        <v>245885.78124218137</v>
      </c>
      <c r="JF60" s="26">
        <f t="shared" ref="JF60:JF91" si="241">IM60+(rv*Periodicité/(1+fractionnelentrente))*gpp*(1+am)*GX60-$AH60*GX60</f>
        <v>341100.03085828241</v>
      </c>
      <c r="JG60" s="26">
        <f t="shared" ref="JG60:JG91" si="242">IN60+(rv*Periodicité/(1+fractionnelentrente))*gpp*(1+am)*GY60-$AH60*GY60</f>
        <v>440224.59075354307</v>
      </c>
      <c r="JH60" s="26">
        <f t="shared" ref="JH60:JH91" si="243">IO60+(rv*Periodicité/(1+fractionnelentrente))*gpp*(1+am)*GZ60-$AH60*GZ60</f>
        <v>543498.98047609476</v>
      </c>
      <c r="JI60" s="26">
        <f t="shared" ref="JI60:JI91" si="244">IP60+(rv*Periodicité/(1+fractionnelentrente))*gpp*(1+am)*HA60-$AH60*HA60</f>
        <v>651182.38512474147</v>
      </c>
      <c r="JJ60" s="26">
        <f t="shared" ref="JJ60:JJ91" si="245">IQ60+(rv*Periodicité/(1+fractionnelentrente))*gpp*(1+am)*HB60-$AH60*HB60</f>
        <v>763571.63094262686</v>
      </c>
      <c r="JK60" s="26">
        <f t="shared" ref="JK60:JK91" si="246">IR60+(rv*Periodicité/(1+fractionnelentrente))*gpp*(1+am)*HC60-$AH60*HC60</f>
        <v>881010.43168573128</v>
      </c>
      <c r="JL60" s="26">
        <f t="shared" ref="JL60:JL91" si="247">IS60+(rv*Periodicité/(1+fractionnelentrente))*gpp*(1+am)*HD60-$AH60*HD60</f>
        <v>1003909.6231230949</v>
      </c>
      <c r="JM60" s="26">
        <f t="shared" ref="JM60:JM91" si="248">IT60+(rv*Periodicité/(1+fractionnelentrente))*gpp*(1+am)*HE60-$AH60*HE60</f>
        <v>1132707.390201546</v>
      </c>
      <c r="JN60" s="26">
        <f t="shared" ref="JN60:JN91" si="249">IU60+(rv*Periodicité/(1+fractionnelentrente))*gpp*(1+am)*HF60-$AH60*HF60</f>
        <v>1267909.2850285543</v>
      </c>
      <c r="JO60" s="26">
        <f t="shared" ref="JO60:JO91" si="250">IV60+(rv*Periodicité/(1+fractionnelentrente))*gpp*(1+am)*HG60-$AH60*HG60</f>
        <v>1410064.1847385941</v>
      </c>
      <c r="JP60" s="26">
        <f t="shared" ref="JP60:JP91" si="251">IW60+(rv*Periodicité/(1+fractionnelentrente))*gpp*(1+am)*HH60-$AH60*HH60</f>
        <v>1559783.8770249202</v>
      </c>
      <c r="JQ60" s="26">
        <f t="shared" ref="JQ60:JQ91" si="252">IX60+(rv*Periodicité/(1+fractionnelentrente))*gpp*(1+am)*HI60-$AH60*HI60</f>
        <v>1717687.8748594674</v>
      </c>
      <c r="JR60" s="26">
        <f t="shared" ref="JR60:JR91" si="253">IY60+(rv*Periodicité/(1+fractionnelentrente))*gpp*(1+am)*HJ60-$AH60*HJ60</f>
        <v>1884408.7210595645</v>
      </c>
      <c r="JS60" s="26">
        <f t="shared" ref="JS60:JS91" si="254">IZ60+(rv*Periodicité/(1+fractionnelentrente))*gpp*(1+am)*HK60-$AH60*HK60</f>
        <v>2060624.8622134123</v>
      </c>
      <c r="JT60" s="26">
        <f t="shared" ref="JT60:JT91" si="255">JA60+(rv*Periodicité/(1+fractionnelentrente))*gpp*(1+am)*HL60-$AH60*HL60</f>
        <v>2247086.2755558691</v>
      </c>
      <c r="JU60" s="26">
        <f t="shared" ref="JU60:JU91" si="256">JB60+(rv*Periodicité/(1+fractionnelentrente))*gpp*(1+am)*HM60-$AH60*HM60</f>
        <v>2444603.4202485317</v>
      </c>
      <c r="JV60" s="26">
        <f t="shared" ref="JV60:JV91" si="257">JC60+(rv*Periodicité/(1+fractionnelentrente))*gpp*(1+am)*HN60-$AH60*HN60</f>
        <v>-511210597328.78766</v>
      </c>
      <c r="JW60" s="26">
        <f t="shared" ref="JW60:JW91" si="258">JD60+(rv*Periodicité/(1+fractionnelentrente))*gpp*(1+am)*HO60-$AH60*HO60</f>
        <v>1839159.6968106446</v>
      </c>
      <c r="JX60" s="26" t="e">
        <f>AH60+$AG$38*0.004*(1+$R$28)*#REF!-S60*#REF!</f>
        <v>#REF!</v>
      </c>
      <c r="JY60" s="34">
        <f t="shared" ref="JY60:JY91" si="259">F60+$J$8</f>
        <v>5.2107253816020507E-2</v>
      </c>
      <c r="JZ60" s="4">
        <f t="shared" ref="JZ60:JZ91" si="260">IJ60+rv*gpp*(1+am)*GU60-$AH60*GU60</f>
        <v>47155.158037045214</v>
      </c>
      <c r="KA60" s="165"/>
    </row>
    <row r="61" spans="1:287" ht="15.75" x14ac:dyDescent="0.3">
      <c r="A61" s="34">
        <v>60</v>
      </c>
      <c r="B61" s="34">
        <v>33</v>
      </c>
      <c r="C61" s="2">
        <v>960362</v>
      </c>
      <c r="D61" s="1">
        <f t="shared" si="106"/>
        <v>2118</v>
      </c>
      <c r="E61" s="145">
        <f t="shared" si="107"/>
        <v>0.99779458162651169</v>
      </c>
      <c r="F61" s="146">
        <f t="shared" si="108"/>
        <v>2.2054183734883104E-3</v>
      </c>
      <c r="G61" s="158">
        <f t="shared" si="173"/>
        <v>2.756772966860388E-3</v>
      </c>
      <c r="H61" s="43">
        <f t="shared" si="109"/>
        <v>2620.831857116435</v>
      </c>
      <c r="I61" s="43">
        <f t="shared" si="139"/>
        <v>950688.31877774373</v>
      </c>
      <c r="J61" s="43">
        <f t="shared" si="110"/>
        <v>959303</v>
      </c>
      <c r="K61" s="147">
        <f>SUM(J61:$J$138)</f>
        <v>41049165</v>
      </c>
      <c r="L61" s="147">
        <f t="shared" si="111"/>
        <v>42.743429040299389</v>
      </c>
      <c r="M61" s="43">
        <f t="shared" si="174"/>
        <v>1199128.75</v>
      </c>
      <c r="N61" s="148">
        <f t="shared" si="175"/>
        <v>51311456.25</v>
      </c>
      <c r="O61" s="147">
        <f t="shared" si="6"/>
        <v>53.429286300374237</v>
      </c>
      <c r="P61" s="157">
        <f t="shared" si="176"/>
        <v>305496.76417213847</v>
      </c>
      <c r="Q61" s="43">
        <f t="shared" si="177"/>
        <v>1200452.5</v>
      </c>
      <c r="R61" s="43">
        <f t="shared" si="178"/>
        <v>827.82290946077819</v>
      </c>
      <c r="S61" s="43">
        <f>SUM(R61:$R$138)</f>
        <v>87840.381572520157</v>
      </c>
      <c r="T61" s="43">
        <f t="shared" si="112"/>
        <v>2865144.4347805707</v>
      </c>
      <c r="U61" s="153">
        <f>SUM(P61:$P$138)</f>
        <v>6480708.0821750965</v>
      </c>
      <c r="V61" s="129">
        <f t="shared" si="179"/>
        <v>4564154.762375352</v>
      </c>
      <c r="W61" s="43">
        <f t="shared" si="180"/>
        <v>234558.48966382915</v>
      </c>
      <c r="X61" s="26">
        <f t="shared" si="114"/>
        <v>6.2735634041603889</v>
      </c>
      <c r="Y61" s="26">
        <f t="shared" si="115"/>
        <v>0.76779369594783109</v>
      </c>
      <c r="Z61" s="43">
        <f t="shared" si="181"/>
        <v>81606.783444357046</v>
      </c>
      <c r="AA61" s="149">
        <f t="shared" si="116"/>
        <v>2.0404792649949838E-2</v>
      </c>
      <c r="AB61" s="150">
        <f t="shared" si="138"/>
        <v>6175211.3180029579</v>
      </c>
      <c r="AC61" s="150">
        <f t="shared" si="117"/>
        <v>4329596.2727115229</v>
      </c>
      <c r="AD61" s="26">
        <f t="shared" si="118"/>
        <v>6.0413571001082191</v>
      </c>
      <c r="AE61" s="26">
        <f t="shared" si="182"/>
        <v>522049.0731502953</v>
      </c>
      <c r="AF61" s="43">
        <f t="shared" si="183"/>
        <v>83214.122424281581</v>
      </c>
      <c r="AG61" s="43">
        <f t="shared" si="184"/>
        <v>543003.22984791931</v>
      </c>
      <c r="AH61" s="27">
        <f t="shared" si="185"/>
        <v>90396.998159209747</v>
      </c>
      <c r="AI61" s="28">
        <f t="shared" si="186"/>
        <v>583874.44069668744</v>
      </c>
      <c r="AJ61" s="20">
        <f t="shared" si="187"/>
        <v>97201.073289472857</v>
      </c>
      <c r="AK61" s="3">
        <f t="shared" si="188"/>
        <v>8424.093018420981</v>
      </c>
      <c r="AL61" s="3"/>
      <c r="AM61" s="46">
        <f t="shared" si="121"/>
        <v>6175211.3180029579</v>
      </c>
      <c r="AN61" s="46">
        <f t="shared" si="122"/>
        <v>5880859.0678085573</v>
      </c>
      <c r="AO61" s="46">
        <f t="shared" si="122"/>
        <v>5597293.2575317528</v>
      </c>
      <c r="AP61" s="3">
        <f t="shared" ref="AP61:BB77" si="261">AO62</f>
        <v>5324164.9250815194</v>
      </c>
      <c r="AQ61" s="3">
        <f t="shared" si="261"/>
        <v>5061143.1109308824</v>
      </c>
      <c r="AR61" s="16">
        <f t="shared" si="261"/>
        <v>4807907.8302165577</v>
      </c>
      <c r="AS61" s="16">
        <f t="shared" si="261"/>
        <v>4564154.762375352</v>
      </c>
      <c r="AT61" s="16">
        <f t="shared" si="261"/>
        <v>4329596.2727115229</v>
      </c>
      <c r="AU61" s="16">
        <f t="shared" si="261"/>
        <v>4103960.3363030413</v>
      </c>
      <c r="AV61" s="16">
        <f t="shared" si="261"/>
        <v>3886994.4441078454</v>
      </c>
      <c r="AW61" s="16">
        <f t="shared" si="261"/>
        <v>3678451.3364938861</v>
      </c>
      <c r="AX61" s="16">
        <f t="shared" si="261"/>
        <v>3478094.06288487</v>
      </c>
      <c r="AY61" s="16">
        <f t="shared" si="261"/>
        <v>3285692.0588459154</v>
      </c>
      <c r="AZ61" s="16">
        <f t="shared" si="261"/>
        <v>3101021.3547806852</v>
      </c>
      <c r="BA61" s="16">
        <f t="shared" si="261"/>
        <v>2923858.6434593615</v>
      </c>
      <c r="BB61" s="16">
        <f t="shared" si="261"/>
        <v>2753979.4019531519</v>
      </c>
      <c r="BC61" s="16">
        <f t="shared" si="144"/>
        <v>2591159.5511030932</v>
      </c>
      <c r="BD61" s="16">
        <f t="shared" si="18"/>
        <v>2435177.7612465657</v>
      </c>
      <c r="BE61" s="16">
        <f t="shared" si="18"/>
        <v>2285815.9243503674</v>
      </c>
      <c r="BF61" s="16">
        <f t="shared" si="18"/>
        <v>2142865.0383407604</v>
      </c>
      <c r="BG61" s="16">
        <f t="shared" si="18"/>
        <v>2006123.0115572365</v>
      </c>
      <c r="BH61" s="172">
        <f t="shared" si="123"/>
        <v>294352.25019440131</v>
      </c>
      <c r="BI61" s="16">
        <f t="shared" si="189"/>
        <v>283565.81027680589</v>
      </c>
      <c r="BJ61" s="16">
        <f t="shared" si="189"/>
        <v>273128.33245023253</v>
      </c>
      <c r="BK61" s="16">
        <f t="shared" si="189"/>
        <v>263021.81415063736</v>
      </c>
      <c r="BL61" s="16">
        <f t="shared" si="189"/>
        <v>253235.28071432526</v>
      </c>
      <c r="BM61" s="16">
        <f t="shared" si="189"/>
        <v>243753.06784120487</v>
      </c>
      <c r="BN61" s="16">
        <f t="shared" si="189"/>
        <v>234558.48966382915</v>
      </c>
      <c r="BO61" s="16">
        <f t="shared" si="189"/>
        <v>225635.93640848066</v>
      </c>
      <c r="BP61" s="16">
        <f t="shared" si="189"/>
        <v>216965.89219519592</v>
      </c>
      <c r="BQ61" s="16">
        <f t="shared" si="189"/>
        <v>208543.10761395967</v>
      </c>
      <c r="BR61" s="16">
        <f t="shared" si="189"/>
        <v>200357.2736090158</v>
      </c>
      <c r="BS61" s="16">
        <f t="shared" si="189"/>
        <v>192402.00403895453</v>
      </c>
      <c r="BT61" s="16">
        <f t="shared" si="189"/>
        <v>184670.70406523009</v>
      </c>
      <c r="BU61" s="16">
        <f t="shared" si="189"/>
        <v>177162.71132132332</v>
      </c>
      <c r="BV61" s="16">
        <f t="shared" si="189"/>
        <v>169879.2415062098</v>
      </c>
      <c r="BW61" s="16">
        <f t="shared" si="189"/>
        <v>162819.85085005857</v>
      </c>
      <c r="BX61" s="16">
        <f t="shared" si="168"/>
        <v>155981.78985652846</v>
      </c>
      <c r="BY61" s="16">
        <f t="shared" si="149"/>
        <v>149361.83689619804</v>
      </c>
      <c r="BZ61" s="16">
        <f t="shared" si="149"/>
        <v>142950.88600960682</v>
      </c>
      <c r="CA61" s="16">
        <f t="shared" si="149"/>
        <v>136742.02678352417</v>
      </c>
      <c r="CB61" s="16">
        <f t="shared" si="149"/>
        <v>130729.65381915121</v>
      </c>
      <c r="CC61" s="18">
        <f t="shared" si="124"/>
        <v>5.4732265663456063</v>
      </c>
      <c r="CD61" s="18">
        <f t="shared" si="124"/>
        <v>4.6433817396670278</v>
      </c>
      <c r="CE61" s="18">
        <f t="shared" si="124"/>
        <v>3.7826119534656915</v>
      </c>
      <c r="CF61" s="18">
        <f t="shared" si="124"/>
        <v>2.8895328136961895</v>
      </c>
      <c r="CG61" s="18">
        <f t="shared" si="124"/>
        <v>1.9625557195412398</v>
      </c>
      <c r="CH61" s="18">
        <f t="shared" si="150"/>
        <v>1.0000000000000036</v>
      </c>
      <c r="CI61" s="18">
        <f t="shared" si="150"/>
        <v>0</v>
      </c>
      <c r="CJ61" s="18">
        <f t="shared" si="150"/>
        <v>-1.0395440256431292</v>
      </c>
      <c r="CK61" s="18">
        <f t="shared" si="150"/>
        <v>-2.1210450242487484</v>
      </c>
      <c r="CL61" s="18">
        <f t="shared" si="151"/>
        <v>-3.247099968995466</v>
      </c>
      <c r="CM61" s="18">
        <f t="shared" si="151"/>
        <v>-4.4206202746093393</v>
      </c>
      <c r="CN61" s="18">
        <f t="shared" si="151"/>
        <v>-5.6447473347034034</v>
      </c>
      <c r="CO61" s="18">
        <f t="shared" si="151"/>
        <v>-6.9229318748785031</v>
      </c>
      <c r="CP61" s="18">
        <f t="shared" si="152"/>
        <v>-8.2586984398819361</v>
      </c>
      <c r="CQ61" s="18">
        <f t="shared" si="153"/>
        <v>-9.6556595401094416</v>
      </c>
      <c r="CR61" s="18">
        <f t="shared" si="154"/>
        <v>-11.117657650289813</v>
      </c>
      <c r="CS61" s="18">
        <f t="shared" si="142"/>
        <v>-12.64888172579</v>
      </c>
      <c r="CT61" s="18">
        <f t="shared" si="125"/>
        <v>-14.253821761768776</v>
      </c>
      <c r="CU61" s="18">
        <f t="shared" si="125"/>
        <v>-15.937913374470948</v>
      </c>
      <c r="CV61" s="18">
        <f t="shared" si="125"/>
        <v>-17.706990169655207</v>
      </c>
      <c r="CW61" s="18">
        <f t="shared" si="22"/>
        <v>-19.567341273287894</v>
      </c>
      <c r="CX61" s="17">
        <f t="shared" si="190"/>
        <v>846.94253061615575</v>
      </c>
      <c r="CY61" s="17">
        <f t="shared" si="126"/>
        <v>863.01334300521671</v>
      </c>
      <c r="CZ61" s="17">
        <f t="shared" si="126"/>
        <v>885.39366910186175</v>
      </c>
      <c r="DA61" s="17">
        <f t="shared" si="126"/>
        <v>907.55302244505697</v>
      </c>
      <c r="DB61" s="17">
        <f t="shared" si="126"/>
        <v>934.63996497175719</v>
      </c>
      <c r="DC61" s="17">
        <f t="shared" si="126"/>
        <v>968.23268856226048</v>
      </c>
      <c r="DD61" s="17">
        <f t="shared" si="126"/>
        <v>1007.810475753591</v>
      </c>
      <c r="DE61" s="17">
        <f t="shared" si="126"/>
        <v>1057.8842267388445</v>
      </c>
      <c r="DF61" s="3" t="e">
        <f>#REF!+$AG$35*0.004*(1+$R$28)*#REF!-S61*#REF!</f>
        <v>#REF!</v>
      </c>
      <c r="DG61" s="19">
        <f t="shared" si="191"/>
        <v>1769.7249402604523</v>
      </c>
      <c r="DH61" s="19">
        <f t="shared" si="192"/>
        <v>1645.8844590988422</v>
      </c>
      <c r="DI61" s="19">
        <f t="shared" si="193"/>
        <v>1523.1395637504302</v>
      </c>
      <c r="DJ61" s="19">
        <f t="shared" si="194"/>
        <v>1394.7263598260377</v>
      </c>
      <c r="DK61" s="19">
        <f t="shared" si="195"/>
        <v>1265.5255722066588</v>
      </c>
      <c r="DL61" s="19">
        <f t="shared" si="196"/>
        <v>1136.8320327440651</v>
      </c>
      <c r="DM61" s="19">
        <f t="shared" si="197"/>
        <v>1007.810475753591</v>
      </c>
      <c r="DN61" s="19">
        <f t="shared" si="198"/>
        <v>882.61778576730035</v>
      </c>
      <c r="DO61" s="173">
        <f t="shared" si="127"/>
        <v>87012.558663059375</v>
      </c>
      <c r="DP61" s="25">
        <f t="shared" ref="DP61:ED77" si="262">DO62</f>
        <v>86165.616132443218</v>
      </c>
      <c r="DQ61" s="26">
        <f t="shared" si="262"/>
        <v>85302.60278943798</v>
      </c>
      <c r="DR61" s="26">
        <f t="shared" si="262"/>
        <v>84417.209120336134</v>
      </c>
      <c r="DS61" s="26">
        <f t="shared" si="262"/>
        <v>83509.656097891071</v>
      </c>
      <c r="DT61" s="26">
        <f t="shared" si="262"/>
        <v>82575.016132919322</v>
      </c>
      <c r="DU61" s="26">
        <f t="shared" si="262"/>
        <v>81606.783444357046</v>
      </c>
      <c r="DV61" s="26">
        <f t="shared" si="262"/>
        <v>80598.972968603455</v>
      </c>
      <c r="DW61" s="26">
        <f t="shared" si="262"/>
        <v>79541.088741864602</v>
      </c>
      <c r="DX61" s="26">
        <f t="shared" si="262"/>
        <v>78436.477379158212</v>
      </c>
      <c r="DY61" s="26">
        <f t="shared" si="262"/>
        <v>77283.157471351093</v>
      </c>
      <c r="DZ61" s="26">
        <f t="shared" si="262"/>
        <v>76082.783920534741</v>
      </c>
      <c r="EA61" s="26">
        <f t="shared" si="262"/>
        <v>74836.579607665073</v>
      </c>
      <c r="EB61" s="26">
        <f t="shared" si="262"/>
        <v>73551.575928090766</v>
      </c>
      <c r="EC61" s="26">
        <f t="shared" si="262"/>
        <v>72236.692138670856</v>
      </c>
      <c r="ED61" s="26">
        <f t="shared" si="262"/>
        <v>70899.201060349529</v>
      </c>
      <c r="EE61" s="26">
        <f t="shared" si="145"/>
        <v>69544.014517296338</v>
      </c>
      <c r="EF61" s="26">
        <f t="shared" si="34"/>
        <v>68175.46941806782</v>
      </c>
      <c r="EG61" s="26">
        <f t="shared" si="34"/>
        <v>66791.805416898773</v>
      </c>
      <c r="EH61" s="26">
        <f t="shared" si="34"/>
        <v>65393.182532433275</v>
      </c>
      <c r="EI61" s="26">
        <f t="shared" si="34"/>
        <v>63980.850699294751</v>
      </c>
      <c r="EJ61" s="26">
        <f t="shared" si="128"/>
        <v>1.836498689964881E-2</v>
      </c>
      <c r="EK61" s="26">
        <f t="shared" si="128"/>
        <v>1.6076806592571991E-2</v>
      </c>
      <c r="EL61" s="26">
        <f t="shared" si="169"/>
        <v>1.3531438909781941E-2</v>
      </c>
      <c r="EM61" s="26">
        <f t="shared" si="169"/>
        <v>1.0685142922668407E-2</v>
      </c>
      <c r="EN61" s="26">
        <f t="shared" si="169"/>
        <v>7.5142478100460874E-3</v>
      </c>
      <c r="EO61" s="26">
        <f t="shared" si="169"/>
        <v>3.9721866770228266E-3</v>
      </c>
      <c r="EP61" s="26">
        <f t="shared" si="169"/>
        <v>0</v>
      </c>
      <c r="EQ61" s="26">
        <f t="shared" si="169"/>
        <v>-4.466533530940296E-3</v>
      </c>
      <c r="ER61" s="26">
        <f t="shared" si="169"/>
        <v>-9.5208268986077225E-3</v>
      </c>
      <c r="ES61" s="26">
        <f t="shared" si="169"/>
        <v>-1.5202161804683001E-2</v>
      </c>
      <c r="ET61" s="26">
        <f t="shared" si="169"/>
        <v>-2.1579580791477673E-2</v>
      </c>
      <c r="EU61" s="26">
        <f t="shared" si="169"/>
        <v>-2.871071718516972E-2</v>
      </c>
      <c r="EV61" s="26">
        <f t="shared" si="169"/>
        <v>-3.6660952103700087E-2</v>
      </c>
      <c r="EW61" s="26">
        <f t="shared" si="169"/>
        <v>-4.5467849617950362E-2</v>
      </c>
      <c r="EX61" s="26">
        <f t="shared" si="169"/>
        <v>-5.5157364858752764E-2</v>
      </c>
      <c r="EY61" s="26">
        <f t="shared" si="169"/>
        <v>-6.5763371776259461E-2</v>
      </c>
      <c r="EZ61" s="26">
        <f t="shared" si="146"/>
        <v>-7.7334469223336921E-2</v>
      </c>
      <c r="FA61" s="26">
        <f t="shared" si="146"/>
        <v>-8.9924670889148101E-2</v>
      </c>
      <c r="FB61" s="26">
        <f t="shared" si="146"/>
        <v>-0.10363683948389556</v>
      </c>
      <c r="FC61" s="26">
        <f t="shared" si="146"/>
        <v>-0.11857072250063594</v>
      </c>
      <c r="FD61" s="26">
        <f t="shared" si="146"/>
        <v>-0.13482734964972568</v>
      </c>
      <c r="FE61" s="26">
        <f t="shared" si="130"/>
        <v>5.2700898127074689</v>
      </c>
      <c r="FF61" s="26">
        <f t="shared" si="130"/>
        <v>4.4705565300088663</v>
      </c>
      <c r="FG61" s="26">
        <f t="shared" si="130"/>
        <v>3.6413968607640501</v>
      </c>
      <c r="FH61" s="26">
        <f t="shared" si="130"/>
        <v>2.7813162211723981</v>
      </c>
      <c r="FI61" s="26">
        <f t="shared" si="130"/>
        <v>1.8888029983650585</v>
      </c>
      <c r="FJ61" s="26">
        <f t="shared" si="157"/>
        <v>0.96227912838674234</v>
      </c>
      <c r="FK61" s="26">
        <f t="shared" si="157"/>
        <v>0</v>
      </c>
      <c r="FL61" s="26">
        <f t="shared" si="157"/>
        <v>-1.000000000000004</v>
      </c>
      <c r="FM61" s="26">
        <f t="shared" si="157"/>
        <v>-2.0399604017275004</v>
      </c>
      <c r="FN61" s="26">
        <f t="shared" si="157"/>
        <v>-3.1223517462058274</v>
      </c>
      <c r="FO61" s="26">
        <f t="shared" si="170"/>
        <v>-4.2499191294063232</v>
      </c>
      <c r="FP61" s="26">
        <f t="shared" si="158"/>
        <v>-5.4256410637711143</v>
      </c>
      <c r="FQ61" s="26">
        <f t="shared" si="158"/>
        <v>-6.6527873175643268</v>
      </c>
      <c r="FR61" s="26">
        <f t="shared" si="158"/>
        <v>-7.9347263245624458</v>
      </c>
      <c r="FS61" s="26">
        <f t="shared" si="158"/>
        <v>-9.2749229204721608</v>
      </c>
      <c r="FT61" s="26">
        <f t="shared" si="159"/>
        <v>-10.677056344986845</v>
      </c>
      <c r="FU61" s="26">
        <f t="shared" si="143"/>
        <v>-12.145126127911707</v>
      </c>
      <c r="FV61" s="26">
        <f t="shared" si="131"/>
        <v>-13.68341733626054</v>
      </c>
      <c r="FW61" s="26">
        <f t="shared" si="131"/>
        <v>-15.297080664640344</v>
      </c>
      <c r="FX61" s="26">
        <f t="shared" si="39"/>
        <v>4103960.3363030413</v>
      </c>
      <c r="FY61" s="26">
        <f t="shared" si="40"/>
        <v>216965.89219519592</v>
      </c>
      <c r="FZ61" s="26">
        <f t="shared" si="132"/>
        <v>0.79686324636186034</v>
      </c>
      <c r="GA61" s="26">
        <f t="shared" si="160"/>
        <v>0.82717479034183383</v>
      </c>
      <c r="GB61" s="26">
        <f t="shared" si="132"/>
        <v>0.8587849072983621</v>
      </c>
      <c r="GC61" s="26">
        <f t="shared" si="132"/>
        <v>0.89178340747620743</v>
      </c>
      <c r="GD61" s="26">
        <f t="shared" si="132"/>
        <v>0.92624727882381686</v>
      </c>
      <c r="GE61" s="26">
        <f t="shared" si="161"/>
        <v>0.96227912838674257</v>
      </c>
      <c r="GF61" s="26">
        <f t="shared" si="161"/>
        <v>1</v>
      </c>
      <c r="GG61" s="26">
        <f t="shared" si="161"/>
        <v>1.0395440256431294</v>
      </c>
      <c r="GH61" s="26">
        <f t="shared" si="161"/>
        <v>1.081084622521248</v>
      </c>
      <c r="GI61" s="26">
        <f t="shared" si="161"/>
        <v>1.124748222789637</v>
      </c>
      <c r="GJ61" s="26">
        <f t="shared" si="171"/>
        <v>1.1707011452030176</v>
      </c>
      <c r="GK61" s="26">
        <f t="shared" si="162"/>
        <v>1.2191062709322895</v>
      </c>
      <c r="GL61" s="26">
        <f t="shared" si="162"/>
        <v>1.2701445573141774</v>
      </c>
      <c r="GM61" s="26">
        <f t="shared" si="162"/>
        <v>1.3239721153194932</v>
      </c>
      <c r="GN61" s="26">
        <f t="shared" si="162"/>
        <v>1.3807366196372794</v>
      </c>
      <c r="GO61" s="26">
        <f t="shared" si="163"/>
        <v>1.4406013053029694</v>
      </c>
      <c r="GP61" s="26">
        <f t="shared" si="140"/>
        <v>1.5037555978782862</v>
      </c>
      <c r="GQ61" s="26">
        <f t="shared" si="134"/>
        <v>1.5704044255082388</v>
      </c>
      <c r="GR61" s="26">
        <f t="shared" si="134"/>
        <v>1.6408327098306055</v>
      </c>
      <c r="GS61" s="26">
        <f t="shared" si="134"/>
        <v>1.7153357689743614</v>
      </c>
      <c r="GT61" s="26">
        <f t="shared" si="134"/>
        <v>1.7942255854843208</v>
      </c>
      <c r="GU61" s="26">
        <f t="shared" si="135"/>
        <v>5.4732265663456063</v>
      </c>
      <c r="GV61" s="26">
        <f t="shared" si="164"/>
        <v>4.6433817396670278</v>
      </c>
      <c r="GW61" s="26">
        <f t="shared" si="135"/>
        <v>3.7826119534656915</v>
      </c>
      <c r="GX61" s="26">
        <f t="shared" si="135"/>
        <v>2.8895328136961895</v>
      </c>
      <c r="GY61" s="26">
        <f t="shared" si="135"/>
        <v>1.9625557195412398</v>
      </c>
      <c r="GZ61" s="26">
        <f t="shared" si="165"/>
        <v>1.0000000000000036</v>
      </c>
      <c r="HA61" s="26">
        <f t="shared" si="165"/>
        <v>0</v>
      </c>
      <c r="HB61" s="26">
        <f t="shared" si="165"/>
        <v>-1.0395440256431292</v>
      </c>
      <c r="HC61" s="26">
        <f t="shared" si="165"/>
        <v>-2.1210450242487484</v>
      </c>
      <c r="HD61" s="26">
        <f t="shared" si="165"/>
        <v>-3.247099968995466</v>
      </c>
      <c r="HE61" s="26">
        <f t="shared" si="172"/>
        <v>-4.4206202746093393</v>
      </c>
      <c r="HF61" s="26">
        <f t="shared" si="166"/>
        <v>-5.6447473347034034</v>
      </c>
      <c r="HG61" s="26">
        <f t="shared" si="166"/>
        <v>-6.9229318748785031</v>
      </c>
      <c r="HH61" s="26">
        <f t="shared" si="166"/>
        <v>-8.2586984398819361</v>
      </c>
      <c r="HI61" s="26">
        <f t="shared" si="166"/>
        <v>-9.6556595401094416</v>
      </c>
      <c r="HJ61" s="26">
        <f t="shared" si="167"/>
        <v>-11.117657650289813</v>
      </c>
      <c r="HK61" s="26">
        <f t="shared" si="141"/>
        <v>-12.64888172579</v>
      </c>
      <c r="HL61" s="26">
        <f t="shared" si="137"/>
        <v>-14.253821761768776</v>
      </c>
      <c r="HM61" s="26">
        <f t="shared" si="137"/>
        <v>-15.937913374470948</v>
      </c>
      <c r="HN61" s="26">
        <f t="shared" si="137"/>
        <v>-17.706990169655207</v>
      </c>
      <c r="HO61" s="26">
        <f t="shared" si="137"/>
        <v>-19.567341273287894</v>
      </c>
      <c r="HP61" s="26">
        <f t="shared" si="199"/>
        <v>520155.36555568222</v>
      </c>
      <c r="HQ61" s="26">
        <f t="shared" si="200"/>
        <v>536634.66730348417</v>
      </c>
      <c r="HR61" s="26">
        <f t="shared" si="201"/>
        <v>553896.15150817076</v>
      </c>
      <c r="HS61" s="26">
        <f t="shared" si="202"/>
        <v>571999.82538805716</v>
      </c>
      <c r="HT61" s="26">
        <f t="shared" si="203"/>
        <v>591026.88921054651</v>
      </c>
      <c r="HU61" s="26">
        <f t="shared" si="204"/>
        <v>611064.30102481775</v>
      </c>
      <c r="HV61" s="26">
        <f t="shared" si="205"/>
        <v>632215.9078880985</v>
      </c>
      <c r="HW61" s="26">
        <f t="shared" si="206"/>
        <v>654608.35761936964</v>
      </c>
      <c r="HX61" s="26">
        <f t="shared" si="207"/>
        <v>678398.66554234177</v>
      </c>
      <c r="HY61" s="26">
        <f t="shared" si="208"/>
        <v>703764.04705119831</v>
      </c>
      <c r="HZ61" s="26">
        <f t="shared" si="209"/>
        <v>730911.91935100663</v>
      </c>
      <c r="IA61" s="26">
        <f t="shared" si="210"/>
        <v>760072.43403070362</v>
      </c>
      <c r="IB61" s="26">
        <f t="shared" si="211"/>
        <v>791506.32573857077</v>
      </c>
      <c r="IC61" s="26">
        <f t="shared" si="212"/>
        <v>825479.79758365254</v>
      </c>
      <c r="ID61" s="26">
        <f t="shared" si="213"/>
        <v>862265.05322367046</v>
      </c>
      <c r="IE61" s="26">
        <f t="shared" si="214"/>
        <v>902155.28934468143</v>
      </c>
      <c r="IF61" s="26">
        <f t="shared" si="215"/>
        <v>945477.49033294967</v>
      </c>
      <c r="IG61" s="26">
        <f t="shared" si="216"/>
        <v>992587.57476455602</v>
      </c>
      <c r="IH61" s="26">
        <f t="shared" si="217"/>
        <v>1043941.6129276588</v>
      </c>
      <c r="II61" s="26">
        <f t="shared" si="218"/>
        <v>-470456762501.74591</v>
      </c>
      <c r="IJ61" s="26">
        <f t="shared" si="219"/>
        <v>540072.89210752689</v>
      </c>
      <c r="IK61" s="26">
        <f t="shared" si="220"/>
        <v>556192.28454577888</v>
      </c>
      <c r="IL61" s="26">
        <f t="shared" si="221"/>
        <v>573164.41401426319</v>
      </c>
      <c r="IM61" s="26">
        <f t="shared" si="222"/>
        <v>591056.1481694323</v>
      </c>
      <c r="IN61" s="26">
        <f t="shared" si="223"/>
        <v>609956.49680088297</v>
      </c>
      <c r="IO61" s="26">
        <f t="shared" si="224"/>
        <v>629960.84001948172</v>
      </c>
      <c r="IP61" s="26">
        <f t="shared" si="225"/>
        <v>651182.38512474147</v>
      </c>
      <c r="IQ61" s="26">
        <f t="shared" si="226"/>
        <v>673758.29637067637</v>
      </c>
      <c r="IR61" s="26">
        <f t="shared" si="227"/>
        <v>697857.53400119266</v>
      </c>
      <c r="IS61" s="26">
        <f t="shared" si="228"/>
        <v>723670.53163311759</v>
      </c>
      <c r="IT61" s="26">
        <f t="shared" si="229"/>
        <v>751419.53028762958</v>
      </c>
      <c r="IU61" s="26">
        <f t="shared" si="230"/>
        <v>781351.02059090498</v>
      </c>
      <c r="IV61" s="26">
        <f t="shared" si="231"/>
        <v>813743.90363388637</v>
      </c>
      <c r="IW61" s="26">
        <f t="shared" si="232"/>
        <v>848883.78100619453</v>
      </c>
      <c r="IX61" s="26">
        <f t="shared" si="233"/>
        <v>887063.56248447218</v>
      </c>
      <c r="IY61" s="26">
        <f t="shared" si="234"/>
        <v>928598.96782145975</v>
      </c>
      <c r="IZ61" s="26">
        <f t="shared" si="235"/>
        <v>973841.81504293822</v>
      </c>
      <c r="JA61" s="26">
        <f t="shared" si="236"/>
        <v>1023175.166457119</v>
      </c>
      <c r="JB61" s="26">
        <f t="shared" si="237"/>
        <v>1077086.8978852043</v>
      </c>
      <c r="JC61" s="26">
        <f t="shared" si="238"/>
        <v>-484570462305.55908</v>
      </c>
      <c r="JD61" s="26">
        <f t="shared" si="239"/>
        <v>154288.11627293279</v>
      </c>
      <c r="JE61" s="26">
        <f t="shared" si="240"/>
        <v>245763.48161416937</v>
      </c>
      <c r="JF61" s="26">
        <f t="shared" si="241"/>
        <v>340954.96172919346</v>
      </c>
      <c r="JG61" s="26">
        <f t="shared" si="242"/>
        <v>440089.06647242152</v>
      </c>
      <c r="JH61" s="26">
        <f t="shared" si="243"/>
        <v>543406.64508015546</v>
      </c>
      <c r="JI61" s="26">
        <f t="shared" si="244"/>
        <v>651182.38512474147</v>
      </c>
      <c r="JJ61" s="26">
        <f t="shared" si="245"/>
        <v>763735.19261420332</v>
      </c>
      <c r="JK61" s="26">
        <f t="shared" si="246"/>
        <v>881442.87850510608</v>
      </c>
      <c r="JL61" s="26">
        <f t="shared" si="247"/>
        <v>1004720.6553370302</v>
      </c>
      <c r="JM61" s="26">
        <f t="shared" si="248"/>
        <v>1134042.7592889026</v>
      </c>
      <c r="JN61" s="26">
        <f t="shared" si="249"/>
        <v>1269927.5817820635</v>
      </c>
      <c r="JO61" s="26">
        <f t="shared" si="250"/>
        <v>1412952.6986837932</v>
      </c>
      <c r="JP61" s="26">
        <f t="shared" si="251"/>
        <v>1563708.7757168422</v>
      </c>
      <c r="JQ61" s="26">
        <f t="shared" si="252"/>
        <v>1722801.4005868665</v>
      </c>
      <c r="JR61" s="26">
        <f t="shared" si="253"/>
        <v>1890878.8753533321</v>
      </c>
      <c r="JS61" s="26">
        <f t="shared" si="254"/>
        <v>2068655.5897014427</v>
      </c>
      <c r="JT61" s="26">
        <f t="shared" si="255"/>
        <v>2256903.2338556591</v>
      </c>
      <c r="JU61" s="26">
        <f t="shared" si="256"/>
        <v>2456580.1590252519</v>
      </c>
      <c r="JV61" s="26">
        <f t="shared" si="257"/>
        <v>-484568929691.28015</v>
      </c>
      <c r="JW61" s="26">
        <f t="shared" si="258"/>
        <v>1847923.5872854104</v>
      </c>
      <c r="JX61" s="26" t="e">
        <f>AH61+$AG$38*0.004*(1+$R$28)*#REF!-S61*#REF!</f>
        <v>#REF!</v>
      </c>
      <c r="JY61" s="34">
        <f t="shared" si="259"/>
        <v>5.2205418373488313E-2</v>
      </c>
      <c r="JZ61" s="4">
        <f t="shared" si="260"/>
        <v>47132.459762911778</v>
      </c>
      <c r="KA61" s="165"/>
    </row>
    <row r="62" spans="1:287" ht="15.75" x14ac:dyDescent="0.3">
      <c r="A62" s="34">
        <v>61</v>
      </c>
      <c r="B62" s="34">
        <v>34</v>
      </c>
      <c r="C62" s="2">
        <v>958244</v>
      </c>
      <c r="D62" s="1">
        <f t="shared" si="106"/>
        <v>2244</v>
      </c>
      <c r="E62" s="145">
        <f t="shared" si="107"/>
        <v>0.99765821648765862</v>
      </c>
      <c r="F62" s="146">
        <f t="shared" si="108"/>
        <v>2.3417835123413777E-3</v>
      </c>
      <c r="G62" s="158">
        <f t="shared" si="173"/>
        <v>2.9272293904267221E-3</v>
      </c>
      <c r="H62" s="43">
        <f t="shared" si="109"/>
        <v>2775.2110118220621</v>
      </c>
      <c r="I62" s="43">
        <f t="shared" si="139"/>
        <v>948067.4869206273</v>
      </c>
      <c r="J62" s="43">
        <f t="shared" si="110"/>
        <v>957122</v>
      </c>
      <c r="K62" s="147">
        <f>SUM(J62:$J$138)</f>
        <v>40089862</v>
      </c>
      <c r="L62" s="147">
        <f t="shared" si="111"/>
        <v>41.836799395561044</v>
      </c>
      <c r="M62" s="43">
        <f t="shared" si="174"/>
        <v>1196402.5</v>
      </c>
      <c r="N62" s="148">
        <f t="shared" si="175"/>
        <v>50112327.5</v>
      </c>
      <c r="O62" s="147">
        <f t="shared" si="6"/>
        <v>52.295999244451309</v>
      </c>
      <c r="P62" s="157">
        <f t="shared" si="176"/>
        <v>294352.25019440131</v>
      </c>
      <c r="Q62" s="43">
        <f t="shared" si="177"/>
        <v>1197805</v>
      </c>
      <c r="R62" s="43">
        <f t="shared" si="178"/>
        <v>846.94253061615575</v>
      </c>
      <c r="S62" s="43">
        <f>SUM(R62:$R$138)</f>
        <v>87012.558663059375</v>
      </c>
      <c r="T62" s="43">
        <f t="shared" si="112"/>
        <v>2777304.0532080494</v>
      </c>
      <c r="U62" s="153">
        <f>SUM(P62:$P$138)</f>
        <v>6175211.3180029579</v>
      </c>
      <c r="V62" s="129">
        <f t="shared" si="179"/>
        <v>4329596.2727115229</v>
      </c>
      <c r="W62" s="43">
        <f t="shared" si="180"/>
        <v>225635.93640848066</v>
      </c>
      <c r="X62" s="26">
        <f t="shared" si="114"/>
        <v>6.2700898127074662</v>
      </c>
      <c r="Y62" s="26">
        <f t="shared" si="115"/>
        <v>0.76655074408115509</v>
      </c>
      <c r="Z62" s="43">
        <f t="shared" si="181"/>
        <v>80598.972968603455</v>
      </c>
      <c r="AA62" s="149">
        <f t="shared" si="116"/>
        <v>2.1788811501254522E-2</v>
      </c>
      <c r="AB62" s="150">
        <f t="shared" si="138"/>
        <v>5880859.0678085573</v>
      </c>
      <c r="AC62" s="150">
        <f t="shared" si="117"/>
        <v>4103960.3363030413</v>
      </c>
      <c r="AD62" s="26">
        <f t="shared" si="118"/>
        <v>6.036640556788627</v>
      </c>
      <c r="AE62" s="26">
        <f t="shared" si="182"/>
        <v>522526.59520485584</v>
      </c>
      <c r="AF62" s="43">
        <f t="shared" si="183"/>
        <v>83336.381266160111</v>
      </c>
      <c r="AG62" s="43">
        <f t="shared" si="184"/>
        <v>543492.1470727087</v>
      </c>
      <c r="AH62" s="27">
        <f t="shared" si="185"/>
        <v>90522.924766344644</v>
      </c>
      <c r="AI62" s="28">
        <f t="shared" si="186"/>
        <v>584400.15814269753</v>
      </c>
      <c r="AJ62" s="20">
        <f t="shared" si="187"/>
        <v>97336.478243381338</v>
      </c>
      <c r="AK62" s="3">
        <f t="shared" si="188"/>
        <v>8435.8281144263819</v>
      </c>
      <c r="AL62" s="3"/>
      <c r="AM62" s="46">
        <f t="shared" si="121"/>
        <v>5880859.0678085573</v>
      </c>
      <c r="AN62" s="46">
        <f t="shared" si="122"/>
        <v>5597293.2575317528</v>
      </c>
      <c r="AO62" s="46">
        <f t="shared" si="122"/>
        <v>5324164.9250815194</v>
      </c>
      <c r="AP62" s="3">
        <f t="shared" si="261"/>
        <v>5061143.1109308824</v>
      </c>
      <c r="AQ62" s="3">
        <f t="shared" si="261"/>
        <v>4807907.8302165577</v>
      </c>
      <c r="AR62" s="16">
        <f t="shared" si="261"/>
        <v>4564154.762375352</v>
      </c>
      <c r="AS62" s="16">
        <f t="shared" si="261"/>
        <v>4329596.2727115229</v>
      </c>
      <c r="AT62" s="16">
        <f t="shared" si="261"/>
        <v>4103960.3363030413</v>
      </c>
      <c r="AU62" s="16">
        <f t="shared" si="261"/>
        <v>3886994.4441078454</v>
      </c>
      <c r="AV62" s="16">
        <f t="shared" si="261"/>
        <v>3678451.3364938861</v>
      </c>
      <c r="AW62" s="16">
        <f t="shared" si="261"/>
        <v>3478094.06288487</v>
      </c>
      <c r="AX62" s="16">
        <f t="shared" si="261"/>
        <v>3285692.0588459154</v>
      </c>
      <c r="AY62" s="16">
        <f t="shared" si="261"/>
        <v>3101021.3547806852</v>
      </c>
      <c r="AZ62" s="16">
        <f t="shared" si="261"/>
        <v>2923858.6434593615</v>
      </c>
      <c r="BA62" s="16">
        <f t="shared" si="261"/>
        <v>2753979.4019531519</v>
      </c>
      <c r="BB62" s="16">
        <f t="shared" si="261"/>
        <v>2591159.5511030932</v>
      </c>
      <c r="BC62" s="16">
        <f t="shared" si="144"/>
        <v>2435177.7612465657</v>
      </c>
      <c r="BD62" s="16">
        <f t="shared" si="18"/>
        <v>2285815.9243503674</v>
      </c>
      <c r="BE62" s="16">
        <f t="shared" si="18"/>
        <v>2142865.0383407604</v>
      </c>
      <c r="BF62" s="16">
        <f t="shared" si="18"/>
        <v>2006123.0115572365</v>
      </c>
      <c r="BG62" s="16">
        <f t="shared" si="18"/>
        <v>1875393.3577380853</v>
      </c>
      <c r="BH62" s="172">
        <f t="shared" si="123"/>
        <v>283565.81027680589</v>
      </c>
      <c r="BI62" s="16">
        <f t="shared" si="189"/>
        <v>273128.33245023253</v>
      </c>
      <c r="BJ62" s="16">
        <f t="shared" si="189"/>
        <v>263021.81415063736</v>
      </c>
      <c r="BK62" s="16">
        <f t="shared" si="189"/>
        <v>253235.28071432526</v>
      </c>
      <c r="BL62" s="16">
        <f t="shared" si="189"/>
        <v>243753.06784120487</v>
      </c>
      <c r="BM62" s="16">
        <f t="shared" si="189"/>
        <v>234558.48966382915</v>
      </c>
      <c r="BN62" s="16">
        <f t="shared" si="189"/>
        <v>225635.93640848066</v>
      </c>
      <c r="BO62" s="16">
        <f t="shared" si="189"/>
        <v>216965.89219519592</v>
      </c>
      <c r="BP62" s="16">
        <f t="shared" si="189"/>
        <v>208543.10761395967</v>
      </c>
      <c r="BQ62" s="16">
        <f t="shared" si="189"/>
        <v>200357.2736090158</v>
      </c>
      <c r="BR62" s="16">
        <f t="shared" si="189"/>
        <v>192402.00403895453</v>
      </c>
      <c r="BS62" s="16">
        <f t="shared" si="189"/>
        <v>184670.70406523009</v>
      </c>
      <c r="BT62" s="16">
        <f t="shared" si="189"/>
        <v>177162.71132132332</v>
      </c>
      <c r="BU62" s="16">
        <f t="shared" si="189"/>
        <v>169879.2415062098</v>
      </c>
      <c r="BV62" s="16">
        <f t="shared" si="189"/>
        <v>162819.85085005857</v>
      </c>
      <c r="BW62" s="16">
        <f t="shared" si="189"/>
        <v>155981.78985652846</v>
      </c>
      <c r="BX62" s="16">
        <f t="shared" si="168"/>
        <v>149361.83689619804</v>
      </c>
      <c r="BY62" s="16">
        <f t="shared" si="149"/>
        <v>142950.88600960682</v>
      </c>
      <c r="BZ62" s="16">
        <f t="shared" si="149"/>
        <v>136742.02678352417</v>
      </c>
      <c r="CA62" s="16">
        <f t="shared" si="149"/>
        <v>130729.65381915121</v>
      </c>
      <c r="CB62" s="16">
        <f t="shared" si="149"/>
        <v>124906.36410356843</v>
      </c>
      <c r="CC62" s="18">
        <f t="shared" si="124"/>
        <v>5.4705565300088619</v>
      </c>
      <c r="CD62" s="18">
        <f t="shared" si="124"/>
        <v>4.6413968607640532</v>
      </c>
      <c r="CE62" s="18">
        <f t="shared" si="124"/>
        <v>3.7813162211723967</v>
      </c>
      <c r="CF62" s="18">
        <f t="shared" si="124"/>
        <v>2.8888029983650565</v>
      </c>
      <c r="CG62" s="18">
        <f t="shared" si="124"/>
        <v>1.962279128386746</v>
      </c>
      <c r="CH62" s="18">
        <f t="shared" si="150"/>
        <v>0.99999999999999978</v>
      </c>
      <c r="CI62" s="18">
        <f t="shared" si="150"/>
        <v>0</v>
      </c>
      <c r="CJ62" s="18">
        <f t="shared" si="150"/>
        <v>-1.0399604017275008</v>
      </c>
      <c r="CK62" s="18">
        <f t="shared" si="150"/>
        <v>-2.1223517462058292</v>
      </c>
      <c r="CL62" s="18">
        <f t="shared" si="151"/>
        <v>-3.2499191294063214</v>
      </c>
      <c r="CM62" s="18">
        <f t="shared" si="151"/>
        <v>-4.4256410637711143</v>
      </c>
      <c r="CN62" s="18">
        <f t="shared" si="151"/>
        <v>-5.652787317564326</v>
      </c>
      <c r="CO62" s="18">
        <f t="shared" si="151"/>
        <v>-6.934726324562444</v>
      </c>
      <c r="CP62" s="18">
        <f t="shared" si="152"/>
        <v>-8.2749229204721626</v>
      </c>
      <c r="CQ62" s="18">
        <f t="shared" si="153"/>
        <v>-9.6770563449868447</v>
      </c>
      <c r="CR62" s="18">
        <f t="shared" si="154"/>
        <v>-11.145126127911714</v>
      </c>
      <c r="CS62" s="18">
        <f t="shared" si="142"/>
        <v>-12.683417336260538</v>
      </c>
      <c r="CT62" s="18">
        <f t="shared" si="125"/>
        <v>-14.297080664640344</v>
      </c>
      <c r="CU62" s="18">
        <f t="shared" si="125"/>
        <v>-15.991654400680847</v>
      </c>
      <c r="CV62" s="18">
        <f t="shared" si="125"/>
        <v>-17.773115687803571</v>
      </c>
      <c r="CW62" s="18">
        <f t="shared" si="22"/>
        <v>-19.648341640450681</v>
      </c>
      <c r="CX62" s="17">
        <f t="shared" si="190"/>
        <v>863.01334300521671</v>
      </c>
      <c r="CY62" s="17">
        <f t="shared" si="126"/>
        <v>885.39366910186175</v>
      </c>
      <c r="CZ62" s="17">
        <f t="shared" si="126"/>
        <v>907.55302244505697</v>
      </c>
      <c r="DA62" s="17">
        <f t="shared" si="126"/>
        <v>934.63996497175719</v>
      </c>
      <c r="DB62" s="17">
        <f t="shared" si="126"/>
        <v>968.23268856226048</v>
      </c>
      <c r="DC62" s="17">
        <f t="shared" si="126"/>
        <v>1007.810475753591</v>
      </c>
      <c r="DD62" s="17">
        <f t="shared" si="126"/>
        <v>1057.8842267388445</v>
      </c>
      <c r="DE62" s="17">
        <f t="shared" si="126"/>
        <v>1104.6113627063899</v>
      </c>
      <c r="DF62" s="3" t="e">
        <f>#REF!+$AG$35*0.004*(1+$R$28)*#REF!-S62*#REF!</f>
        <v>#REF!</v>
      </c>
      <c r="DG62" s="19">
        <f t="shared" si="191"/>
        <v>1791.5452971783507</v>
      </c>
      <c r="DH62" s="19">
        <f t="shared" si="192"/>
        <v>1673.1901708978705</v>
      </c>
      <c r="DI62" s="19">
        <f t="shared" si="193"/>
        <v>1549.3657742065468</v>
      </c>
      <c r="DJ62" s="19">
        <f t="shared" si="194"/>
        <v>1424.9640990116934</v>
      </c>
      <c r="DK62" s="19">
        <f t="shared" si="195"/>
        <v>1301.2954882462166</v>
      </c>
      <c r="DL62" s="19">
        <f t="shared" si="196"/>
        <v>1177.5431069913182</v>
      </c>
      <c r="DM62" s="19">
        <f t="shared" si="197"/>
        <v>1057.8842267388445</v>
      </c>
      <c r="DN62" s="19">
        <f t="shared" si="198"/>
        <v>928.0961473381376</v>
      </c>
      <c r="DO62" s="173">
        <f t="shared" si="127"/>
        <v>86165.616132443218</v>
      </c>
      <c r="DP62" s="25">
        <f t="shared" si="262"/>
        <v>85302.60278943798</v>
      </c>
      <c r="DQ62" s="26">
        <f t="shared" si="262"/>
        <v>84417.209120336134</v>
      </c>
      <c r="DR62" s="26">
        <f t="shared" si="262"/>
        <v>83509.656097891071</v>
      </c>
      <c r="DS62" s="26">
        <f t="shared" si="262"/>
        <v>82575.016132919322</v>
      </c>
      <c r="DT62" s="26">
        <f t="shared" si="262"/>
        <v>81606.783444357046</v>
      </c>
      <c r="DU62" s="26">
        <f t="shared" si="262"/>
        <v>80598.972968603455</v>
      </c>
      <c r="DV62" s="26">
        <f t="shared" si="262"/>
        <v>79541.088741864602</v>
      </c>
      <c r="DW62" s="26">
        <f t="shared" si="262"/>
        <v>78436.477379158212</v>
      </c>
      <c r="DX62" s="26">
        <f t="shared" si="262"/>
        <v>77283.157471351093</v>
      </c>
      <c r="DY62" s="26">
        <f t="shared" si="262"/>
        <v>76082.783920534741</v>
      </c>
      <c r="DZ62" s="26">
        <f t="shared" si="262"/>
        <v>74836.579607665073</v>
      </c>
      <c r="EA62" s="26">
        <f t="shared" si="262"/>
        <v>73551.575928090766</v>
      </c>
      <c r="EB62" s="26">
        <f t="shared" si="262"/>
        <v>72236.692138670856</v>
      </c>
      <c r="EC62" s="26">
        <f t="shared" si="262"/>
        <v>70899.201060349529</v>
      </c>
      <c r="ED62" s="26">
        <f t="shared" si="262"/>
        <v>69544.014517296338</v>
      </c>
      <c r="EE62" s="26">
        <f t="shared" si="145"/>
        <v>68175.46941806782</v>
      </c>
      <c r="EF62" s="26">
        <f t="shared" si="34"/>
        <v>66791.805416898773</v>
      </c>
      <c r="EG62" s="26">
        <f t="shared" si="34"/>
        <v>65393.182532433275</v>
      </c>
      <c r="EH62" s="26">
        <f t="shared" si="34"/>
        <v>63980.850699294751</v>
      </c>
      <c r="EI62" s="26">
        <f t="shared" si="34"/>
        <v>62554.038207059304</v>
      </c>
      <c r="EJ62" s="26">
        <f t="shared" si="128"/>
        <v>1.9630868610026796E-2</v>
      </c>
      <c r="EK62" s="26">
        <f t="shared" si="128"/>
        <v>1.7221317827551218E-2</v>
      </c>
      <c r="EL62" s="26">
        <f t="shared" si="169"/>
        <v>1.4516804106392125E-2</v>
      </c>
      <c r="EM62" s="26">
        <f t="shared" si="169"/>
        <v>1.1493987413906824E-2</v>
      </c>
      <c r="EN62" s="26">
        <f t="shared" si="169"/>
        <v>8.1067417194649518E-3</v>
      </c>
      <c r="EO62" s="26">
        <f t="shared" si="169"/>
        <v>4.2966275797477723E-3</v>
      </c>
      <c r="EP62" s="26">
        <f t="shared" si="169"/>
        <v>0</v>
      </c>
      <c r="EQ62" s="26">
        <f t="shared" si="169"/>
        <v>-4.8758088934417196E-3</v>
      </c>
      <c r="ER62" s="26">
        <f t="shared" si="169"/>
        <v>-1.0369537570372754E-2</v>
      </c>
      <c r="ES62" s="26">
        <f t="shared" si="169"/>
        <v>-1.6549513963356084E-2</v>
      </c>
      <c r="ET62" s="26">
        <f t="shared" si="169"/>
        <v>-2.3472671558838584E-2</v>
      </c>
      <c r="EU62" s="26">
        <f t="shared" si="169"/>
        <v>-3.1203613968477466E-2</v>
      </c>
      <c r="EV62" s="26">
        <f t="shared" si="169"/>
        <v>-3.9779234512451626E-2</v>
      </c>
      <c r="EW62" s="26">
        <f t="shared" si="169"/>
        <v>-4.9224853818451514E-2</v>
      </c>
      <c r="EX62" s="26">
        <f t="shared" si="169"/>
        <v>-5.9573644476474084E-2</v>
      </c>
      <c r="EY62" s="26">
        <f t="shared" si="169"/>
        <v>-7.087339144829298E-2</v>
      </c>
      <c r="EZ62" s="26">
        <f t="shared" si="146"/>
        <v>-8.3177227923151437E-2</v>
      </c>
      <c r="FA62" s="26">
        <f t="shared" si="146"/>
        <v>-9.6586792409085104E-2</v>
      </c>
      <c r="FB62" s="26">
        <f t="shared" si="146"/>
        <v>-0.11120056352713284</v>
      </c>
      <c r="FC62" s="26">
        <f t="shared" si="146"/>
        <v>-0.12711823051484464</v>
      </c>
      <c r="FD62" s="26">
        <f t="shared" si="146"/>
        <v>-0.14446769699085835</v>
      </c>
      <c r="FE62" s="26">
        <f t="shared" si="130"/>
        <v>5.2662657736169889</v>
      </c>
      <c r="FF62" s="26">
        <f t="shared" si="130"/>
        <v>4.4675137794458397</v>
      </c>
      <c r="FG62" s="26">
        <f t="shared" si="130"/>
        <v>3.6391763843574023</v>
      </c>
      <c r="FH62" s="26">
        <f t="shared" si="130"/>
        <v>2.7798160348266783</v>
      </c>
      <c r="FI62" s="26">
        <f t="shared" si="130"/>
        <v>1.8879533707945306</v>
      </c>
      <c r="FJ62" s="26">
        <f t="shared" si="157"/>
        <v>0.961960220377717</v>
      </c>
      <c r="FK62" s="26">
        <f t="shared" si="157"/>
        <v>0</v>
      </c>
      <c r="FL62" s="26">
        <f t="shared" si="157"/>
        <v>-0.99999999999999989</v>
      </c>
      <c r="FM62" s="26">
        <f t="shared" si="157"/>
        <v>-2.0403886979416628</v>
      </c>
      <c r="FN62" s="26">
        <f t="shared" si="157"/>
        <v>-3.1237511977703822</v>
      </c>
      <c r="FO62" s="26">
        <f t="shared" si="170"/>
        <v>-4.2529093267212321</v>
      </c>
      <c r="FP62" s="26">
        <f t="shared" si="158"/>
        <v>-5.4309587792988223</v>
      </c>
      <c r="FQ62" s="26">
        <f t="shared" si="158"/>
        <v>-6.6611178167357536</v>
      </c>
      <c r="FR62" s="26">
        <f t="shared" si="158"/>
        <v>-7.9467092175622991</v>
      </c>
      <c r="FS62" s="26">
        <f t="shared" si="158"/>
        <v>-9.291255195861174</v>
      </c>
      <c r="FT62" s="26">
        <f t="shared" si="159"/>
        <v>-10.698573061582486</v>
      </c>
      <c r="FU62" s="26">
        <f t="shared" si="143"/>
        <v>-12.172750749016492</v>
      </c>
      <c r="FV62" s="26">
        <f t="shared" si="131"/>
        <v>-13.718664869488729</v>
      </c>
      <c r="FW62" s="26">
        <f t="shared" si="131"/>
        <v>-15.341569626336488</v>
      </c>
      <c r="FX62" s="26">
        <f t="shared" si="39"/>
        <v>3886994.4441078454</v>
      </c>
      <c r="FY62" s="26">
        <f t="shared" si="40"/>
        <v>208543.10761395967</v>
      </c>
      <c r="FZ62" s="26">
        <f t="shared" si="132"/>
        <v>0.79570924360811923</v>
      </c>
      <c r="GA62" s="26">
        <f t="shared" si="160"/>
        <v>0.82611691868178638</v>
      </c>
      <c r="GB62" s="26">
        <f t="shared" si="132"/>
        <v>0.85786016318500058</v>
      </c>
      <c r="GC62" s="26">
        <f t="shared" si="132"/>
        <v>0.891013036461616</v>
      </c>
      <c r="GD62" s="26">
        <f t="shared" si="132"/>
        <v>0.92567424240778462</v>
      </c>
      <c r="GE62" s="26">
        <f t="shared" si="161"/>
        <v>0.96196022037771323</v>
      </c>
      <c r="GF62" s="26">
        <f t="shared" si="161"/>
        <v>1</v>
      </c>
      <c r="GG62" s="26">
        <f t="shared" si="161"/>
        <v>1.0399604017274966</v>
      </c>
      <c r="GH62" s="26">
        <f t="shared" si="161"/>
        <v>1.0819630482641605</v>
      </c>
      <c r="GI62" s="26">
        <f t="shared" si="161"/>
        <v>1.1261679316359361</v>
      </c>
      <c r="GJ62" s="26">
        <f t="shared" si="171"/>
        <v>1.1727317370498773</v>
      </c>
      <c r="GK62" s="26">
        <f t="shared" si="162"/>
        <v>1.2218285382654992</v>
      </c>
      <c r="GL62" s="26">
        <f t="shared" si="162"/>
        <v>1.2736085078266868</v>
      </c>
      <c r="GM62" s="26">
        <f t="shared" si="162"/>
        <v>1.3282137029098562</v>
      </c>
      <c r="GN62" s="26">
        <f t="shared" si="162"/>
        <v>1.3858011491256657</v>
      </c>
      <c r="GO62" s="26">
        <f t="shared" si="163"/>
        <v>1.4465530663292161</v>
      </c>
      <c r="GP62" s="26">
        <f t="shared" si="140"/>
        <v>1.5106665872440415</v>
      </c>
      <c r="GQ62" s="26">
        <f t="shared" si="134"/>
        <v>1.5784157951516096</v>
      </c>
      <c r="GR62" s="26">
        <f t="shared" si="134"/>
        <v>1.6500847743443507</v>
      </c>
      <c r="GS62" s="26">
        <f t="shared" si="134"/>
        <v>1.7259736396198289</v>
      </c>
      <c r="GT62" s="26">
        <f t="shared" si="134"/>
        <v>1.8064406728018314</v>
      </c>
      <c r="GU62" s="26">
        <f t="shared" si="135"/>
        <v>5.4705565300088619</v>
      </c>
      <c r="GV62" s="26">
        <f t="shared" si="164"/>
        <v>4.6413968607640532</v>
      </c>
      <c r="GW62" s="26">
        <f t="shared" si="135"/>
        <v>3.7813162211723967</v>
      </c>
      <c r="GX62" s="26">
        <f t="shared" si="135"/>
        <v>2.8888029983650565</v>
      </c>
      <c r="GY62" s="26">
        <f t="shared" si="135"/>
        <v>1.962279128386746</v>
      </c>
      <c r="GZ62" s="26">
        <f t="shared" si="165"/>
        <v>0.99999999999999978</v>
      </c>
      <c r="HA62" s="26">
        <f t="shared" si="165"/>
        <v>0</v>
      </c>
      <c r="HB62" s="26">
        <f t="shared" si="165"/>
        <v>-1.0399604017275008</v>
      </c>
      <c r="HC62" s="26">
        <f t="shared" si="165"/>
        <v>-2.1223517462058292</v>
      </c>
      <c r="HD62" s="26">
        <f t="shared" si="165"/>
        <v>-3.2499191294063214</v>
      </c>
      <c r="HE62" s="26">
        <f t="shared" si="172"/>
        <v>-4.4256410637711143</v>
      </c>
      <c r="HF62" s="26">
        <f t="shared" si="166"/>
        <v>-5.652787317564326</v>
      </c>
      <c r="HG62" s="26">
        <f t="shared" si="166"/>
        <v>-6.934726324562444</v>
      </c>
      <c r="HH62" s="26">
        <f t="shared" si="166"/>
        <v>-8.2749229204721626</v>
      </c>
      <c r="HI62" s="26">
        <f t="shared" si="166"/>
        <v>-9.6770563449868447</v>
      </c>
      <c r="HJ62" s="26">
        <f t="shared" si="167"/>
        <v>-11.145126127911714</v>
      </c>
      <c r="HK62" s="26">
        <f t="shared" si="141"/>
        <v>-12.683417336260538</v>
      </c>
      <c r="HL62" s="26">
        <f t="shared" si="137"/>
        <v>-14.297080664640344</v>
      </c>
      <c r="HM62" s="26">
        <f t="shared" si="137"/>
        <v>-15.991654400680847</v>
      </c>
      <c r="HN62" s="26">
        <f t="shared" si="137"/>
        <v>-17.773115687803571</v>
      </c>
      <c r="HO62" s="26">
        <f t="shared" si="137"/>
        <v>-19.648341640450681</v>
      </c>
      <c r="HP62" s="26">
        <f t="shared" si="199"/>
        <v>520534.00107570307</v>
      </c>
      <c r="HQ62" s="26">
        <f t="shared" si="200"/>
        <v>536927.80343572481</v>
      </c>
      <c r="HR62" s="26">
        <f t="shared" si="201"/>
        <v>554101.16576141655</v>
      </c>
      <c r="HS62" s="26">
        <f t="shared" si="202"/>
        <v>572129.84827642248</v>
      </c>
      <c r="HT62" s="26">
        <f t="shared" si="203"/>
        <v>591092.5562868726</v>
      </c>
      <c r="HU62" s="26">
        <f t="shared" si="204"/>
        <v>611082.89710386656</v>
      </c>
      <c r="HV62" s="26">
        <f t="shared" si="205"/>
        <v>632215.9078880985</v>
      </c>
      <c r="HW62" s="26">
        <f t="shared" si="206"/>
        <v>654632.63016977266</v>
      </c>
      <c r="HX62" s="26">
        <f t="shared" si="207"/>
        <v>678499.81530059036</v>
      </c>
      <c r="HY62" s="26">
        <f t="shared" si="208"/>
        <v>704009.99382235541</v>
      </c>
      <c r="HZ62" s="26">
        <f t="shared" si="209"/>
        <v>731378.96871949104</v>
      </c>
      <c r="IA62" s="26">
        <f t="shared" si="210"/>
        <v>760851.20824168983</v>
      </c>
      <c r="IB62" s="26">
        <f t="shared" si="211"/>
        <v>792679.64638946811</v>
      </c>
      <c r="IC62" s="26">
        <f t="shared" si="212"/>
        <v>827124.34331016568</v>
      </c>
      <c r="ID62" s="26">
        <f t="shared" si="213"/>
        <v>864464.7384635465</v>
      </c>
      <c r="IE62" s="26">
        <f t="shared" si="214"/>
        <v>905011.23514221178</v>
      </c>
      <c r="IF62" s="26">
        <f t="shared" si="215"/>
        <v>949101.57555814378</v>
      </c>
      <c r="IG62" s="26">
        <f t="shared" si="216"/>
        <v>997164.68758815597</v>
      </c>
      <c r="IH62" s="26">
        <f t="shared" si="217"/>
        <v>1049668.6624993181</v>
      </c>
      <c r="II62" s="26">
        <f t="shared" si="218"/>
        <v>-445584960168.82159</v>
      </c>
      <c r="IJ62" s="26">
        <f t="shared" si="219"/>
        <v>540460.78272254008</v>
      </c>
      <c r="IK62" s="26">
        <f t="shared" si="220"/>
        <v>556492.73634445621</v>
      </c>
      <c r="IL62" s="26">
        <f t="shared" si="221"/>
        <v>573374.67046658928</v>
      </c>
      <c r="IM62" s="26">
        <f t="shared" si="222"/>
        <v>591189.59278492443</v>
      </c>
      <c r="IN62" s="26">
        <f t="shared" si="223"/>
        <v>610023.96493749134</v>
      </c>
      <c r="IO62" s="26">
        <f t="shared" si="224"/>
        <v>629979.99398090201</v>
      </c>
      <c r="IP62" s="26">
        <f t="shared" si="225"/>
        <v>651182.38512474147</v>
      </c>
      <c r="IQ62" s="26">
        <f t="shared" si="226"/>
        <v>673783.1015104648</v>
      </c>
      <c r="IR62" s="26">
        <f t="shared" si="227"/>
        <v>697961.16804119886</v>
      </c>
      <c r="IS62" s="26">
        <f t="shared" si="228"/>
        <v>723922.80936846987</v>
      </c>
      <c r="IT62" s="26">
        <f t="shared" si="229"/>
        <v>751898.97863753734</v>
      </c>
      <c r="IU62" s="26">
        <f t="shared" si="230"/>
        <v>782150.98793834704</v>
      </c>
      <c r="IV62" s="26">
        <f t="shared" si="231"/>
        <v>814949.85541848047</v>
      </c>
      <c r="IW62" s="26">
        <f t="shared" si="232"/>
        <v>850574.99053400138</v>
      </c>
      <c r="IX62" s="26">
        <f t="shared" si="233"/>
        <v>889326.86841246474</v>
      </c>
      <c r="IY62" s="26">
        <f t="shared" si="234"/>
        <v>931539.05773261026</v>
      </c>
      <c r="IZ62" s="26">
        <f t="shared" si="235"/>
        <v>977574.62282488809</v>
      </c>
      <c r="JA62" s="26">
        <f t="shared" si="236"/>
        <v>1027892.0508253536</v>
      </c>
      <c r="JB62" s="26">
        <f t="shared" si="237"/>
        <v>1082991.9195258834</v>
      </c>
      <c r="JC62" s="26">
        <f t="shared" si="238"/>
        <v>-458952505891.17773</v>
      </c>
      <c r="JD62" s="26">
        <f t="shared" si="239"/>
        <v>154175.89230806648</v>
      </c>
      <c r="JE62" s="26">
        <f t="shared" si="240"/>
        <v>245609.72080976208</v>
      </c>
      <c r="JF62" s="26">
        <f t="shared" si="241"/>
        <v>340787.79776286101</v>
      </c>
      <c r="JG62" s="26">
        <f t="shared" si="242"/>
        <v>439933.37158084504</v>
      </c>
      <c r="JH62" s="26">
        <f t="shared" si="243"/>
        <v>543299.87243444123</v>
      </c>
      <c r="JI62" s="26">
        <f t="shared" si="244"/>
        <v>651182.38512474147</v>
      </c>
      <c r="JJ62" s="26">
        <f t="shared" si="245"/>
        <v>763926.99553571083</v>
      </c>
      <c r="JK62" s="26">
        <f t="shared" si="246"/>
        <v>881926.87536666344</v>
      </c>
      <c r="JL62" s="26">
        <f t="shared" si="247"/>
        <v>1005626.1945215778</v>
      </c>
      <c r="JM62" s="26">
        <f t="shared" si="248"/>
        <v>1135514.0839662256</v>
      </c>
      <c r="JN62" s="26">
        <f t="shared" si="249"/>
        <v>1272135.2797011149</v>
      </c>
      <c r="JO62" s="26">
        <f t="shared" si="250"/>
        <v>1416052.7761229943</v>
      </c>
      <c r="JP62" s="26">
        <f t="shared" si="251"/>
        <v>1567846.3150681227</v>
      </c>
      <c r="JQ62" s="26">
        <f t="shared" si="252"/>
        <v>1728135.288607874</v>
      </c>
      <c r="JR62" s="26">
        <f t="shared" si="253"/>
        <v>1897599.9451506336</v>
      </c>
      <c r="JS62" s="26">
        <f t="shared" si="254"/>
        <v>2076974.7791564395</v>
      </c>
      <c r="JT62" s="26">
        <f t="shared" si="255"/>
        <v>2267164.740595933</v>
      </c>
      <c r="JU62" s="26">
        <f t="shared" si="256"/>
        <v>2469150.4667058941</v>
      </c>
      <c r="JV62" s="26">
        <f t="shared" si="257"/>
        <v>-458950965315.34967</v>
      </c>
      <c r="JW62" s="26">
        <f t="shared" si="258"/>
        <v>1857296.5338887183</v>
      </c>
      <c r="JX62" s="26" t="e">
        <f>AH62+$AG$38*0.004*(1+$R$28)*#REF!-S62*#REF!</f>
        <v>#REF!</v>
      </c>
      <c r="JY62" s="34">
        <f t="shared" si="259"/>
        <v>5.234178351234138E-2</v>
      </c>
      <c r="JZ62" s="4">
        <f t="shared" si="260"/>
        <v>47071.935788012284</v>
      </c>
      <c r="KA62" s="165"/>
    </row>
    <row r="63" spans="1:287" ht="15.75" x14ac:dyDescent="0.3">
      <c r="A63" s="34">
        <v>62</v>
      </c>
      <c r="B63" s="34">
        <v>35</v>
      </c>
      <c r="C63" s="2">
        <v>956000</v>
      </c>
      <c r="D63" s="1">
        <f t="shared" si="106"/>
        <v>2368</v>
      </c>
      <c r="E63" s="145">
        <f t="shared" si="107"/>
        <v>0.99752301255230125</v>
      </c>
      <c r="F63" s="146">
        <f t="shared" si="108"/>
        <v>2.476987447698753E-3</v>
      </c>
      <c r="G63" s="158">
        <f t="shared" si="173"/>
        <v>3.0962343096234413E-3</v>
      </c>
      <c r="H63" s="43">
        <f t="shared" si="109"/>
        <v>2926.8463772908708</v>
      </c>
      <c r="I63" s="43">
        <f t="shared" si="139"/>
        <v>945292.2759088052</v>
      </c>
      <c r="J63" s="43">
        <f t="shared" si="110"/>
        <v>954816</v>
      </c>
      <c r="K63" s="147">
        <f>SUM(J63:$J$138)</f>
        <v>39132740</v>
      </c>
      <c r="L63" s="147">
        <f t="shared" si="111"/>
        <v>40.933828451882846</v>
      </c>
      <c r="M63" s="43">
        <f t="shared" si="174"/>
        <v>1193520</v>
      </c>
      <c r="N63" s="148">
        <f t="shared" si="175"/>
        <v>48915925</v>
      </c>
      <c r="O63" s="147">
        <f t="shared" si="6"/>
        <v>51.167285564853557</v>
      </c>
      <c r="P63" s="157">
        <f t="shared" si="176"/>
        <v>283565.81027680589</v>
      </c>
      <c r="Q63" s="43">
        <f t="shared" si="177"/>
        <v>1195000</v>
      </c>
      <c r="R63" s="43">
        <f t="shared" si="178"/>
        <v>863.01334300521671</v>
      </c>
      <c r="S63" s="43">
        <f>SUM(R63:$R$138)</f>
        <v>86165.616132443218</v>
      </c>
      <c r="T63" s="43">
        <f t="shared" si="112"/>
        <v>2690291.4945449904</v>
      </c>
      <c r="U63" s="153">
        <f>SUM(P63:$P$138)</f>
        <v>5880859.0678085573</v>
      </c>
      <c r="V63" s="129">
        <f t="shared" si="179"/>
        <v>4103960.3363030413</v>
      </c>
      <c r="W63" s="43">
        <f t="shared" si="180"/>
        <v>216965.89219519592</v>
      </c>
      <c r="X63" s="26">
        <f t="shared" si="114"/>
        <v>6.2662657736169844</v>
      </c>
      <c r="Y63" s="26">
        <f t="shared" si="115"/>
        <v>0.76513417461506472</v>
      </c>
      <c r="Z63" s="43">
        <f t="shared" si="181"/>
        <v>79541.088741864602</v>
      </c>
      <c r="AA63" s="149">
        <f t="shared" si="116"/>
        <v>2.3361516623291119E-2</v>
      </c>
      <c r="AB63" s="150">
        <f t="shared" si="138"/>
        <v>5597293.2575317528</v>
      </c>
      <c r="AC63" s="150">
        <f t="shared" si="117"/>
        <v>3886994.4441078454</v>
      </c>
      <c r="AD63" s="26">
        <f t="shared" si="118"/>
        <v>6.0313999482320533</v>
      </c>
      <c r="AE63" s="26">
        <f t="shared" si="182"/>
        <v>523055.10567859816</v>
      </c>
      <c r="AF63" s="43">
        <f t="shared" si="183"/>
        <v>83471.580136423538</v>
      </c>
      <c r="AG63" s="43">
        <f t="shared" si="184"/>
        <v>544033.28671451157</v>
      </c>
      <c r="AH63" s="27">
        <f t="shared" si="185"/>
        <v>90662.179602715973</v>
      </c>
      <c r="AI63" s="28">
        <f t="shared" si="186"/>
        <v>584982.02872528136</v>
      </c>
      <c r="AJ63" s="20">
        <f t="shared" si="187"/>
        <v>97486.214626576315</v>
      </c>
      <c r="AK63" s="3">
        <f t="shared" si="188"/>
        <v>8448.8052676366133</v>
      </c>
      <c r="AL63" s="3"/>
      <c r="AM63" s="46">
        <f t="shared" si="121"/>
        <v>5597293.2575317528</v>
      </c>
      <c r="AN63" s="46">
        <f t="shared" si="122"/>
        <v>5324164.9250815194</v>
      </c>
      <c r="AO63" s="46">
        <f t="shared" si="122"/>
        <v>5061143.1109308824</v>
      </c>
      <c r="AP63" s="3">
        <f t="shared" si="261"/>
        <v>4807907.8302165577</v>
      </c>
      <c r="AQ63" s="3">
        <f t="shared" si="261"/>
        <v>4564154.762375352</v>
      </c>
      <c r="AR63" s="16">
        <f t="shared" si="261"/>
        <v>4329596.2727115229</v>
      </c>
      <c r="AS63" s="16">
        <f t="shared" si="261"/>
        <v>4103960.3363030413</v>
      </c>
      <c r="AT63" s="16">
        <f t="shared" si="261"/>
        <v>3886994.4441078454</v>
      </c>
      <c r="AU63" s="16">
        <f t="shared" si="261"/>
        <v>3678451.3364938861</v>
      </c>
      <c r="AV63" s="16">
        <f t="shared" si="261"/>
        <v>3478094.06288487</v>
      </c>
      <c r="AW63" s="16">
        <f t="shared" si="261"/>
        <v>3285692.0588459154</v>
      </c>
      <c r="AX63" s="16">
        <f t="shared" si="261"/>
        <v>3101021.3547806852</v>
      </c>
      <c r="AY63" s="16">
        <f t="shared" si="261"/>
        <v>2923858.6434593615</v>
      </c>
      <c r="AZ63" s="16">
        <f t="shared" si="261"/>
        <v>2753979.4019531519</v>
      </c>
      <c r="BA63" s="16">
        <f t="shared" si="261"/>
        <v>2591159.5511030932</v>
      </c>
      <c r="BB63" s="16">
        <f t="shared" si="261"/>
        <v>2435177.7612465657</v>
      </c>
      <c r="BC63" s="16">
        <f t="shared" si="144"/>
        <v>2285815.9243503674</v>
      </c>
      <c r="BD63" s="16">
        <f t="shared" si="18"/>
        <v>2142865.0383407604</v>
      </c>
      <c r="BE63" s="16">
        <f t="shared" si="18"/>
        <v>2006123.0115572365</v>
      </c>
      <c r="BF63" s="16">
        <f t="shared" si="18"/>
        <v>1875393.3577380853</v>
      </c>
      <c r="BG63" s="16">
        <f t="shared" si="18"/>
        <v>1750486.9936345171</v>
      </c>
      <c r="BH63" s="172">
        <f t="shared" si="123"/>
        <v>273128.33245023253</v>
      </c>
      <c r="BI63" s="16">
        <f t="shared" si="189"/>
        <v>263021.81415063736</v>
      </c>
      <c r="BJ63" s="16">
        <f t="shared" si="189"/>
        <v>253235.28071432526</v>
      </c>
      <c r="BK63" s="16">
        <f t="shared" si="189"/>
        <v>243753.06784120487</v>
      </c>
      <c r="BL63" s="16">
        <f t="shared" si="189"/>
        <v>234558.48966382915</v>
      </c>
      <c r="BM63" s="16">
        <f t="shared" si="189"/>
        <v>225635.93640848066</v>
      </c>
      <c r="BN63" s="16">
        <f t="shared" si="189"/>
        <v>216965.89219519592</v>
      </c>
      <c r="BO63" s="16">
        <f t="shared" si="189"/>
        <v>208543.10761395967</v>
      </c>
      <c r="BP63" s="16">
        <f t="shared" si="189"/>
        <v>200357.2736090158</v>
      </c>
      <c r="BQ63" s="16">
        <f t="shared" si="189"/>
        <v>192402.00403895453</v>
      </c>
      <c r="BR63" s="16">
        <f t="shared" si="189"/>
        <v>184670.70406523009</v>
      </c>
      <c r="BS63" s="16">
        <f t="shared" si="189"/>
        <v>177162.71132132332</v>
      </c>
      <c r="BT63" s="16">
        <f t="shared" si="189"/>
        <v>169879.2415062098</v>
      </c>
      <c r="BU63" s="16">
        <f t="shared" si="189"/>
        <v>162819.85085005857</v>
      </c>
      <c r="BV63" s="16">
        <f t="shared" si="189"/>
        <v>155981.78985652846</v>
      </c>
      <c r="BW63" s="16">
        <f t="shared" si="189"/>
        <v>149361.83689619804</v>
      </c>
      <c r="BX63" s="16">
        <f t="shared" si="168"/>
        <v>142950.88600960682</v>
      </c>
      <c r="BY63" s="16">
        <f t="shared" si="149"/>
        <v>136742.02678352417</v>
      </c>
      <c r="BZ63" s="16">
        <f t="shared" si="149"/>
        <v>130729.65381915121</v>
      </c>
      <c r="CA63" s="16">
        <f t="shared" si="149"/>
        <v>124906.36410356843</v>
      </c>
      <c r="CB63" s="16">
        <f t="shared" si="149"/>
        <v>119268.21591464471</v>
      </c>
      <c r="CC63" s="18">
        <f t="shared" si="124"/>
        <v>5.4675137794458433</v>
      </c>
      <c r="CD63" s="18">
        <f t="shared" si="124"/>
        <v>4.639176384357401</v>
      </c>
      <c r="CE63" s="18">
        <f t="shared" si="124"/>
        <v>3.7798160348266761</v>
      </c>
      <c r="CF63" s="18">
        <f t="shared" si="124"/>
        <v>2.8879533707945342</v>
      </c>
      <c r="CG63" s="18">
        <f t="shared" si="124"/>
        <v>1.9619602203777169</v>
      </c>
      <c r="CH63" s="18">
        <f t="shared" si="150"/>
        <v>1.000000000000004</v>
      </c>
      <c r="CI63" s="18">
        <f t="shared" si="150"/>
        <v>0</v>
      </c>
      <c r="CJ63" s="18">
        <f t="shared" si="150"/>
        <v>-1.0403886979416643</v>
      </c>
      <c r="CK63" s="18">
        <f t="shared" si="150"/>
        <v>-2.1237511977703809</v>
      </c>
      <c r="CL63" s="18">
        <f t="shared" si="151"/>
        <v>-3.2529093267212321</v>
      </c>
      <c r="CM63" s="18">
        <f t="shared" si="151"/>
        <v>-4.4309587792988223</v>
      </c>
      <c r="CN63" s="18">
        <f t="shared" si="151"/>
        <v>-5.6611178167357519</v>
      </c>
      <c r="CO63" s="18">
        <f t="shared" si="151"/>
        <v>-6.9467092175623009</v>
      </c>
      <c r="CP63" s="18">
        <f t="shared" si="152"/>
        <v>-8.291255195861174</v>
      </c>
      <c r="CQ63" s="18">
        <f t="shared" si="153"/>
        <v>-9.6985730615824917</v>
      </c>
      <c r="CR63" s="18">
        <f t="shared" si="154"/>
        <v>-11.17275074901649</v>
      </c>
      <c r="CS63" s="18">
        <f t="shared" si="142"/>
        <v>-12.718664869488727</v>
      </c>
      <c r="CT63" s="18">
        <f t="shared" si="125"/>
        <v>-14.34156962633649</v>
      </c>
      <c r="CU63" s="18">
        <f t="shared" si="125"/>
        <v>-16.047142048183737</v>
      </c>
      <c r="CV63" s="18">
        <f t="shared" si="125"/>
        <v>-17.841900967648844</v>
      </c>
      <c r="CW63" s="18">
        <f t="shared" si="22"/>
        <v>-19.732611279712668</v>
      </c>
      <c r="CX63" s="17">
        <f t="shared" si="190"/>
        <v>885.39366910186175</v>
      </c>
      <c r="CY63" s="17">
        <f t="shared" si="126"/>
        <v>907.55302244505697</v>
      </c>
      <c r="CZ63" s="17">
        <f t="shared" si="126"/>
        <v>934.63996497175719</v>
      </c>
      <c r="DA63" s="17">
        <f t="shared" si="126"/>
        <v>968.23268856226048</v>
      </c>
      <c r="DB63" s="17">
        <f t="shared" si="126"/>
        <v>1007.810475753591</v>
      </c>
      <c r="DC63" s="17">
        <f t="shared" si="126"/>
        <v>1057.8842267388445</v>
      </c>
      <c r="DD63" s="17">
        <f t="shared" si="126"/>
        <v>1104.6113627063899</v>
      </c>
      <c r="DE63" s="17">
        <f t="shared" si="126"/>
        <v>1153.3199078071334</v>
      </c>
      <c r="DF63" s="3" t="e">
        <f>#REF!+$AG$35*0.004*(1+$R$28)*#REF!-S63*#REF!</f>
        <v>#REF!</v>
      </c>
      <c r="DG63" s="19">
        <f t="shared" si="191"/>
        <v>1819.5804268119837</v>
      </c>
      <c r="DH63" s="19">
        <f t="shared" si="192"/>
        <v>1700.2089387850547</v>
      </c>
      <c r="DI63" s="19">
        <f t="shared" si="193"/>
        <v>1580.4644162223126</v>
      </c>
      <c r="DJ63" s="19">
        <f t="shared" si="194"/>
        <v>1461.6722855547359</v>
      </c>
      <c r="DK63" s="19">
        <f t="shared" si="195"/>
        <v>1343.0336376816185</v>
      </c>
      <c r="DL63" s="19">
        <f t="shared" si="196"/>
        <v>1228.7455716561701</v>
      </c>
      <c r="DM63" s="19">
        <f t="shared" si="197"/>
        <v>1104.6113627063899</v>
      </c>
      <c r="DN63" s="19">
        <f t="shared" si="198"/>
        <v>975.55769564003629</v>
      </c>
      <c r="DO63" s="173">
        <f t="shared" si="127"/>
        <v>85302.60278943798</v>
      </c>
      <c r="DP63" s="25">
        <f t="shared" si="262"/>
        <v>84417.209120336134</v>
      </c>
      <c r="DQ63" s="26">
        <f t="shared" si="262"/>
        <v>83509.656097891071</v>
      </c>
      <c r="DR63" s="26">
        <f t="shared" si="262"/>
        <v>82575.016132919322</v>
      </c>
      <c r="DS63" s="26">
        <f t="shared" si="262"/>
        <v>81606.783444357046</v>
      </c>
      <c r="DT63" s="26">
        <f t="shared" si="262"/>
        <v>80598.972968603455</v>
      </c>
      <c r="DU63" s="26">
        <f t="shared" si="262"/>
        <v>79541.088741864602</v>
      </c>
      <c r="DV63" s="26">
        <f t="shared" si="262"/>
        <v>78436.477379158212</v>
      </c>
      <c r="DW63" s="26">
        <f t="shared" si="262"/>
        <v>77283.157471351093</v>
      </c>
      <c r="DX63" s="26">
        <f t="shared" si="262"/>
        <v>76082.783920534741</v>
      </c>
      <c r="DY63" s="26">
        <f t="shared" si="262"/>
        <v>74836.579607665073</v>
      </c>
      <c r="DZ63" s="26">
        <f t="shared" si="262"/>
        <v>73551.575928090766</v>
      </c>
      <c r="EA63" s="26">
        <f t="shared" si="262"/>
        <v>72236.692138670856</v>
      </c>
      <c r="EB63" s="26">
        <f t="shared" si="262"/>
        <v>70899.201060349529</v>
      </c>
      <c r="EC63" s="26">
        <f t="shared" si="262"/>
        <v>69544.014517296338</v>
      </c>
      <c r="ED63" s="26">
        <f t="shared" si="262"/>
        <v>68175.46941806782</v>
      </c>
      <c r="EE63" s="26">
        <f t="shared" si="145"/>
        <v>66791.805416898773</v>
      </c>
      <c r="EF63" s="26">
        <f t="shared" si="34"/>
        <v>65393.182532433275</v>
      </c>
      <c r="EG63" s="26">
        <f t="shared" si="34"/>
        <v>63980.850699294751</v>
      </c>
      <c r="EH63" s="26">
        <f t="shared" si="34"/>
        <v>62554.038207059304</v>
      </c>
      <c r="EI63" s="26">
        <f t="shared" si="34"/>
        <v>61115.240000982594</v>
      </c>
      <c r="EJ63" s="26">
        <f t="shared" si="128"/>
        <v>2.1094530896472268E-2</v>
      </c>
      <c r="EK63" s="26">
        <f t="shared" si="128"/>
        <v>1.8538843989871084E-2</v>
      </c>
      <c r="EL63" s="26">
        <f t="shared" si="169"/>
        <v>1.5671463094841871E-2</v>
      </c>
      <c r="EM63" s="26">
        <f t="shared" si="169"/>
        <v>1.2446724949657656E-2</v>
      </c>
      <c r="EN63" s="26">
        <f t="shared" si="169"/>
        <v>8.8067360318230762E-3</v>
      </c>
      <c r="EO63" s="26">
        <f t="shared" si="169"/>
        <v>4.6884562963574643E-3</v>
      </c>
      <c r="EP63" s="26">
        <f t="shared" si="169"/>
        <v>0</v>
      </c>
      <c r="EQ63" s="26">
        <f t="shared" si="169"/>
        <v>-5.2968011043125363E-3</v>
      </c>
      <c r="ER63" s="26">
        <f t="shared" si="169"/>
        <v>-1.1269524833521716E-2</v>
      </c>
      <c r="ES63" s="26">
        <f t="shared" si="169"/>
        <v>-1.7974370062328861E-2</v>
      </c>
      <c r="ET63" s="26">
        <f t="shared" si="169"/>
        <v>-2.5475124265177351E-2</v>
      </c>
      <c r="EU63" s="26">
        <f t="shared" si="169"/>
        <v>-3.3807976684837163E-2</v>
      </c>
      <c r="EV63" s="26">
        <f t="shared" si="169"/>
        <v>-4.2997581920135537E-2</v>
      </c>
      <c r="EW63" s="26">
        <f t="shared" si="169"/>
        <v>-5.307637635335645E-2</v>
      </c>
      <c r="EX63" s="26">
        <f t="shared" si="169"/>
        <v>-6.409129061644657E-2</v>
      </c>
      <c r="EY63" s="26">
        <f t="shared" si="169"/>
        <v>-7.6094533650490279E-2</v>
      </c>
      <c r="EZ63" s="26">
        <f t="shared" si="146"/>
        <v>-8.9186458936036467E-2</v>
      </c>
      <c r="FA63" s="26">
        <f t="shared" si="146"/>
        <v>-0.10346421317733449</v>
      </c>
      <c r="FB63" s="26">
        <f t="shared" si="146"/>
        <v>-0.11902607853682205</v>
      </c>
      <c r="FC63" s="26">
        <f t="shared" si="146"/>
        <v>-0.13599827884446439</v>
      </c>
      <c r="FD63" s="26">
        <f t="shared" si="146"/>
        <v>-0.15449085575379629</v>
      </c>
      <c r="FE63" s="26">
        <f t="shared" si="130"/>
        <v>5.2618872164627772</v>
      </c>
      <c r="FF63" s="26">
        <f t="shared" si="130"/>
        <v>4.4640733340489422</v>
      </c>
      <c r="FG63" s="26">
        <f t="shared" si="130"/>
        <v>3.6365919610845805</v>
      </c>
      <c r="FH63" s="26">
        <f t="shared" si="130"/>
        <v>2.7780586487167773</v>
      </c>
      <c r="FI63" s="26">
        <f t="shared" si="130"/>
        <v>1.8869571902429003</v>
      </c>
      <c r="FJ63" s="26">
        <f t="shared" si="157"/>
        <v>0.96157507376134921</v>
      </c>
      <c r="FK63" s="26">
        <f t="shared" si="157"/>
        <v>0</v>
      </c>
      <c r="FL63" s="26">
        <f t="shared" si="157"/>
        <v>-0.99999999999999845</v>
      </c>
      <c r="FM63" s="26">
        <f t="shared" si="157"/>
        <v>-2.0408561858398908</v>
      </c>
      <c r="FN63" s="26">
        <f t="shared" si="157"/>
        <v>-3.1252397201652213</v>
      </c>
      <c r="FO63" s="26">
        <f t="shared" si="170"/>
        <v>-4.2560789124924536</v>
      </c>
      <c r="FP63" s="26">
        <f t="shared" si="158"/>
        <v>-5.4364476218792257</v>
      </c>
      <c r="FQ63" s="26">
        <f t="shared" si="158"/>
        <v>-6.6695320282159196</v>
      </c>
      <c r="FR63" s="26">
        <f t="shared" si="158"/>
        <v>-7.9587033536720995</v>
      </c>
      <c r="FS63" s="26">
        <f t="shared" si="158"/>
        <v>-9.3076036901272641</v>
      </c>
      <c r="FT63" s="26">
        <f t="shared" si="159"/>
        <v>-10.720131413958498</v>
      </c>
      <c r="FU63" s="26">
        <f t="shared" si="143"/>
        <v>-12.200899584839741</v>
      </c>
      <c r="FV63" s="26">
        <f t="shared" si="131"/>
        <v>-13.754889237733838</v>
      </c>
      <c r="FW63" s="26">
        <f t="shared" si="131"/>
        <v>-15.387488818356154</v>
      </c>
      <c r="FX63" s="26">
        <f t="shared" si="39"/>
        <v>3678451.3364938861</v>
      </c>
      <c r="FY63" s="26">
        <f t="shared" si="40"/>
        <v>200357.2736090158</v>
      </c>
      <c r="FZ63" s="26">
        <f t="shared" si="132"/>
        <v>0.79437343701693741</v>
      </c>
      <c r="GA63" s="26">
        <f t="shared" si="160"/>
        <v>0.82489694969154015</v>
      </c>
      <c r="GB63" s="26">
        <f t="shared" si="132"/>
        <v>0.85677592625790233</v>
      </c>
      <c r="GC63" s="26">
        <f t="shared" si="132"/>
        <v>0.8901052779222467</v>
      </c>
      <c r="GD63" s="26">
        <f t="shared" si="132"/>
        <v>0.92499696986518343</v>
      </c>
      <c r="GE63" s="26">
        <f t="shared" si="161"/>
        <v>0.96157507376134932</v>
      </c>
      <c r="GF63" s="26">
        <f t="shared" si="161"/>
        <v>1</v>
      </c>
      <c r="GG63" s="26">
        <f t="shared" si="161"/>
        <v>1.0403886979416646</v>
      </c>
      <c r="GH63" s="26">
        <f t="shared" si="161"/>
        <v>1.0828950119304914</v>
      </c>
      <c r="GI63" s="26">
        <f t="shared" si="161"/>
        <v>1.1276696065560112</v>
      </c>
      <c r="GJ63" s="26">
        <f t="shared" si="171"/>
        <v>1.1748798668063689</v>
      </c>
      <c r="GK63" s="26">
        <f t="shared" si="162"/>
        <v>1.2246701948565284</v>
      </c>
      <c r="GL63" s="26">
        <f t="shared" si="162"/>
        <v>1.2771771893463799</v>
      </c>
      <c r="GM63" s="26">
        <f t="shared" si="162"/>
        <v>1.3325518421890745</v>
      </c>
      <c r="GN63" s="26">
        <f t="shared" si="162"/>
        <v>1.390969371455222</v>
      </c>
      <c r="GO63" s="26">
        <f t="shared" si="163"/>
        <v>1.452619335057995</v>
      </c>
      <c r="GP63" s="26">
        <f t="shared" si="140"/>
        <v>1.517765284648988</v>
      </c>
      <c r="GQ63" s="26">
        <f t="shared" si="134"/>
        <v>1.5866803886026486</v>
      </c>
      <c r="GR63" s="26">
        <f t="shared" si="134"/>
        <v>1.6596532298275815</v>
      </c>
      <c r="GS63" s="26">
        <f t="shared" si="134"/>
        <v>1.7370283231949224</v>
      </c>
      <c r="GT63" s="26">
        <f t="shared" si="134"/>
        <v>1.8191425983136142</v>
      </c>
      <c r="GU63" s="26">
        <f t="shared" si="135"/>
        <v>5.4675137794458433</v>
      </c>
      <c r="GV63" s="26">
        <f t="shared" si="164"/>
        <v>4.639176384357401</v>
      </c>
      <c r="GW63" s="26">
        <f t="shared" si="135"/>
        <v>3.7798160348266761</v>
      </c>
      <c r="GX63" s="26">
        <f t="shared" si="135"/>
        <v>2.8879533707945342</v>
      </c>
      <c r="GY63" s="26">
        <f t="shared" si="135"/>
        <v>1.9619602203777169</v>
      </c>
      <c r="GZ63" s="26">
        <f t="shared" si="165"/>
        <v>1.000000000000004</v>
      </c>
      <c r="HA63" s="26">
        <f t="shared" si="165"/>
        <v>0</v>
      </c>
      <c r="HB63" s="26">
        <f t="shared" si="165"/>
        <v>-1.0403886979416643</v>
      </c>
      <c r="HC63" s="26">
        <f t="shared" si="165"/>
        <v>-2.1237511977703809</v>
      </c>
      <c r="HD63" s="26">
        <f t="shared" si="165"/>
        <v>-3.2529093267212321</v>
      </c>
      <c r="HE63" s="26">
        <f t="shared" si="172"/>
        <v>-4.4309587792988223</v>
      </c>
      <c r="HF63" s="26">
        <f t="shared" si="166"/>
        <v>-5.6611178167357519</v>
      </c>
      <c r="HG63" s="26">
        <f t="shared" si="166"/>
        <v>-6.9467092175623009</v>
      </c>
      <c r="HH63" s="26">
        <f t="shared" si="166"/>
        <v>-8.291255195861174</v>
      </c>
      <c r="HI63" s="26">
        <f t="shared" si="166"/>
        <v>-9.6985730615824917</v>
      </c>
      <c r="HJ63" s="26">
        <f t="shared" si="167"/>
        <v>-11.17275074901649</v>
      </c>
      <c r="HK63" s="26">
        <f t="shared" si="141"/>
        <v>-12.718664869488727</v>
      </c>
      <c r="HL63" s="26">
        <f t="shared" si="137"/>
        <v>-14.34156962633649</v>
      </c>
      <c r="HM63" s="26">
        <f t="shared" si="137"/>
        <v>-16.047142048183737</v>
      </c>
      <c r="HN63" s="26">
        <f t="shared" si="137"/>
        <v>-17.841900967648844</v>
      </c>
      <c r="HO63" s="26">
        <f t="shared" si="137"/>
        <v>-19.732611279712668</v>
      </c>
      <c r="HP63" s="26">
        <f t="shared" si="199"/>
        <v>520966.69879783719</v>
      </c>
      <c r="HQ63" s="26">
        <f t="shared" si="200"/>
        <v>537257.86394701013</v>
      </c>
      <c r="HR63" s="26">
        <f t="shared" si="201"/>
        <v>554339.32099068444</v>
      </c>
      <c r="HS63" s="26">
        <f t="shared" si="202"/>
        <v>572281.85335667711</v>
      </c>
      <c r="HT63" s="26">
        <f t="shared" si="203"/>
        <v>591169.2359732152</v>
      </c>
      <c r="HU63" s="26">
        <f t="shared" si="204"/>
        <v>611105.3556709796</v>
      </c>
      <c r="HV63" s="26">
        <f t="shared" si="205"/>
        <v>632215.9078880985</v>
      </c>
      <c r="HW63" s="26">
        <f t="shared" si="206"/>
        <v>654657.59760146786</v>
      </c>
      <c r="HX63" s="26">
        <f t="shared" si="207"/>
        <v>678608.65604556189</v>
      </c>
      <c r="HY63" s="26">
        <f t="shared" si="208"/>
        <v>704271.10502603278</v>
      </c>
      <c r="HZ63" s="26">
        <f t="shared" si="209"/>
        <v>731873.78779582668</v>
      </c>
      <c r="IA63" s="26">
        <f t="shared" si="210"/>
        <v>761656.89675101289</v>
      </c>
      <c r="IB63" s="26">
        <f t="shared" si="211"/>
        <v>793868.83371107501</v>
      </c>
      <c r="IC63" s="26">
        <f t="shared" si="212"/>
        <v>828775.82851552451</v>
      </c>
      <c r="ID63" s="26">
        <f t="shared" si="213"/>
        <v>866672.35968097835</v>
      </c>
      <c r="IE63" s="26">
        <f t="shared" si="214"/>
        <v>907878.71114359656</v>
      </c>
      <c r="IF63" s="26">
        <f t="shared" si="215"/>
        <v>952797.73003005469</v>
      </c>
      <c r="IG63" s="26">
        <f t="shared" si="216"/>
        <v>1001870.4673587517</v>
      </c>
      <c r="IH63" s="26">
        <f t="shared" si="217"/>
        <v>1055580.9301777487</v>
      </c>
      <c r="II63" s="26">
        <f t="shared" si="218"/>
        <v>-421678700478.11395</v>
      </c>
      <c r="IJ63" s="26">
        <f t="shared" si="219"/>
        <v>540904.06370943575</v>
      </c>
      <c r="IK63" s="26">
        <f t="shared" si="220"/>
        <v>556831.04477106617</v>
      </c>
      <c r="IL63" s="26">
        <f t="shared" si="221"/>
        <v>573618.9188145221</v>
      </c>
      <c r="IM63" s="26">
        <f t="shared" si="222"/>
        <v>591345.60042829032</v>
      </c>
      <c r="IN63" s="26">
        <f t="shared" si="223"/>
        <v>610102.7502137319</v>
      </c>
      <c r="IO63" s="26">
        <f t="shared" si="224"/>
        <v>630003.12630502833</v>
      </c>
      <c r="IP63" s="26">
        <f t="shared" si="225"/>
        <v>651182.38512474147</v>
      </c>
      <c r="IQ63" s="26">
        <f t="shared" si="226"/>
        <v>673808.61677866173</v>
      </c>
      <c r="IR63" s="26">
        <f t="shared" si="227"/>
        <v>698072.68475261354</v>
      </c>
      <c r="IS63" s="26">
        <f t="shared" si="228"/>
        <v>724190.64292177639</v>
      </c>
      <c r="IT63" s="26">
        <f t="shared" si="229"/>
        <v>752406.93442430103</v>
      </c>
      <c r="IU63" s="26">
        <f t="shared" si="230"/>
        <v>782978.59859916451</v>
      </c>
      <c r="IV63" s="26">
        <f t="shared" si="231"/>
        <v>816172.10883646819</v>
      </c>
      <c r="IW63" s="26">
        <f t="shared" si="232"/>
        <v>852273.32996856805</v>
      </c>
      <c r="IX63" s="26">
        <f t="shared" si="233"/>
        <v>891598.33511614765</v>
      </c>
      <c r="IY63" s="26">
        <f t="shared" si="234"/>
        <v>934491.0150322885</v>
      </c>
      <c r="IZ63" s="26">
        <f t="shared" si="235"/>
        <v>981381.66193095641</v>
      </c>
      <c r="JA63" s="26">
        <f t="shared" si="236"/>
        <v>1032741.5320463122</v>
      </c>
      <c r="JB63" s="26">
        <f t="shared" si="237"/>
        <v>1089087.916039797</v>
      </c>
      <c r="JC63" s="26">
        <f t="shared" si="238"/>
        <v>-434329058397.81824</v>
      </c>
      <c r="JD63" s="26">
        <f t="shared" si="239"/>
        <v>154060.64415119478</v>
      </c>
      <c r="JE63" s="26">
        <f t="shared" si="240"/>
        <v>245457.64782904088</v>
      </c>
      <c r="JF63" s="26">
        <f t="shared" si="241"/>
        <v>340615.28975321091</v>
      </c>
      <c r="JG63" s="26">
        <f t="shared" si="242"/>
        <v>439766.58739261463</v>
      </c>
      <c r="JH63" s="26">
        <f t="shared" si="243"/>
        <v>543183.7499221958</v>
      </c>
      <c r="JI63" s="26">
        <f t="shared" si="244"/>
        <v>651182.38512474147</v>
      </c>
      <c r="JJ63" s="26">
        <f t="shared" si="245"/>
        <v>764134.51472970366</v>
      </c>
      <c r="JK63" s="26">
        <f t="shared" si="246"/>
        <v>882455.43933533086</v>
      </c>
      <c r="JL63" s="26">
        <f t="shared" si="247"/>
        <v>1006606.2020976121</v>
      </c>
      <c r="JM63" s="26">
        <f t="shared" si="248"/>
        <v>1137100.0124210599</v>
      </c>
      <c r="JN63" s="26">
        <f t="shared" si="249"/>
        <v>1274473.3170779026</v>
      </c>
      <c r="JO63" s="26">
        <f t="shared" si="250"/>
        <v>1419281.0710180989</v>
      </c>
      <c r="JP63" s="26">
        <f t="shared" si="251"/>
        <v>1572114.9355041517</v>
      </c>
      <c r="JQ63" s="26">
        <f t="shared" si="252"/>
        <v>1733622.4001260744</v>
      </c>
      <c r="JR63" s="26">
        <f t="shared" si="253"/>
        <v>1904502.2675427208</v>
      </c>
      <c r="JS63" s="26">
        <f t="shared" si="254"/>
        <v>2085608.2143222026</v>
      </c>
      <c r="JT63" s="26">
        <f t="shared" si="255"/>
        <v>2277867.6633558129</v>
      </c>
      <c r="JU63" s="26">
        <f t="shared" si="256"/>
        <v>2482290.7813898325</v>
      </c>
      <c r="JV63" s="26">
        <f t="shared" si="257"/>
        <v>-434327509375.10272</v>
      </c>
      <c r="JW63" s="26">
        <f t="shared" si="258"/>
        <v>1867233.6498606873</v>
      </c>
      <c r="JX63" s="26" t="e">
        <f>AH63+$AG$38*0.004*(1+$R$28)*#REF!-S63*#REF!</f>
        <v>#REF!</v>
      </c>
      <c r="JY63" s="34">
        <f t="shared" si="259"/>
        <v>5.2476987447698756E-2</v>
      </c>
      <c r="JZ63" s="4">
        <f t="shared" si="260"/>
        <v>47028.264351881517</v>
      </c>
      <c r="KA63" s="165"/>
    </row>
    <row r="64" spans="1:287" ht="15.75" x14ac:dyDescent="0.3">
      <c r="A64" s="34">
        <v>63</v>
      </c>
      <c r="B64" s="34">
        <v>36</v>
      </c>
      <c r="C64" s="2">
        <v>953632</v>
      </c>
      <c r="D64" s="1">
        <f t="shared" si="106"/>
        <v>2516</v>
      </c>
      <c r="E64" s="145">
        <f t="shared" si="107"/>
        <v>0.99736166571591556</v>
      </c>
      <c r="F64" s="146">
        <f t="shared" si="108"/>
        <v>2.6383342840844426E-3</v>
      </c>
      <c r="G64" s="158">
        <f t="shared" si="173"/>
        <v>3.2979178551055532E-3</v>
      </c>
      <c r="H64" s="43">
        <f t="shared" si="109"/>
        <v>3107.8437760861948</v>
      </c>
      <c r="I64" s="43">
        <f t="shared" si="139"/>
        <v>942365.4295315143</v>
      </c>
      <c r="J64" s="43">
        <f t="shared" si="110"/>
        <v>952374</v>
      </c>
      <c r="K64" s="147">
        <f>SUM(J64:$J$138)</f>
        <v>38177924</v>
      </c>
      <c r="L64" s="147">
        <f t="shared" si="111"/>
        <v>40.034231233851216</v>
      </c>
      <c r="M64" s="43">
        <f t="shared" si="174"/>
        <v>1190467.5</v>
      </c>
      <c r="N64" s="148">
        <f t="shared" si="175"/>
        <v>47722405</v>
      </c>
      <c r="O64" s="147">
        <f t="shared" si="6"/>
        <v>50.04278904231402</v>
      </c>
      <c r="P64" s="157">
        <f t="shared" si="176"/>
        <v>273128.33245023253</v>
      </c>
      <c r="Q64" s="43">
        <f t="shared" si="177"/>
        <v>1192040</v>
      </c>
      <c r="R64" s="43">
        <f t="shared" si="178"/>
        <v>885.39366910186175</v>
      </c>
      <c r="S64" s="43">
        <f>SUM(R64:$R$138)</f>
        <v>85302.60278943798</v>
      </c>
      <c r="T64" s="43">
        <f t="shared" si="112"/>
        <v>2604125.8784125466</v>
      </c>
      <c r="U64" s="153">
        <f>SUM(P64:$P$138)</f>
        <v>5597293.2575317528</v>
      </c>
      <c r="V64" s="129">
        <f t="shared" si="179"/>
        <v>3886994.4441078454</v>
      </c>
      <c r="W64" s="43">
        <f t="shared" si="180"/>
        <v>208543.10761395967</v>
      </c>
      <c r="X64" s="26">
        <f t="shared" si="114"/>
        <v>6.2618872164627799</v>
      </c>
      <c r="Y64" s="26">
        <f t="shared" si="115"/>
        <v>0.76353524273048057</v>
      </c>
      <c r="Z64" s="43">
        <f t="shared" si="181"/>
        <v>78436.477379158212</v>
      </c>
      <c r="AA64" s="149">
        <f t="shared" si="116"/>
        <v>2.5138825213348617E-2</v>
      </c>
      <c r="AB64" s="150">
        <f t="shared" si="138"/>
        <v>5324164.9250815194</v>
      </c>
      <c r="AC64" s="150">
        <f t="shared" si="117"/>
        <v>3678451.3364938861</v>
      </c>
      <c r="AD64" s="26">
        <f t="shared" si="118"/>
        <v>6.0254224591932566</v>
      </c>
      <c r="AE64" s="26">
        <f t="shared" si="182"/>
        <v>523658.91043723153</v>
      </c>
      <c r="AF64" s="43">
        <f t="shared" si="183"/>
        <v>83626.372104005481</v>
      </c>
      <c r="AG64" s="43">
        <f t="shared" si="184"/>
        <v>544651.51165122981</v>
      </c>
      <c r="AH64" s="27">
        <f t="shared" si="185"/>
        <v>90821.615329325374</v>
      </c>
      <c r="AI64" s="28">
        <f t="shared" si="186"/>
        <v>585646.78672175249</v>
      </c>
      <c r="AJ64" s="20">
        <f t="shared" si="187"/>
        <v>97657.650891747719</v>
      </c>
      <c r="AK64" s="3">
        <f t="shared" si="188"/>
        <v>8463.6630772848021</v>
      </c>
      <c r="AL64" s="3"/>
      <c r="AM64" s="46">
        <f t="shared" si="121"/>
        <v>5324164.9250815194</v>
      </c>
      <c r="AN64" s="46">
        <f t="shared" si="122"/>
        <v>5061143.1109308824</v>
      </c>
      <c r="AO64" s="46">
        <f t="shared" si="122"/>
        <v>4807907.8302165577</v>
      </c>
      <c r="AP64" s="3">
        <f t="shared" si="261"/>
        <v>4564154.762375352</v>
      </c>
      <c r="AQ64" s="3">
        <f t="shared" si="261"/>
        <v>4329596.2727115229</v>
      </c>
      <c r="AR64" s="16">
        <f t="shared" si="261"/>
        <v>4103960.3363030413</v>
      </c>
      <c r="AS64" s="16">
        <f t="shared" si="261"/>
        <v>3886994.4441078454</v>
      </c>
      <c r="AT64" s="16">
        <f t="shared" si="261"/>
        <v>3678451.3364938861</v>
      </c>
      <c r="AU64" s="16">
        <f t="shared" si="261"/>
        <v>3478094.06288487</v>
      </c>
      <c r="AV64" s="16">
        <f t="shared" si="261"/>
        <v>3285692.0588459154</v>
      </c>
      <c r="AW64" s="16">
        <f t="shared" si="261"/>
        <v>3101021.3547806852</v>
      </c>
      <c r="AX64" s="16">
        <f t="shared" si="261"/>
        <v>2923858.6434593615</v>
      </c>
      <c r="AY64" s="16">
        <f t="shared" si="261"/>
        <v>2753979.4019531519</v>
      </c>
      <c r="AZ64" s="16">
        <f t="shared" si="261"/>
        <v>2591159.5511030932</v>
      </c>
      <c r="BA64" s="16">
        <f t="shared" si="261"/>
        <v>2435177.7612465657</v>
      </c>
      <c r="BB64" s="16">
        <f t="shared" si="261"/>
        <v>2285815.9243503674</v>
      </c>
      <c r="BC64" s="16">
        <f t="shared" si="144"/>
        <v>2142865.0383407604</v>
      </c>
      <c r="BD64" s="16">
        <f t="shared" si="18"/>
        <v>2006123.0115572365</v>
      </c>
      <c r="BE64" s="16">
        <f t="shared" si="18"/>
        <v>1875393.3577380853</v>
      </c>
      <c r="BF64" s="16">
        <f t="shared" si="18"/>
        <v>1750486.9936345171</v>
      </c>
      <c r="BG64" s="16">
        <f t="shared" si="18"/>
        <v>1631218.7777198723</v>
      </c>
      <c r="BH64" s="172">
        <f t="shared" si="123"/>
        <v>263021.81415063736</v>
      </c>
      <c r="BI64" s="16">
        <f t="shared" si="189"/>
        <v>253235.28071432526</v>
      </c>
      <c r="BJ64" s="16">
        <f t="shared" si="189"/>
        <v>243753.06784120487</v>
      </c>
      <c r="BK64" s="16">
        <f t="shared" si="189"/>
        <v>234558.48966382915</v>
      </c>
      <c r="BL64" s="16">
        <f t="shared" si="189"/>
        <v>225635.93640848066</v>
      </c>
      <c r="BM64" s="16">
        <f t="shared" si="189"/>
        <v>216965.89219519592</v>
      </c>
      <c r="BN64" s="16">
        <f t="shared" si="189"/>
        <v>208543.10761395967</v>
      </c>
      <c r="BO64" s="16">
        <f t="shared" si="189"/>
        <v>200357.2736090158</v>
      </c>
      <c r="BP64" s="16">
        <f t="shared" si="189"/>
        <v>192402.00403895453</v>
      </c>
      <c r="BQ64" s="16">
        <f t="shared" si="189"/>
        <v>184670.70406523009</v>
      </c>
      <c r="BR64" s="16">
        <f t="shared" si="189"/>
        <v>177162.71132132332</v>
      </c>
      <c r="BS64" s="16">
        <f t="shared" si="189"/>
        <v>169879.2415062098</v>
      </c>
      <c r="BT64" s="16">
        <f t="shared" si="189"/>
        <v>162819.85085005857</v>
      </c>
      <c r="BU64" s="16">
        <f t="shared" si="189"/>
        <v>155981.78985652846</v>
      </c>
      <c r="BV64" s="16">
        <f t="shared" si="189"/>
        <v>149361.83689619804</v>
      </c>
      <c r="BW64" s="16">
        <f t="shared" si="189"/>
        <v>142950.88600960682</v>
      </c>
      <c r="BX64" s="16">
        <f t="shared" si="168"/>
        <v>136742.02678352417</v>
      </c>
      <c r="BY64" s="16">
        <f t="shared" si="149"/>
        <v>130729.65381915121</v>
      </c>
      <c r="BZ64" s="16">
        <f t="shared" si="149"/>
        <v>124906.36410356843</v>
      </c>
      <c r="CA64" s="16">
        <f t="shared" si="149"/>
        <v>119268.21591464471</v>
      </c>
      <c r="CB64" s="16">
        <f t="shared" si="149"/>
        <v>113811.11474037961</v>
      </c>
      <c r="CC64" s="18">
        <f t="shared" si="124"/>
        <v>5.4640733340489405</v>
      </c>
      <c r="CD64" s="18">
        <f t="shared" si="124"/>
        <v>4.6365919610845783</v>
      </c>
      <c r="CE64" s="18">
        <f t="shared" si="124"/>
        <v>3.7780586487167809</v>
      </c>
      <c r="CF64" s="18">
        <f t="shared" si="124"/>
        <v>2.8869571902429003</v>
      </c>
      <c r="CG64" s="18">
        <f t="shared" si="124"/>
        <v>1.9615750737613533</v>
      </c>
      <c r="CH64" s="18">
        <f t="shared" si="150"/>
        <v>0.99999999999999989</v>
      </c>
      <c r="CI64" s="18">
        <f t="shared" si="150"/>
        <v>0</v>
      </c>
      <c r="CJ64" s="18">
        <f t="shared" si="150"/>
        <v>-1.0408561858398895</v>
      </c>
      <c r="CK64" s="18">
        <f t="shared" si="150"/>
        <v>-2.1252397201652209</v>
      </c>
      <c r="CL64" s="18">
        <f t="shared" si="151"/>
        <v>-3.2560789124924532</v>
      </c>
      <c r="CM64" s="18">
        <f t="shared" si="151"/>
        <v>-4.4364476218792239</v>
      </c>
      <c r="CN64" s="18">
        <f t="shared" si="151"/>
        <v>-5.6695320282159214</v>
      </c>
      <c r="CO64" s="18">
        <f t="shared" si="151"/>
        <v>-6.9587033536720986</v>
      </c>
      <c r="CP64" s="18">
        <f t="shared" si="152"/>
        <v>-8.3076036901272712</v>
      </c>
      <c r="CQ64" s="18">
        <f t="shared" si="153"/>
        <v>-9.7201314139584962</v>
      </c>
      <c r="CR64" s="18">
        <f t="shared" si="154"/>
        <v>-11.200899584839739</v>
      </c>
      <c r="CS64" s="18">
        <f t="shared" si="142"/>
        <v>-12.75488923773384</v>
      </c>
      <c r="CT64" s="18">
        <f t="shared" si="125"/>
        <v>-14.387488818356154</v>
      </c>
      <c r="CU64" s="18">
        <f t="shared" si="125"/>
        <v>-16.10487264445392</v>
      </c>
      <c r="CV64" s="18">
        <f t="shared" si="125"/>
        <v>-17.913468681399053</v>
      </c>
      <c r="CW64" s="18">
        <f t="shared" si="22"/>
        <v>-19.820345943660595</v>
      </c>
      <c r="CX64" s="17">
        <f t="shared" si="190"/>
        <v>907.55302244505697</v>
      </c>
      <c r="CY64" s="17">
        <f t="shared" si="126"/>
        <v>934.63996497175719</v>
      </c>
      <c r="CZ64" s="17">
        <f t="shared" si="126"/>
        <v>968.23268856226048</v>
      </c>
      <c r="DA64" s="17">
        <f t="shared" si="126"/>
        <v>1007.810475753591</v>
      </c>
      <c r="DB64" s="17">
        <f t="shared" si="126"/>
        <v>1057.8842267388445</v>
      </c>
      <c r="DC64" s="17">
        <f t="shared" si="126"/>
        <v>1104.6113627063899</v>
      </c>
      <c r="DD64" s="17">
        <f t="shared" si="126"/>
        <v>1153.3199078071334</v>
      </c>
      <c r="DE64" s="17">
        <f t="shared" si="126"/>
        <v>1200.3735508163636</v>
      </c>
      <c r="DF64" s="3" t="e">
        <f>#REF!+$AG$35*0.004*(1+$R$28)*#REF!-S64*#REF!</f>
        <v>#REF!</v>
      </c>
      <c r="DG64" s="19">
        <f t="shared" si="191"/>
        <v>1847.2962724905885</v>
      </c>
      <c r="DH64" s="19">
        <f t="shared" si="192"/>
        <v>1732.0681348121989</v>
      </c>
      <c r="DI64" s="19">
        <f t="shared" si="193"/>
        <v>1618.0052842709727</v>
      </c>
      <c r="DJ64" s="19">
        <f t="shared" si="194"/>
        <v>1504.3262373183827</v>
      </c>
      <c r="DK64" s="19">
        <f t="shared" si="195"/>
        <v>1395.2473663471546</v>
      </c>
      <c r="DL64" s="19">
        <f t="shared" si="196"/>
        <v>1276.5972041462539</v>
      </c>
      <c r="DM64" s="19">
        <f t="shared" si="197"/>
        <v>1153.3199078071334</v>
      </c>
      <c r="DN64" s="19">
        <f t="shared" si="198"/>
        <v>1021.3610238768024</v>
      </c>
      <c r="DO64" s="173">
        <f t="shared" si="127"/>
        <v>84417.209120336134</v>
      </c>
      <c r="DP64" s="25">
        <f t="shared" si="262"/>
        <v>83509.656097891071</v>
      </c>
      <c r="DQ64" s="26">
        <f t="shared" si="262"/>
        <v>82575.016132919322</v>
      </c>
      <c r="DR64" s="26">
        <f t="shared" si="262"/>
        <v>81606.783444357046</v>
      </c>
      <c r="DS64" s="26">
        <f t="shared" si="262"/>
        <v>80598.972968603455</v>
      </c>
      <c r="DT64" s="26">
        <f t="shared" si="262"/>
        <v>79541.088741864602</v>
      </c>
      <c r="DU64" s="26">
        <f t="shared" si="262"/>
        <v>78436.477379158212</v>
      </c>
      <c r="DV64" s="26">
        <f t="shared" si="262"/>
        <v>77283.157471351093</v>
      </c>
      <c r="DW64" s="26">
        <f t="shared" si="262"/>
        <v>76082.783920534741</v>
      </c>
      <c r="DX64" s="26">
        <f t="shared" si="262"/>
        <v>74836.579607665073</v>
      </c>
      <c r="DY64" s="26">
        <f t="shared" si="262"/>
        <v>73551.575928090766</v>
      </c>
      <c r="DZ64" s="26">
        <f t="shared" si="262"/>
        <v>72236.692138670856</v>
      </c>
      <c r="EA64" s="26">
        <f t="shared" si="262"/>
        <v>70899.201060349529</v>
      </c>
      <c r="EB64" s="26">
        <f t="shared" si="262"/>
        <v>69544.014517296338</v>
      </c>
      <c r="EC64" s="26">
        <f t="shared" si="262"/>
        <v>68175.46941806782</v>
      </c>
      <c r="ED64" s="26">
        <f t="shared" si="262"/>
        <v>66791.805416898773</v>
      </c>
      <c r="EE64" s="26">
        <f t="shared" si="145"/>
        <v>65393.182532433275</v>
      </c>
      <c r="EF64" s="26">
        <f t="shared" si="34"/>
        <v>63980.850699294751</v>
      </c>
      <c r="EG64" s="26">
        <f t="shared" si="34"/>
        <v>62554.038207059304</v>
      </c>
      <c r="EH64" s="26">
        <f t="shared" si="34"/>
        <v>61115.240000982594</v>
      </c>
      <c r="EI64" s="26">
        <f t="shared" si="34"/>
        <v>59666.659978071591</v>
      </c>
      <c r="EJ64" s="26">
        <f t="shared" si="128"/>
        <v>2.273853885652484E-2</v>
      </c>
      <c r="EK64" s="26">
        <f t="shared" si="128"/>
        <v>2.0033459415380248E-2</v>
      </c>
      <c r="EL64" s="26">
        <f t="shared" si="169"/>
        <v>1.6978406837764182E-2</v>
      </c>
      <c r="EM64" s="26">
        <f t="shared" si="169"/>
        <v>1.3516057635528515E-2</v>
      </c>
      <c r="EN64" s="26">
        <f t="shared" si="169"/>
        <v>9.5840034343215759E-3</v>
      </c>
      <c r="EO64" s="26">
        <f t="shared" si="169"/>
        <v>5.0911751682730525E-3</v>
      </c>
      <c r="EP64" s="26">
        <f t="shared" si="169"/>
        <v>0</v>
      </c>
      <c r="EQ64" s="26">
        <f t="shared" si="169"/>
        <v>-5.7563166389344479E-3</v>
      </c>
      <c r="ER64" s="26">
        <f t="shared" si="169"/>
        <v>-1.2233206563414653E-2</v>
      </c>
      <c r="ES64" s="26">
        <f t="shared" si="169"/>
        <v>-1.9493605061588811E-2</v>
      </c>
      <c r="ET64" s="26">
        <f t="shared" si="169"/>
        <v>-2.7572966199459484E-2</v>
      </c>
      <c r="EU64" s="26">
        <f t="shared" si="169"/>
        <v>-3.649524912825048E-2</v>
      </c>
      <c r="EV64" s="26">
        <f t="shared" si="169"/>
        <v>-4.6292121503966915E-2</v>
      </c>
      <c r="EW64" s="26">
        <f t="shared" si="169"/>
        <v>-5.7009621892665369E-2</v>
      </c>
      <c r="EX64" s="26">
        <f t="shared" si="169"/>
        <v>-6.8698994162889701E-2</v>
      </c>
      <c r="EY64" s="26">
        <f t="shared" si="169"/>
        <v>-8.1459250007564654E-2</v>
      </c>
      <c r="EZ64" s="26">
        <f t="shared" si="146"/>
        <v>-9.5386145382894846E-2</v>
      </c>
      <c r="FA64" s="26">
        <f t="shared" si="146"/>
        <v>-0.11057649322517969</v>
      </c>
      <c r="FB64" s="26">
        <f t="shared" si="146"/>
        <v>-0.12715476337882742</v>
      </c>
      <c r="FC64" s="26">
        <f t="shared" si="146"/>
        <v>-0.14522928212971431</v>
      </c>
      <c r="FD64" s="26">
        <f t="shared" si="146"/>
        <v>-0.16492077635741831</v>
      </c>
      <c r="FE64" s="26">
        <f t="shared" si="130"/>
        <v>5.2569471429662622</v>
      </c>
      <c r="FF64" s="26">
        <f t="shared" si="130"/>
        <v>4.4601071799186291</v>
      </c>
      <c r="FG64" s="26">
        <f t="shared" si="130"/>
        <v>3.6336093478768658</v>
      </c>
      <c r="FH64" s="26">
        <f t="shared" si="130"/>
        <v>2.776045058743609</v>
      </c>
      <c r="FI64" s="26">
        <f t="shared" si="130"/>
        <v>1.8858210557330453</v>
      </c>
      <c r="FJ64" s="26">
        <f t="shared" si="157"/>
        <v>0.96117922270630951</v>
      </c>
      <c r="FK64" s="26">
        <f t="shared" si="157"/>
        <v>0</v>
      </c>
      <c r="FL64" s="26">
        <f t="shared" si="157"/>
        <v>-1.0000000000000016</v>
      </c>
      <c r="FM64" s="26">
        <f t="shared" si="157"/>
        <v>-2.0413471242661849</v>
      </c>
      <c r="FN64" s="26">
        <f t="shared" si="157"/>
        <v>-3.1268087953422157</v>
      </c>
      <c r="FO64" s="26">
        <f t="shared" si="170"/>
        <v>-4.2593200759154426</v>
      </c>
      <c r="FP64" s="26">
        <f t="shared" si="158"/>
        <v>-5.4419358501017374</v>
      </c>
      <c r="FQ64" s="26">
        <f t="shared" si="158"/>
        <v>-6.677882209780944</v>
      </c>
      <c r="FR64" s="26">
        <f t="shared" si="158"/>
        <v>-7.97063283086365</v>
      </c>
      <c r="FS64" s="26">
        <f t="shared" si="158"/>
        <v>-9.323903890599297</v>
      </c>
      <c r="FT64" s="26">
        <f t="shared" si="159"/>
        <v>-10.742055128290206</v>
      </c>
      <c r="FU64" s="26">
        <f t="shared" si="143"/>
        <v>-12.229805015133399</v>
      </c>
      <c r="FV64" s="26">
        <f t="shared" si="131"/>
        <v>-13.792264616948463</v>
      </c>
      <c r="FW64" s="26">
        <f t="shared" si="131"/>
        <v>-15.435277110946577</v>
      </c>
      <c r="FX64" s="26">
        <f t="shared" si="39"/>
        <v>3478094.06288487</v>
      </c>
      <c r="FY64" s="26">
        <f t="shared" si="40"/>
        <v>192402.00403895453</v>
      </c>
      <c r="FZ64" s="26">
        <f t="shared" si="132"/>
        <v>0.7928738089173214</v>
      </c>
      <c r="GA64" s="26">
        <f t="shared" si="160"/>
        <v>0.8235152188340501</v>
      </c>
      <c r="GB64" s="26">
        <f t="shared" si="132"/>
        <v>0.85555069916008997</v>
      </c>
      <c r="GC64" s="26">
        <f t="shared" si="132"/>
        <v>0.88908786850070998</v>
      </c>
      <c r="GD64" s="26">
        <f t="shared" si="132"/>
        <v>0.92424598197169738</v>
      </c>
      <c r="GE64" s="26">
        <f t="shared" si="161"/>
        <v>0.96117922270631095</v>
      </c>
      <c r="GF64" s="26">
        <f t="shared" si="161"/>
        <v>1</v>
      </c>
      <c r="GG64" s="26">
        <f t="shared" si="161"/>
        <v>1.0408561858398913</v>
      </c>
      <c r="GH64" s="26">
        <f t="shared" si="161"/>
        <v>1.0838925958990382</v>
      </c>
      <c r="GI64" s="26">
        <f t="shared" si="161"/>
        <v>1.1292701171502399</v>
      </c>
      <c r="GJ64" s="26">
        <f t="shared" si="171"/>
        <v>1.1771275459637842</v>
      </c>
      <c r="GK64" s="26">
        <f t="shared" si="162"/>
        <v>1.2275961781141844</v>
      </c>
      <c r="GL64" s="26">
        <f t="shared" si="162"/>
        <v>1.2808211438911574</v>
      </c>
      <c r="GM64" s="26">
        <f t="shared" si="162"/>
        <v>1.3369708592636163</v>
      </c>
      <c r="GN64" s="26">
        <f t="shared" si="162"/>
        <v>1.3962275233592019</v>
      </c>
      <c r="GO64" s="26">
        <f t="shared" si="163"/>
        <v>1.4588444565495369</v>
      </c>
      <c r="GP64" s="26">
        <f t="shared" si="140"/>
        <v>1.5250842226004413</v>
      </c>
      <c r="GQ64" s="26">
        <f t="shared" si="134"/>
        <v>1.5952242014076932</v>
      </c>
      <c r="GR64" s="26">
        <f t="shared" si="134"/>
        <v>1.6695955335073422</v>
      </c>
      <c r="GS64" s="26">
        <f t="shared" si="134"/>
        <v>1.7485220686390184</v>
      </c>
      <c r="GT64" s="26">
        <f t="shared" si="134"/>
        <v>1.8323615236497603</v>
      </c>
      <c r="GU64" s="26">
        <f t="shared" si="135"/>
        <v>5.4640733340489405</v>
      </c>
      <c r="GV64" s="26">
        <f t="shared" si="164"/>
        <v>4.6365919610845783</v>
      </c>
      <c r="GW64" s="26">
        <f t="shared" si="135"/>
        <v>3.7780586487167809</v>
      </c>
      <c r="GX64" s="26">
        <f t="shared" si="135"/>
        <v>2.8869571902429003</v>
      </c>
      <c r="GY64" s="26">
        <f t="shared" si="135"/>
        <v>1.9615750737613533</v>
      </c>
      <c r="GZ64" s="26">
        <f t="shared" si="165"/>
        <v>0.99999999999999989</v>
      </c>
      <c r="HA64" s="26">
        <f t="shared" si="165"/>
        <v>0</v>
      </c>
      <c r="HB64" s="26">
        <f t="shared" si="165"/>
        <v>-1.0408561858398895</v>
      </c>
      <c r="HC64" s="26">
        <f t="shared" si="165"/>
        <v>-2.1252397201652209</v>
      </c>
      <c r="HD64" s="26">
        <f t="shared" si="165"/>
        <v>-3.2560789124924532</v>
      </c>
      <c r="HE64" s="26">
        <f t="shared" si="172"/>
        <v>-4.4364476218792239</v>
      </c>
      <c r="HF64" s="26">
        <f t="shared" si="166"/>
        <v>-5.6695320282159214</v>
      </c>
      <c r="HG64" s="26">
        <f t="shared" si="166"/>
        <v>-6.9587033536720986</v>
      </c>
      <c r="HH64" s="26">
        <f t="shared" si="166"/>
        <v>-8.3076036901272712</v>
      </c>
      <c r="HI64" s="26">
        <f t="shared" si="166"/>
        <v>-9.7201314139584962</v>
      </c>
      <c r="HJ64" s="26">
        <f t="shared" si="167"/>
        <v>-11.200899584839739</v>
      </c>
      <c r="HK64" s="26">
        <f t="shared" si="141"/>
        <v>-12.75488923773384</v>
      </c>
      <c r="HL64" s="26">
        <f t="shared" si="137"/>
        <v>-14.387488818356154</v>
      </c>
      <c r="HM64" s="26">
        <f t="shared" si="137"/>
        <v>-16.10487264445392</v>
      </c>
      <c r="HN64" s="26">
        <f t="shared" si="137"/>
        <v>-17.913468681399053</v>
      </c>
      <c r="HO64" s="26">
        <f t="shared" si="137"/>
        <v>-19.820345943660595</v>
      </c>
      <c r="HP64" s="26">
        <f t="shared" si="199"/>
        <v>521455.32304275746</v>
      </c>
      <c r="HQ64" s="26">
        <f t="shared" si="200"/>
        <v>537639.79564710683</v>
      </c>
      <c r="HR64" s="26">
        <f t="shared" si="201"/>
        <v>554615.68876812491</v>
      </c>
      <c r="HS64" s="26">
        <f t="shared" si="202"/>
        <v>572457.34140164859</v>
      </c>
      <c r="HT64" s="26">
        <f t="shared" si="203"/>
        <v>591257.93798231753</v>
      </c>
      <c r="HU64" s="26">
        <f t="shared" si="204"/>
        <v>611128.43843247497</v>
      </c>
      <c r="HV64" s="26">
        <f t="shared" si="205"/>
        <v>632215.9078880985</v>
      </c>
      <c r="HW64" s="26">
        <f t="shared" si="206"/>
        <v>654684.84970359097</v>
      </c>
      <c r="HX64" s="26">
        <f t="shared" si="207"/>
        <v>678724.05659555609</v>
      </c>
      <c r="HY64" s="26">
        <f t="shared" si="208"/>
        <v>704547.37081193598</v>
      </c>
      <c r="HZ64" s="26">
        <f t="shared" si="209"/>
        <v>732382.75650230097</v>
      </c>
      <c r="IA64" s="26">
        <f t="shared" si="210"/>
        <v>762467.42942631454</v>
      </c>
      <c r="IB64" s="26">
        <f t="shared" si="211"/>
        <v>795054.94275186188</v>
      </c>
      <c r="IC64" s="26">
        <f t="shared" si="212"/>
        <v>830424.48882302956</v>
      </c>
      <c r="ID64" s="26">
        <f t="shared" si="213"/>
        <v>868879.59195200226</v>
      </c>
      <c r="IE64" s="26">
        <f t="shared" si="214"/>
        <v>910798.05101359903</v>
      </c>
      <c r="IF64" s="26">
        <f t="shared" si="215"/>
        <v>956594.94721571321</v>
      </c>
      <c r="IG64" s="26">
        <f t="shared" si="216"/>
        <v>1006726.7395308026</v>
      </c>
      <c r="IH64" s="26">
        <f t="shared" si="217"/>
        <v>1061732.9405468826</v>
      </c>
      <c r="II64" s="26">
        <f t="shared" si="218"/>
        <v>-398710820689.94946</v>
      </c>
      <c r="IJ64" s="26">
        <f t="shared" si="219"/>
        <v>541404.63563395699</v>
      </c>
      <c r="IK64" s="26">
        <f t="shared" si="220"/>
        <v>557222.50943990762</v>
      </c>
      <c r="IL64" s="26">
        <f t="shared" si="221"/>
        <v>573902.34580588224</v>
      </c>
      <c r="IM64" s="26">
        <f t="shared" si="222"/>
        <v>591525.69934626331</v>
      </c>
      <c r="IN64" s="26">
        <f t="shared" si="223"/>
        <v>610193.87802144769</v>
      </c>
      <c r="IO64" s="26">
        <f t="shared" si="224"/>
        <v>630026.90154936863</v>
      </c>
      <c r="IP64" s="26">
        <f t="shared" si="225"/>
        <v>651182.38512474147</v>
      </c>
      <c r="IQ64" s="26">
        <f t="shared" si="226"/>
        <v>673836.46684762719</v>
      </c>
      <c r="IR64" s="26">
        <f t="shared" si="227"/>
        <v>698190.92055885762</v>
      </c>
      <c r="IS64" s="26">
        <f t="shared" si="228"/>
        <v>724474.01904427423</v>
      </c>
      <c r="IT64" s="26">
        <f t="shared" si="229"/>
        <v>752929.40937015985</v>
      </c>
      <c r="IU64" s="26">
        <f t="shared" si="230"/>
        <v>783811.17615596228</v>
      </c>
      <c r="IV64" s="26">
        <f t="shared" si="231"/>
        <v>817391.18917679123</v>
      </c>
      <c r="IW64" s="26">
        <f t="shared" si="232"/>
        <v>853968.75708669785</v>
      </c>
      <c r="IX64" s="26">
        <f t="shared" si="233"/>
        <v>893869.39659353148</v>
      </c>
      <c r="IY64" s="26">
        <f t="shared" si="234"/>
        <v>937496.36283646768</v>
      </c>
      <c r="IZ64" s="26">
        <f t="shared" si="235"/>
        <v>985292.7956321846</v>
      </c>
      <c r="JA64" s="26">
        <f t="shared" si="236"/>
        <v>1037746.1017127077</v>
      </c>
      <c r="JB64" s="26">
        <f t="shared" si="237"/>
        <v>1095431.1046447041</v>
      </c>
      <c r="JC64" s="26">
        <f t="shared" si="238"/>
        <v>-410672142203.59552</v>
      </c>
      <c r="JD64" s="26">
        <f t="shared" si="239"/>
        <v>153937.24842858512</v>
      </c>
      <c r="JE64" s="26">
        <f t="shared" si="240"/>
        <v>245291.29246069479</v>
      </c>
      <c r="JF64" s="26">
        <f t="shared" si="241"/>
        <v>340421.59232812491</v>
      </c>
      <c r="JG64" s="26">
        <f t="shared" si="242"/>
        <v>439578.40824219503</v>
      </c>
      <c r="JH64" s="26">
        <f t="shared" si="243"/>
        <v>543048.08943992713</v>
      </c>
      <c r="JI64" s="26">
        <f t="shared" si="244"/>
        <v>651182.38512474147</v>
      </c>
      <c r="JJ64" s="26">
        <f t="shared" si="245"/>
        <v>764368.90146874497</v>
      </c>
      <c r="JK64" s="26">
        <f t="shared" si="246"/>
        <v>883041.74686663039</v>
      </c>
      <c r="JL64" s="26">
        <f t="shared" si="247"/>
        <v>1007683.89498747</v>
      </c>
      <c r="JM64" s="26">
        <f t="shared" si="248"/>
        <v>1138806.3535069716</v>
      </c>
      <c r="JN64" s="26">
        <f t="shared" si="249"/>
        <v>1276940.3371866159</v>
      </c>
      <c r="JO64" s="26">
        <f t="shared" si="250"/>
        <v>1422650.9407011773</v>
      </c>
      <c r="JP64" s="26">
        <f t="shared" si="251"/>
        <v>1576554.257529981</v>
      </c>
      <c r="JQ64" s="26">
        <f t="shared" si="252"/>
        <v>1739314.8805273077</v>
      </c>
      <c r="JR64" s="26">
        <f t="shared" si="253"/>
        <v>1911737.303282965</v>
      </c>
      <c r="JS64" s="26">
        <f t="shared" si="254"/>
        <v>2094697.9101177743</v>
      </c>
      <c r="JT64" s="26">
        <f t="shared" si="255"/>
        <v>2289152.7883711983</v>
      </c>
      <c r="JU64" s="26">
        <f t="shared" si="256"/>
        <v>2496213.7964331461</v>
      </c>
      <c r="JV64" s="26">
        <f t="shared" si="257"/>
        <v>-410670584111.36884</v>
      </c>
      <c r="JW64" s="26">
        <f t="shared" si="258"/>
        <v>1877887.3942063712</v>
      </c>
      <c r="JX64" s="26" t="e">
        <f>AH64+$AG$38*0.004*(1+$R$28)*#REF!-S64*#REF!</f>
        <v>#REF!</v>
      </c>
      <c r="JY64" s="34">
        <f t="shared" si="259"/>
        <v>5.2638334284084445E-2</v>
      </c>
      <c r="JZ64" s="4">
        <f t="shared" si="260"/>
        <v>46968.440236559371</v>
      </c>
      <c r="KA64" s="165"/>
    </row>
    <row r="65" spans="1:287" ht="15.75" x14ac:dyDescent="0.3">
      <c r="A65" s="34">
        <v>64</v>
      </c>
      <c r="B65" s="34">
        <v>37</v>
      </c>
      <c r="C65" s="2">
        <v>951116</v>
      </c>
      <c r="D65" s="1">
        <f t="shared" si="106"/>
        <v>2671</v>
      </c>
      <c r="E65" s="145">
        <f t="shared" si="107"/>
        <v>0.99719172004256051</v>
      </c>
      <c r="F65" s="146">
        <f t="shared" si="108"/>
        <v>2.8082799574394857E-3</v>
      </c>
      <c r="G65" s="158">
        <f t="shared" si="173"/>
        <v>3.5103499467993571E-3</v>
      </c>
      <c r="H65" s="43">
        <f t="shared" si="109"/>
        <v>3297.1228161874596</v>
      </c>
      <c r="I65" s="43">
        <f t="shared" si="139"/>
        <v>939257.58575542807</v>
      </c>
      <c r="J65" s="43">
        <f t="shared" si="110"/>
        <v>949780.5</v>
      </c>
      <c r="K65" s="147">
        <f>SUM(J65:$J$138)</f>
        <v>37225550</v>
      </c>
      <c r="L65" s="147">
        <f t="shared" si="111"/>
        <v>39.138811669659638</v>
      </c>
      <c r="M65" s="43">
        <f t="shared" si="174"/>
        <v>1187225.625</v>
      </c>
      <c r="N65" s="148">
        <f t="shared" si="175"/>
        <v>46531937.5</v>
      </c>
      <c r="O65" s="147">
        <f t="shared" si="6"/>
        <v>48.92351458707455</v>
      </c>
      <c r="P65" s="157">
        <f t="shared" si="176"/>
        <v>263021.81415063736</v>
      </c>
      <c r="Q65" s="43">
        <f t="shared" si="177"/>
        <v>1188895</v>
      </c>
      <c r="R65" s="43">
        <f t="shared" si="178"/>
        <v>907.55302244505697</v>
      </c>
      <c r="S65" s="43">
        <f>SUM(R65:$R$138)</f>
        <v>84417.209120336134</v>
      </c>
      <c r="T65" s="43">
        <f t="shared" si="112"/>
        <v>2518823.2756231092</v>
      </c>
      <c r="U65" s="153">
        <f>SUM(P65:$P$138)</f>
        <v>5324164.9250815194</v>
      </c>
      <c r="V65" s="129">
        <f t="shared" si="179"/>
        <v>3678451.3364938861</v>
      </c>
      <c r="W65" s="43">
        <f t="shared" si="180"/>
        <v>200357.2736090158</v>
      </c>
      <c r="X65" s="26">
        <f t="shared" si="114"/>
        <v>6.2569471429662613</v>
      </c>
      <c r="Y65" s="26">
        <f t="shared" si="115"/>
        <v>0.76175154618265828</v>
      </c>
      <c r="Z65" s="43">
        <f t="shared" si="181"/>
        <v>77283.157471351093</v>
      </c>
      <c r="AA65" s="149">
        <f t="shared" si="116"/>
        <v>2.7123421956550115E-2</v>
      </c>
      <c r="AB65" s="150">
        <f t="shared" si="138"/>
        <v>5061143.1109308824</v>
      </c>
      <c r="AC65" s="150">
        <f t="shared" si="117"/>
        <v>3478094.06288487</v>
      </c>
      <c r="AD65" s="26">
        <f t="shared" si="118"/>
        <v>6.0186986891489216</v>
      </c>
      <c r="AE65" s="26">
        <f t="shared" si="182"/>
        <v>524338.96560465114</v>
      </c>
      <c r="AF65" s="43">
        <f t="shared" si="183"/>
        <v>83801.085996720634</v>
      </c>
      <c r="AG65" s="43">
        <f t="shared" si="184"/>
        <v>545347.80078638578</v>
      </c>
      <c r="AH65" s="27">
        <f t="shared" si="185"/>
        <v>91001.570638821984</v>
      </c>
      <c r="AI65" s="28">
        <f t="shared" si="186"/>
        <v>586395.48471654393</v>
      </c>
      <c r="AJ65" s="20">
        <f t="shared" si="187"/>
        <v>97851.151224539775</v>
      </c>
      <c r="AK65" s="3">
        <f t="shared" si="188"/>
        <v>8480.4331061267803</v>
      </c>
      <c r="AL65" s="3"/>
      <c r="AM65" s="46">
        <f t="shared" si="121"/>
        <v>5061143.1109308824</v>
      </c>
      <c r="AN65" s="46">
        <f t="shared" si="122"/>
        <v>4807907.8302165577</v>
      </c>
      <c r="AO65" s="46">
        <f t="shared" si="122"/>
        <v>4564154.762375352</v>
      </c>
      <c r="AP65" s="3">
        <f t="shared" si="261"/>
        <v>4329596.2727115229</v>
      </c>
      <c r="AQ65" s="3">
        <f t="shared" si="261"/>
        <v>4103960.3363030413</v>
      </c>
      <c r="AR65" s="16">
        <f t="shared" si="261"/>
        <v>3886994.4441078454</v>
      </c>
      <c r="AS65" s="16">
        <f t="shared" si="261"/>
        <v>3678451.3364938861</v>
      </c>
      <c r="AT65" s="16">
        <f t="shared" si="261"/>
        <v>3478094.06288487</v>
      </c>
      <c r="AU65" s="16">
        <f t="shared" si="261"/>
        <v>3285692.0588459154</v>
      </c>
      <c r="AV65" s="16">
        <f t="shared" si="261"/>
        <v>3101021.3547806852</v>
      </c>
      <c r="AW65" s="16">
        <f t="shared" si="261"/>
        <v>2923858.6434593615</v>
      </c>
      <c r="AX65" s="16">
        <f t="shared" si="261"/>
        <v>2753979.4019531519</v>
      </c>
      <c r="AY65" s="16">
        <f t="shared" si="261"/>
        <v>2591159.5511030932</v>
      </c>
      <c r="AZ65" s="16">
        <f t="shared" si="261"/>
        <v>2435177.7612465657</v>
      </c>
      <c r="BA65" s="16">
        <f t="shared" si="261"/>
        <v>2285815.9243503674</v>
      </c>
      <c r="BB65" s="16">
        <f t="shared" si="261"/>
        <v>2142865.0383407604</v>
      </c>
      <c r="BC65" s="16">
        <f t="shared" si="144"/>
        <v>2006123.0115572365</v>
      </c>
      <c r="BD65" s="16">
        <f t="shared" si="18"/>
        <v>1875393.3577380853</v>
      </c>
      <c r="BE65" s="16">
        <f t="shared" si="18"/>
        <v>1750486.9936345171</v>
      </c>
      <c r="BF65" s="16">
        <f t="shared" si="18"/>
        <v>1631218.7777198723</v>
      </c>
      <c r="BG65" s="16">
        <f t="shared" si="18"/>
        <v>1517407.6629794927</v>
      </c>
      <c r="BH65" s="172">
        <f t="shared" si="123"/>
        <v>253235.28071432526</v>
      </c>
      <c r="BI65" s="16">
        <f t="shared" si="189"/>
        <v>243753.06784120487</v>
      </c>
      <c r="BJ65" s="16">
        <f t="shared" si="189"/>
        <v>234558.48966382915</v>
      </c>
      <c r="BK65" s="16">
        <f t="shared" si="189"/>
        <v>225635.93640848066</v>
      </c>
      <c r="BL65" s="16">
        <f t="shared" si="189"/>
        <v>216965.89219519592</v>
      </c>
      <c r="BM65" s="16">
        <f t="shared" si="189"/>
        <v>208543.10761395967</v>
      </c>
      <c r="BN65" s="16">
        <f t="shared" si="189"/>
        <v>200357.2736090158</v>
      </c>
      <c r="BO65" s="16">
        <f t="shared" si="189"/>
        <v>192402.00403895453</v>
      </c>
      <c r="BP65" s="16">
        <f t="shared" si="189"/>
        <v>184670.70406523009</v>
      </c>
      <c r="BQ65" s="16">
        <f t="shared" si="189"/>
        <v>177162.71132132332</v>
      </c>
      <c r="BR65" s="16">
        <f t="shared" si="189"/>
        <v>169879.2415062098</v>
      </c>
      <c r="BS65" s="16">
        <f t="shared" si="189"/>
        <v>162819.85085005857</v>
      </c>
      <c r="BT65" s="16">
        <f t="shared" si="189"/>
        <v>155981.78985652846</v>
      </c>
      <c r="BU65" s="16">
        <f t="shared" si="189"/>
        <v>149361.83689619804</v>
      </c>
      <c r="BV65" s="16">
        <f t="shared" si="189"/>
        <v>142950.88600960682</v>
      </c>
      <c r="BW65" s="16">
        <f t="shared" si="189"/>
        <v>136742.02678352417</v>
      </c>
      <c r="BX65" s="16">
        <f t="shared" si="168"/>
        <v>130729.65381915121</v>
      </c>
      <c r="BY65" s="16">
        <f t="shared" si="149"/>
        <v>124906.36410356843</v>
      </c>
      <c r="BZ65" s="16">
        <f t="shared" si="149"/>
        <v>119268.21591464471</v>
      </c>
      <c r="CA65" s="16">
        <f t="shared" si="149"/>
        <v>113811.11474037961</v>
      </c>
      <c r="CB65" s="16">
        <f t="shared" si="149"/>
        <v>108506.0895304641</v>
      </c>
      <c r="CC65" s="18">
        <f t="shared" si="124"/>
        <v>5.4601071799186265</v>
      </c>
      <c r="CD65" s="18">
        <f t="shared" si="124"/>
        <v>4.6336093478768694</v>
      </c>
      <c r="CE65" s="18">
        <f t="shared" si="124"/>
        <v>3.7760450587436085</v>
      </c>
      <c r="CF65" s="18">
        <f t="shared" si="124"/>
        <v>2.8858210557330493</v>
      </c>
      <c r="CG65" s="18">
        <f t="shared" si="124"/>
        <v>1.9611792227063094</v>
      </c>
      <c r="CH65" s="18">
        <f t="shared" si="150"/>
        <v>0.99999999999999845</v>
      </c>
      <c r="CI65" s="18">
        <f t="shared" si="150"/>
        <v>0</v>
      </c>
      <c r="CJ65" s="18">
        <f t="shared" si="150"/>
        <v>-1.0413471242661843</v>
      </c>
      <c r="CK65" s="18">
        <f t="shared" si="150"/>
        <v>-2.1268087953422152</v>
      </c>
      <c r="CL65" s="18">
        <f t="shared" si="151"/>
        <v>-3.2593200759154413</v>
      </c>
      <c r="CM65" s="18">
        <f t="shared" si="151"/>
        <v>-4.4419358501017383</v>
      </c>
      <c r="CN65" s="18">
        <f t="shared" si="151"/>
        <v>-5.6778822097809432</v>
      </c>
      <c r="CO65" s="18">
        <f t="shared" si="151"/>
        <v>-6.9706328308636563</v>
      </c>
      <c r="CP65" s="18">
        <f t="shared" si="152"/>
        <v>-8.3239038905992953</v>
      </c>
      <c r="CQ65" s="18">
        <f t="shared" si="153"/>
        <v>-9.7420551282902057</v>
      </c>
      <c r="CR65" s="18">
        <f t="shared" si="154"/>
        <v>-11.229805015133403</v>
      </c>
      <c r="CS65" s="18">
        <f t="shared" si="142"/>
        <v>-12.792264616948463</v>
      </c>
      <c r="CT65" s="18">
        <f t="shared" si="125"/>
        <v>-14.435277110946579</v>
      </c>
      <c r="CU65" s="18">
        <f t="shared" si="125"/>
        <v>-16.164946612760041</v>
      </c>
      <c r="CV65" s="18">
        <f t="shared" si="125"/>
        <v>-17.987984420010836</v>
      </c>
      <c r="CW65" s="18">
        <f t="shared" si="22"/>
        <v>-19.916335413669664</v>
      </c>
      <c r="CX65" s="17">
        <f t="shared" si="190"/>
        <v>934.63996497175719</v>
      </c>
      <c r="CY65" s="17">
        <f t="shared" si="126"/>
        <v>968.23268856226048</v>
      </c>
      <c r="CZ65" s="17">
        <f t="shared" si="126"/>
        <v>1007.810475753591</v>
      </c>
      <c r="DA65" s="17">
        <f t="shared" si="126"/>
        <v>1057.8842267388445</v>
      </c>
      <c r="DB65" s="17">
        <f t="shared" si="126"/>
        <v>1104.6113627063899</v>
      </c>
      <c r="DC65" s="17">
        <f t="shared" si="126"/>
        <v>1153.3199078071334</v>
      </c>
      <c r="DD65" s="17">
        <f t="shared" si="126"/>
        <v>1200.3735508163636</v>
      </c>
      <c r="DE65" s="17">
        <f t="shared" si="126"/>
        <v>1246.2043128696612</v>
      </c>
      <c r="DF65" s="3" t="e">
        <f>#REF!+$AG$35*0.004*(1+$R$28)*#REF!-S65*#REF!</f>
        <v>#REF!</v>
      </c>
      <c r="DG65" s="19">
        <f t="shared" si="191"/>
        <v>1879.8124511512592</v>
      </c>
      <c r="DH65" s="19">
        <f t="shared" si="192"/>
        <v>1770.334171739122</v>
      </c>
      <c r="DI65" s="19">
        <f t="shared" si="193"/>
        <v>1661.4631932725374</v>
      </c>
      <c r="DJ65" s="19">
        <f t="shared" si="194"/>
        <v>1557.4346150440449</v>
      </c>
      <c r="DK65" s="19">
        <f t="shared" si="195"/>
        <v>1444.1015193440351</v>
      </c>
      <c r="DL65" s="19">
        <f t="shared" si="196"/>
        <v>1326.4250237022368</v>
      </c>
      <c r="DM65" s="19">
        <f t="shared" si="197"/>
        <v>1200.3735508163636</v>
      </c>
      <c r="DN65" s="19">
        <f t="shared" si="198"/>
        <v>1065.9417982365303</v>
      </c>
      <c r="DO65" s="173">
        <f t="shared" si="127"/>
        <v>83509.656097891071</v>
      </c>
      <c r="DP65" s="25">
        <f t="shared" si="262"/>
        <v>82575.016132919322</v>
      </c>
      <c r="DQ65" s="26">
        <f t="shared" si="262"/>
        <v>81606.783444357046</v>
      </c>
      <c r="DR65" s="26">
        <f t="shared" si="262"/>
        <v>80598.972968603455</v>
      </c>
      <c r="DS65" s="26">
        <f t="shared" si="262"/>
        <v>79541.088741864602</v>
      </c>
      <c r="DT65" s="26">
        <f t="shared" si="262"/>
        <v>78436.477379158212</v>
      </c>
      <c r="DU65" s="26">
        <f t="shared" si="262"/>
        <v>77283.157471351093</v>
      </c>
      <c r="DV65" s="26">
        <f t="shared" si="262"/>
        <v>76082.783920534741</v>
      </c>
      <c r="DW65" s="26">
        <f t="shared" si="262"/>
        <v>74836.579607665073</v>
      </c>
      <c r="DX65" s="26">
        <f t="shared" si="262"/>
        <v>73551.575928090766</v>
      </c>
      <c r="DY65" s="26">
        <f t="shared" si="262"/>
        <v>72236.692138670856</v>
      </c>
      <c r="DZ65" s="26">
        <f t="shared" si="262"/>
        <v>70899.201060349529</v>
      </c>
      <c r="EA65" s="26">
        <f t="shared" si="262"/>
        <v>69544.014517296338</v>
      </c>
      <c r="EB65" s="26">
        <f t="shared" si="262"/>
        <v>68175.46941806782</v>
      </c>
      <c r="EC65" s="26">
        <f t="shared" si="262"/>
        <v>66791.805416898773</v>
      </c>
      <c r="ED65" s="26">
        <f t="shared" si="262"/>
        <v>65393.182532433275</v>
      </c>
      <c r="EE65" s="26">
        <f t="shared" si="145"/>
        <v>63980.850699294751</v>
      </c>
      <c r="EF65" s="26">
        <f t="shared" si="34"/>
        <v>62554.038207059304</v>
      </c>
      <c r="EG65" s="26">
        <f t="shared" si="34"/>
        <v>61115.240000982594</v>
      </c>
      <c r="EH65" s="26">
        <f t="shared" si="34"/>
        <v>59666.659978071591</v>
      </c>
      <c r="EI65" s="26">
        <f t="shared" si="34"/>
        <v>58185.053037586011</v>
      </c>
      <c r="EJ65" s="26">
        <f t="shared" si="128"/>
        <v>2.4587800755788418E-2</v>
      </c>
      <c r="EK65" s="26">
        <f t="shared" si="128"/>
        <v>2.1709916139458222E-2</v>
      </c>
      <c r="EL65" s="26">
        <f t="shared" si="169"/>
        <v>1.843303978978806E-2</v>
      </c>
      <c r="EM65" s="26">
        <f t="shared" si="169"/>
        <v>1.4695422856975967E-2</v>
      </c>
      <c r="EN65" s="26">
        <f t="shared" si="169"/>
        <v>1.0406848964454443E-2</v>
      </c>
      <c r="EO65" s="26">
        <f t="shared" si="169"/>
        <v>5.5303669394917813E-3</v>
      </c>
      <c r="EP65" s="26">
        <f t="shared" si="169"/>
        <v>0</v>
      </c>
      <c r="EQ65" s="26">
        <f t="shared" si="169"/>
        <v>-6.2388827850946866E-3</v>
      </c>
      <c r="ER65" s="26">
        <f t="shared" si="169"/>
        <v>-1.3248326939945114E-2</v>
      </c>
      <c r="ES65" s="26">
        <f t="shared" si="169"/>
        <v>-2.106301893569628E-2</v>
      </c>
      <c r="ET65" s="26">
        <f t="shared" si="169"/>
        <v>-2.9706191809761327E-2</v>
      </c>
      <c r="EU65" s="26">
        <f t="shared" si="169"/>
        <v>-3.9208710594389212E-2</v>
      </c>
      <c r="EV65" s="26">
        <f t="shared" si="169"/>
        <v>-4.9615682453529944E-2</v>
      </c>
      <c r="EW65" s="26">
        <f t="shared" si="169"/>
        <v>-6.0977343627695475E-2</v>
      </c>
      <c r="EX65" s="26">
        <f t="shared" si="169"/>
        <v>-7.3391304855202247E-2</v>
      </c>
      <c r="EY65" s="26">
        <f t="shared" si="169"/>
        <v>-8.6951870018284846E-2</v>
      </c>
      <c r="EZ65" s="26">
        <f t="shared" si="146"/>
        <v>-0.10175431804063741</v>
      </c>
      <c r="FA65" s="26">
        <f t="shared" si="146"/>
        <v>-0.11792128743799528</v>
      </c>
      <c r="FB65" s="26">
        <f t="shared" si="146"/>
        <v>-0.1355593134883413</v>
      </c>
      <c r="FC65" s="26">
        <f t="shared" si="146"/>
        <v>-0.15478714476582889</v>
      </c>
      <c r="FD65" s="26">
        <f t="shared" si="146"/>
        <v>-0.17600951722071884</v>
      </c>
      <c r="FE65" s="26">
        <f t="shared" si="130"/>
        <v>5.2512973847109823</v>
      </c>
      <c r="FF65" s="26">
        <f t="shared" si="130"/>
        <v>4.4555775609684058</v>
      </c>
      <c r="FG65" s="26">
        <f t="shared" si="130"/>
        <v>3.6302340241320268</v>
      </c>
      <c r="FH65" s="26">
        <f t="shared" si="130"/>
        <v>2.7737880914728605</v>
      </c>
      <c r="FI65" s="26">
        <f t="shared" si="130"/>
        <v>1.8846297779150623</v>
      </c>
      <c r="FJ65" s="26">
        <f t="shared" si="157"/>
        <v>0.96074752074714154</v>
      </c>
      <c r="FK65" s="26">
        <f t="shared" si="157"/>
        <v>0</v>
      </c>
      <c r="FL65" s="26">
        <f t="shared" si="157"/>
        <v>-1.0000000000000004</v>
      </c>
      <c r="FM65" s="26">
        <f t="shared" si="157"/>
        <v>-2.0418653300362886</v>
      </c>
      <c r="FN65" s="26">
        <f t="shared" si="157"/>
        <v>-3.1283977045275702</v>
      </c>
      <c r="FO65" s="26">
        <f t="shared" si="170"/>
        <v>-4.2625258654998683</v>
      </c>
      <c r="FP65" s="26">
        <f t="shared" si="158"/>
        <v>-5.4473364712669969</v>
      </c>
      <c r="FQ65" s="26">
        <f t="shared" si="158"/>
        <v>-6.6861413925149549</v>
      </c>
      <c r="FR65" s="26">
        <f t="shared" si="158"/>
        <v>-7.982481759133023</v>
      </c>
      <c r="FS65" s="26">
        <f t="shared" si="158"/>
        <v>-9.3404739335045281</v>
      </c>
      <c r="FT65" s="26">
        <f t="shared" si="159"/>
        <v>-10.764584129339443</v>
      </c>
      <c r="FU65" s="26">
        <f t="shared" si="143"/>
        <v>-12.259656920410183</v>
      </c>
      <c r="FV65" s="26">
        <f t="shared" si="131"/>
        <v>-13.831217341478897</v>
      </c>
      <c r="FW65" s="26">
        <f t="shared" si="131"/>
        <v>-15.48505837034344</v>
      </c>
      <c r="FX65" s="26">
        <f t="shared" si="39"/>
        <v>3285692.0588459154</v>
      </c>
      <c r="FY65" s="26">
        <f t="shared" si="40"/>
        <v>184670.70406523009</v>
      </c>
      <c r="FZ65" s="26">
        <f t="shared" si="132"/>
        <v>0.79119020479235225</v>
      </c>
      <c r="GA65" s="26">
        <f t="shared" si="160"/>
        <v>0.82196821309153878</v>
      </c>
      <c r="GB65" s="26">
        <f t="shared" si="132"/>
        <v>0.85418896538841649</v>
      </c>
      <c r="GC65" s="26">
        <f t="shared" si="132"/>
        <v>0.88796703573981428</v>
      </c>
      <c r="GD65" s="26">
        <f t="shared" si="132"/>
        <v>0.92345055520875152</v>
      </c>
      <c r="GE65" s="26">
        <f t="shared" si="161"/>
        <v>0.9607475207471402</v>
      </c>
      <c r="GF65" s="26">
        <f t="shared" si="161"/>
        <v>1</v>
      </c>
      <c r="GG65" s="26">
        <f t="shared" si="161"/>
        <v>1.0413471242661829</v>
      </c>
      <c r="GH65" s="26">
        <f t="shared" si="161"/>
        <v>1.0849434653059256</v>
      </c>
      <c r="GI65" s="26">
        <f t="shared" si="161"/>
        <v>1.1309223713878711</v>
      </c>
      <c r="GJ65" s="26">
        <f t="shared" si="171"/>
        <v>1.1794099846018673</v>
      </c>
      <c r="GK65" s="26">
        <f t="shared" si="162"/>
        <v>1.2305457385139456</v>
      </c>
      <c r="GL65" s="26">
        <f t="shared" si="162"/>
        <v>1.2844914383486929</v>
      </c>
      <c r="GM65" s="26">
        <f t="shared" si="162"/>
        <v>1.3414221314662731</v>
      </c>
      <c r="GN65" s="26">
        <f t="shared" si="162"/>
        <v>1.4015811947856767</v>
      </c>
      <c r="GO65" s="26">
        <f t="shared" si="163"/>
        <v>1.4652208857939535</v>
      </c>
      <c r="GP65" s="26">
        <f t="shared" si="140"/>
        <v>1.5326076965382778</v>
      </c>
      <c r="GQ65" s="26">
        <f t="shared" si="134"/>
        <v>1.6040597694676779</v>
      </c>
      <c r="GR65" s="26">
        <f t="shared" si="134"/>
        <v>1.6798882424165977</v>
      </c>
      <c r="GS65" s="26">
        <f t="shared" si="134"/>
        <v>1.7604367909589596</v>
      </c>
      <c r="GT65" s="26">
        <f t="shared" si="134"/>
        <v>1.8465071820025698</v>
      </c>
      <c r="GU65" s="26">
        <f t="shared" si="135"/>
        <v>5.4601071799186265</v>
      </c>
      <c r="GV65" s="26">
        <f t="shared" si="164"/>
        <v>4.6336093478768694</v>
      </c>
      <c r="GW65" s="26">
        <f t="shared" si="135"/>
        <v>3.7760450587436085</v>
      </c>
      <c r="GX65" s="26">
        <f t="shared" si="135"/>
        <v>2.8858210557330493</v>
      </c>
      <c r="GY65" s="26">
        <f t="shared" si="135"/>
        <v>1.9611792227063094</v>
      </c>
      <c r="GZ65" s="26">
        <f t="shared" si="165"/>
        <v>0.99999999999999845</v>
      </c>
      <c r="HA65" s="26">
        <f t="shared" si="165"/>
        <v>0</v>
      </c>
      <c r="HB65" s="26">
        <f t="shared" si="165"/>
        <v>-1.0413471242661843</v>
      </c>
      <c r="HC65" s="26">
        <f t="shared" si="165"/>
        <v>-2.1268087953422152</v>
      </c>
      <c r="HD65" s="26">
        <f t="shared" si="165"/>
        <v>-3.2593200759154413</v>
      </c>
      <c r="HE65" s="26">
        <f t="shared" si="172"/>
        <v>-4.4419358501017383</v>
      </c>
      <c r="HF65" s="26">
        <f t="shared" si="166"/>
        <v>-5.6778822097809432</v>
      </c>
      <c r="HG65" s="26">
        <f t="shared" si="166"/>
        <v>-6.9706328308636563</v>
      </c>
      <c r="HH65" s="26">
        <f t="shared" si="166"/>
        <v>-8.3239038905992953</v>
      </c>
      <c r="HI65" s="26">
        <f t="shared" si="166"/>
        <v>-9.7420551282902057</v>
      </c>
      <c r="HJ65" s="26">
        <f t="shared" si="167"/>
        <v>-11.229805015133403</v>
      </c>
      <c r="HK65" s="26">
        <f t="shared" si="141"/>
        <v>-12.792264616948463</v>
      </c>
      <c r="HL65" s="26">
        <f t="shared" si="137"/>
        <v>-14.435277110946579</v>
      </c>
      <c r="HM65" s="26">
        <f t="shared" si="137"/>
        <v>-16.164946612760041</v>
      </c>
      <c r="HN65" s="26">
        <f t="shared" si="137"/>
        <v>-17.987984420010836</v>
      </c>
      <c r="HO65" s="26">
        <f t="shared" si="137"/>
        <v>-19.916335413669664</v>
      </c>
      <c r="HP65" s="26">
        <f t="shared" si="199"/>
        <v>522015.97630932543</v>
      </c>
      <c r="HQ65" s="26">
        <f t="shared" si="200"/>
        <v>538077.79635090078</v>
      </c>
      <c r="HR65" s="26">
        <f t="shared" si="201"/>
        <v>554929.89152473165</v>
      </c>
      <c r="HS65" s="26">
        <f t="shared" si="202"/>
        <v>572655.17978349014</v>
      </c>
      <c r="HT65" s="26">
        <f t="shared" si="203"/>
        <v>591350.47950619517</v>
      </c>
      <c r="HU65" s="26">
        <f t="shared" si="204"/>
        <v>611153.61172236153</v>
      </c>
      <c r="HV65" s="26">
        <f t="shared" si="205"/>
        <v>632215.9078880985</v>
      </c>
      <c r="HW65" s="26">
        <f t="shared" si="206"/>
        <v>654713.46884898504</v>
      </c>
      <c r="HX65" s="26">
        <f t="shared" si="207"/>
        <v>678845.74295801367</v>
      </c>
      <c r="HY65" s="26">
        <f t="shared" si="208"/>
        <v>704828.96575640969</v>
      </c>
      <c r="HZ65" s="26">
        <f t="shared" si="209"/>
        <v>732889.62668504845</v>
      </c>
      <c r="IA65" s="26">
        <f t="shared" si="210"/>
        <v>763269.12097264652</v>
      </c>
      <c r="IB65" s="26">
        <f t="shared" si="211"/>
        <v>796231.97621587419</v>
      </c>
      <c r="IC65" s="26">
        <f t="shared" si="212"/>
        <v>832065.6369073086</v>
      </c>
      <c r="ID65" s="26">
        <f t="shared" si="213"/>
        <v>871123.85789648036</v>
      </c>
      <c r="IE65" s="26">
        <f t="shared" si="214"/>
        <v>913796.79170664761</v>
      </c>
      <c r="IF65" s="26">
        <f t="shared" si="215"/>
        <v>960514.45292517391</v>
      </c>
      <c r="IG65" s="26">
        <f t="shared" si="216"/>
        <v>1011783.94824196</v>
      </c>
      <c r="IH65" s="26">
        <f t="shared" si="217"/>
        <v>1068137.7706136398</v>
      </c>
      <c r="II65" s="26">
        <f t="shared" si="218"/>
        <v>-376654890139.70599</v>
      </c>
      <c r="IJ65" s="26">
        <f t="shared" si="219"/>
        <v>541978.98319584236</v>
      </c>
      <c r="IK65" s="26">
        <f t="shared" si="220"/>
        <v>557671.42859470029</v>
      </c>
      <c r="IL65" s="26">
        <f t="shared" si="221"/>
        <v>574224.56324265816</v>
      </c>
      <c r="IM65" s="26">
        <f t="shared" si="222"/>
        <v>591728.7272629349</v>
      </c>
      <c r="IN65" s="26">
        <f t="shared" si="223"/>
        <v>610288.95399071882</v>
      </c>
      <c r="IO65" s="26">
        <f t="shared" si="224"/>
        <v>630052.83003795182</v>
      </c>
      <c r="IP65" s="26">
        <f t="shared" si="225"/>
        <v>651182.38512474147</v>
      </c>
      <c r="IQ65" s="26">
        <f t="shared" si="226"/>
        <v>673865.71395558817</v>
      </c>
      <c r="IR65" s="26">
        <f t="shared" si="227"/>
        <v>698315.59683422174</v>
      </c>
      <c r="IS65" s="26">
        <f t="shared" si="228"/>
        <v>724762.85760593391</v>
      </c>
      <c r="IT65" s="26">
        <f t="shared" si="229"/>
        <v>753449.72303389013</v>
      </c>
      <c r="IU65" s="26">
        <f t="shared" si="230"/>
        <v>784634.66463237978</v>
      </c>
      <c r="IV65" s="26">
        <f t="shared" si="231"/>
        <v>818600.93575385574</v>
      </c>
      <c r="IW65" s="26">
        <f t="shared" si="232"/>
        <v>855656.45457007899</v>
      </c>
      <c r="IX65" s="26">
        <f t="shared" si="233"/>
        <v>896178.56228778325</v>
      </c>
      <c r="IY65" s="26">
        <f t="shared" si="234"/>
        <v>940583.45122856658</v>
      </c>
      <c r="IZ65" s="26">
        <f t="shared" si="235"/>
        <v>989329.88651292911</v>
      </c>
      <c r="JA65" s="26">
        <f t="shared" si="236"/>
        <v>1042957.7422248462</v>
      </c>
      <c r="JB65" s="26">
        <f t="shared" si="237"/>
        <v>1102034.9661697156</v>
      </c>
      <c r="JC65" s="26">
        <f t="shared" si="238"/>
        <v>-387954533723.9201</v>
      </c>
      <c r="JD65" s="26">
        <f t="shared" si="239"/>
        <v>153811.74913288263</v>
      </c>
      <c r="JE65" s="26">
        <f t="shared" si="240"/>
        <v>245109.13020419347</v>
      </c>
      <c r="JF65" s="26">
        <f t="shared" si="241"/>
        <v>340204.12105362362</v>
      </c>
      <c r="JG65" s="26">
        <f t="shared" si="242"/>
        <v>439354.99025200569</v>
      </c>
      <c r="JH65" s="26">
        <f t="shared" si="243"/>
        <v>542894.06261901383</v>
      </c>
      <c r="JI65" s="26">
        <f t="shared" si="244"/>
        <v>651182.38512474147</v>
      </c>
      <c r="JJ65" s="26">
        <f t="shared" si="245"/>
        <v>764628.24576188461</v>
      </c>
      <c r="JK65" s="26">
        <f t="shared" si="246"/>
        <v>883685.62997200585</v>
      </c>
      <c r="JL65" s="26">
        <f t="shared" si="247"/>
        <v>1008841.1780465236</v>
      </c>
      <c r="JM65" s="26">
        <f t="shared" si="248"/>
        <v>1140603.3766827509</v>
      </c>
      <c r="JN65" s="26">
        <f t="shared" si="249"/>
        <v>1279511.8795868035</v>
      </c>
      <c r="JO65" s="26">
        <f t="shared" si="250"/>
        <v>1426152.7014219156</v>
      </c>
      <c r="JP65" s="26">
        <f t="shared" si="251"/>
        <v>1581157.6577884173</v>
      </c>
      <c r="JQ65" s="26">
        <f t="shared" si="252"/>
        <v>1745284.0793969028</v>
      </c>
      <c r="JR65" s="26">
        <f t="shared" si="253"/>
        <v>1919359.4147026038</v>
      </c>
      <c r="JS65" s="26">
        <f t="shared" si="254"/>
        <v>2104287.903023052</v>
      </c>
      <c r="JT65" s="26">
        <f t="shared" si="255"/>
        <v>2301118.7025657604</v>
      </c>
      <c r="JU65" s="26">
        <f t="shared" si="256"/>
        <v>2510951.7883308199</v>
      </c>
      <c r="JV65" s="26">
        <f t="shared" si="257"/>
        <v>-387952965913.36969</v>
      </c>
      <c r="JW65" s="26">
        <f t="shared" si="258"/>
        <v>1889694.9952904778</v>
      </c>
      <c r="JX65" s="26" t="e">
        <f>AH65+$AG$38*0.004*(1+$R$28)*#REF!-S65*#REF!</f>
        <v>#REF!</v>
      </c>
      <c r="JY65" s="34">
        <f t="shared" si="259"/>
        <v>5.2808279957439488E-2</v>
      </c>
      <c r="JZ65" s="4">
        <f t="shared" si="260"/>
        <v>46919.104146103258</v>
      </c>
      <c r="KA65" s="165"/>
    </row>
    <row r="66" spans="1:287" ht="15.75" x14ac:dyDescent="0.3">
      <c r="A66" s="34">
        <v>65</v>
      </c>
      <c r="B66" s="34">
        <v>38</v>
      </c>
      <c r="C66" s="2">
        <v>948445</v>
      </c>
      <c r="D66" s="1">
        <f t="shared" si="106"/>
        <v>2849</v>
      </c>
      <c r="E66" s="145">
        <f t="shared" si="107"/>
        <v>0.99699613578014534</v>
      </c>
      <c r="F66" s="146">
        <f t="shared" si="108"/>
        <v>3.0038642198546572E-3</v>
      </c>
      <c r="G66" s="158">
        <f t="shared" si="173"/>
        <v>3.7548302748183215E-3</v>
      </c>
      <c r="H66" s="43">
        <f t="shared" si="109"/>
        <v>3514.3726822772323</v>
      </c>
      <c r="I66" s="43">
        <f t="shared" si="139"/>
        <v>935960.46293924062</v>
      </c>
      <c r="J66" s="43">
        <f t="shared" si="110"/>
        <v>947020.5</v>
      </c>
      <c r="K66" s="147">
        <f>SUM(J66:$J$138)</f>
        <v>36275769.5</v>
      </c>
      <c r="L66" s="147">
        <f t="shared" si="111"/>
        <v>38.247625850734622</v>
      </c>
      <c r="M66" s="43">
        <f t="shared" si="174"/>
        <v>1183775.625</v>
      </c>
      <c r="N66" s="148">
        <f t="shared" si="175"/>
        <v>45344711.875</v>
      </c>
      <c r="O66" s="147">
        <f t="shared" si="6"/>
        <v>47.809532313418273</v>
      </c>
      <c r="P66" s="157">
        <f t="shared" si="176"/>
        <v>253235.28071432526</v>
      </c>
      <c r="Q66" s="43">
        <f t="shared" si="177"/>
        <v>1185556.25</v>
      </c>
      <c r="R66" s="43">
        <f t="shared" si="178"/>
        <v>934.63996497175719</v>
      </c>
      <c r="S66" s="43">
        <f>SUM(R66:$R$138)</f>
        <v>83509.656097891071</v>
      </c>
      <c r="T66" s="43">
        <f t="shared" si="112"/>
        <v>2434406.0665027732</v>
      </c>
      <c r="U66" s="153">
        <f>SUM(P66:$P$138)</f>
        <v>5061143.1109308824</v>
      </c>
      <c r="V66" s="129">
        <f t="shared" si="179"/>
        <v>3478094.06288487</v>
      </c>
      <c r="W66" s="43">
        <f t="shared" si="180"/>
        <v>192402.00403895453</v>
      </c>
      <c r="X66" s="26">
        <f t="shared" si="114"/>
        <v>6.2512973847109805</v>
      </c>
      <c r="Y66" s="26">
        <f t="shared" si="115"/>
        <v>0.75977566591917045</v>
      </c>
      <c r="Z66" s="43">
        <f t="shared" si="181"/>
        <v>76082.783920534741</v>
      </c>
      <c r="AA66" s="149">
        <f t="shared" si="116"/>
        <v>2.9327952078425382E-2</v>
      </c>
      <c r="AB66" s="150">
        <f t="shared" si="138"/>
        <v>4807907.8302165577</v>
      </c>
      <c r="AC66" s="150">
        <f t="shared" si="117"/>
        <v>3285692.0588459154</v>
      </c>
      <c r="AD66" s="26">
        <f t="shared" si="118"/>
        <v>6.0110730506301531</v>
      </c>
      <c r="AE66" s="26">
        <f t="shared" si="182"/>
        <v>525112.98120057373</v>
      </c>
      <c r="AF66" s="43">
        <f t="shared" si="183"/>
        <v>84000.640008722214</v>
      </c>
      <c r="AG66" s="43">
        <f t="shared" si="184"/>
        <v>546140.2704381746</v>
      </c>
      <c r="AH66" s="27">
        <f t="shared" si="185"/>
        <v>91207.111271183603</v>
      </c>
      <c r="AI66" s="28">
        <f t="shared" si="186"/>
        <v>587247.60262169316</v>
      </c>
      <c r="AJ66" s="20">
        <f t="shared" si="187"/>
        <v>98072.16265718668</v>
      </c>
      <c r="AK66" s="3">
        <f t="shared" si="188"/>
        <v>8499.5874302895118</v>
      </c>
      <c r="AL66" s="3"/>
      <c r="AM66" s="46">
        <f t="shared" si="121"/>
        <v>4807907.8302165577</v>
      </c>
      <c r="AN66" s="46">
        <f t="shared" si="122"/>
        <v>4564154.762375352</v>
      </c>
      <c r="AO66" s="46">
        <f t="shared" si="122"/>
        <v>4329596.2727115229</v>
      </c>
      <c r="AP66" s="3">
        <f t="shared" si="261"/>
        <v>4103960.3363030413</v>
      </c>
      <c r="AQ66" s="3">
        <f t="shared" si="261"/>
        <v>3886994.4441078454</v>
      </c>
      <c r="AR66" s="16">
        <f t="shared" si="261"/>
        <v>3678451.3364938861</v>
      </c>
      <c r="AS66" s="16">
        <f t="shared" si="261"/>
        <v>3478094.06288487</v>
      </c>
      <c r="AT66" s="16">
        <f t="shared" si="261"/>
        <v>3285692.0588459154</v>
      </c>
      <c r="AU66" s="16">
        <f t="shared" si="261"/>
        <v>3101021.3547806852</v>
      </c>
      <c r="AV66" s="16">
        <f t="shared" si="261"/>
        <v>2923858.6434593615</v>
      </c>
      <c r="AW66" s="16">
        <f t="shared" si="261"/>
        <v>2753979.4019531519</v>
      </c>
      <c r="AX66" s="16">
        <f t="shared" si="261"/>
        <v>2591159.5511030932</v>
      </c>
      <c r="AY66" s="16">
        <f t="shared" si="261"/>
        <v>2435177.7612465657</v>
      </c>
      <c r="AZ66" s="16">
        <f t="shared" si="261"/>
        <v>2285815.9243503674</v>
      </c>
      <c r="BA66" s="16">
        <f t="shared" si="261"/>
        <v>2142865.0383407604</v>
      </c>
      <c r="BB66" s="16">
        <f t="shared" si="261"/>
        <v>2006123.0115572365</v>
      </c>
      <c r="BC66" s="16">
        <f t="shared" si="144"/>
        <v>1875393.3577380853</v>
      </c>
      <c r="BD66" s="16">
        <f t="shared" si="18"/>
        <v>1750486.9936345171</v>
      </c>
      <c r="BE66" s="16">
        <f t="shared" si="18"/>
        <v>1631218.7777198723</v>
      </c>
      <c r="BF66" s="16">
        <f t="shared" si="18"/>
        <v>1517407.6629794927</v>
      </c>
      <c r="BG66" s="16">
        <f t="shared" si="18"/>
        <v>1408901.5734490284</v>
      </c>
      <c r="BH66" s="172">
        <f t="shared" si="123"/>
        <v>243753.06784120487</v>
      </c>
      <c r="BI66" s="16">
        <f t="shared" si="189"/>
        <v>234558.48966382915</v>
      </c>
      <c r="BJ66" s="16">
        <f t="shared" si="189"/>
        <v>225635.93640848066</v>
      </c>
      <c r="BK66" s="16">
        <f t="shared" si="189"/>
        <v>216965.89219519592</v>
      </c>
      <c r="BL66" s="16">
        <f t="shared" si="189"/>
        <v>208543.10761395967</v>
      </c>
      <c r="BM66" s="16">
        <f t="shared" si="189"/>
        <v>200357.2736090158</v>
      </c>
      <c r="BN66" s="16">
        <f t="shared" si="189"/>
        <v>192402.00403895453</v>
      </c>
      <c r="BO66" s="16">
        <f t="shared" si="189"/>
        <v>184670.70406523009</v>
      </c>
      <c r="BP66" s="16">
        <f t="shared" si="189"/>
        <v>177162.71132132332</v>
      </c>
      <c r="BQ66" s="16">
        <f t="shared" si="189"/>
        <v>169879.2415062098</v>
      </c>
      <c r="BR66" s="16">
        <f t="shared" si="189"/>
        <v>162819.85085005857</v>
      </c>
      <c r="BS66" s="16">
        <f t="shared" si="189"/>
        <v>155981.78985652846</v>
      </c>
      <c r="BT66" s="16">
        <f t="shared" si="189"/>
        <v>149361.83689619804</v>
      </c>
      <c r="BU66" s="16">
        <f t="shared" si="189"/>
        <v>142950.88600960682</v>
      </c>
      <c r="BV66" s="16">
        <f t="shared" si="189"/>
        <v>136742.02678352417</v>
      </c>
      <c r="BW66" s="16">
        <f t="shared" si="189"/>
        <v>130729.65381915121</v>
      </c>
      <c r="BX66" s="16">
        <f t="shared" si="168"/>
        <v>124906.36410356843</v>
      </c>
      <c r="BY66" s="16">
        <f t="shared" si="149"/>
        <v>119268.21591464471</v>
      </c>
      <c r="BZ66" s="16">
        <f t="shared" si="149"/>
        <v>113811.11474037961</v>
      </c>
      <c r="CA66" s="16">
        <f t="shared" si="149"/>
        <v>108506.0895304641</v>
      </c>
      <c r="CB66" s="16">
        <f t="shared" si="149"/>
        <v>103340.87372927672</v>
      </c>
      <c r="CC66" s="18">
        <f t="shared" si="124"/>
        <v>5.4555775609684094</v>
      </c>
      <c r="CD66" s="18">
        <f t="shared" si="124"/>
        <v>4.6302340241320268</v>
      </c>
      <c r="CE66" s="18">
        <f t="shared" si="124"/>
        <v>3.7737880914728645</v>
      </c>
      <c r="CF66" s="18">
        <f t="shared" si="124"/>
        <v>2.884629777915062</v>
      </c>
      <c r="CG66" s="18">
        <f t="shared" si="124"/>
        <v>1.9607475207471401</v>
      </c>
      <c r="CH66" s="18">
        <f t="shared" si="150"/>
        <v>1.0000000000000016</v>
      </c>
      <c r="CI66" s="18">
        <f t="shared" si="150"/>
        <v>0</v>
      </c>
      <c r="CJ66" s="18">
        <f t="shared" si="150"/>
        <v>-1.0418653300362879</v>
      </c>
      <c r="CK66" s="18">
        <f t="shared" si="150"/>
        <v>-2.1283977045275684</v>
      </c>
      <c r="CL66" s="18">
        <f t="shared" si="151"/>
        <v>-3.2625258654998692</v>
      </c>
      <c r="CM66" s="18">
        <f t="shared" si="151"/>
        <v>-4.447336471266996</v>
      </c>
      <c r="CN66" s="18">
        <f t="shared" si="151"/>
        <v>-5.6861413925149611</v>
      </c>
      <c r="CO66" s="18">
        <f t="shared" si="151"/>
        <v>-6.9824817591330204</v>
      </c>
      <c r="CP66" s="18">
        <f t="shared" si="152"/>
        <v>-8.3404739335045264</v>
      </c>
      <c r="CQ66" s="18">
        <f t="shared" si="153"/>
        <v>-9.7645841293394469</v>
      </c>
      <c r="CR66" s="18">
        <f t="shared" si="154"/>
        <v>-11.259656920410183</v>
      </c>
      <c r="CS66" s="18">
        <f t="shared" si="142"/>
        <v>-12.831217341478899</v>
      </c>
      <c r="CT66" s="18">
        <f t="shared" si="125"/>
        <v>-14.48505837034344</v>
      </c>
      <c r="CU66" s="18">
        <f t="shared" si="125"/>
        <v>-16.227547629051873</v>
      </c>
      <c r="CV66" s="18">
        <f t="shared" si="125"/>
        <v>-18.069828231667092</v>
      </c>
      <c r="CW66" s="18">
        <f t="shared" si="22"/>
        <v>-20.022982337623048</v>
      </c>
      <c r="CX66" s="17">
        <f t="shared" si="190"/>
        <v>968.23268856226048</v>
      </c>
      <c r="CY66" s="17">
        <f t="shared" si="126"/>
        <v>1007.810475753591</v>
      </c>
      <c r="CZ66" s="17">
        <f t="shared" si="126"/>
        <v>1057.8842267388445</v>
      </c>
      <c r="DA66" s="17">
        <f t="shared" si="126"/>
        <v>1104.6113627063899</v>
      </c>
      <c r="DB66" s="17">
        <f t="shared" si="126"/>
        <v>1153.3199078071334</v>
      </c>
      <c r="DC66" s="17">
        <f t="shared" si="126"/>
        <v>1200.3735508163636</v>
      </c>
      <c r="DD66" s="17">
        <f t="shared" si="126"/>
        <v>1246.2043128696612</v>
      </c>
      <c r="DE66" s="17">
        <f t="shared" si="126"/>
        <v>1285.0036795743104</v>
      </c>
      <c r="DF66" s="3" t="e">
        <f>#REF!+$AG$35*0.004*(1+$R$28)*#REF!-S66*#REF!</f>
        <v>#REF!</v>
      </c>
      <c r="DG66" s="19">
        <f t="shared" si="191"/>
        <v>1918.6984912239004</v>
      </c>
      <c r="DH66" s="19">
        <f t="shared" si="192"/>
        <v>1814.4856717481816</v>
      </c>
      <c r="DI66" s="19">
        <f t="shared" si="193"/>
        <v>1715.3501847152531</v>
      </c>
      <c r="DJ66" s="19">
        <f t="shared" si="194"/>
        <v>1607.1689611655027</v>
      </c>
      <c r="DK66" s="19">
        <f t="shared" si="195"/>
        <v>1494.9195726083324</v>
      </c>
      <c r="DL66" s="19">
        <f t="shared" si="196"/>
        <v>1374.592648985124</v>
      </c>
      <c r="DM66" s="19">
        <f t="shared" si="197"/>
        <v>1246.2043128696612</v>
      </c>
      <c r="DN66" s="19">
        <f t="shared" si="198"/>
        <v>1103.4908413620906</v>
      </c>
      <c r="DO66" s="173">
        <f t="shared" si="127"/>
        <v>82575.016132919322</v>
      </c>
      <c r="DP66" s="25">
        <f t="shared" si="262"/>
        <v>81606.783444357046</v>
      </c>
      <c r="DQ66" s="26">
        <f t="shared" si="262"/>
        <v>80598.972968603455</v>
      </c>
      <c r="DR66" s="26">
        <f t="shared" si="262"/>
        <v>79541.088741864602</v>
      </c>
      <c r="DS66" s="26">
        <f t="shared" si="262"/>
        <v>78436.477379158212</v>
      </c>
      <c r="DT66" s="26">
        <f t="shared" si="262"/>
        <v>77283.157471351093</v>
      </c>
      <c r="DU66" s="26">
        <f t="shared" si="262"/>
        <v>76082.783920534741</v>
      </c>
      <c r="DV66" s="26">
        <f t="shared" si="262"/>
        <v>74836.579607665073</v>
      </c>
      <c r="DW66" s="26">
        <f t="shared" si="262"/>
        <v>73551.575928090766</v>
      </c>
      <c r="DX66" s="26">
        <f t="shared" si="262"/>
        <v>72236.692138670856</v>
      </c>
      <c r="DY66" s="26">
        <f t="shared" si="262"/>
        <v>70899.201060349529</v>
      </c>
      <c r="DZ66" s="26">
        <f t="shared" si="262"/>
        <v>69544.014517296338</v>
      </c>
      <c r="EA66" s="26">
        <f t="shared" si="262"/>
        <v>68175.46941806782</v>
      </c>
      <c r="EB66" s="26">
        <f t="shared" si="262"/>
        <v>66791.805416898773</v>
      </c>
      <c r="EC66" s="26">
        <f t="shared" si="262"/>
        <v>65393.182532433275</v>
      </c>
      <c r="ED66" s="26">
        <f t="shared" si="262"/>
        <v>63980.850699294751</v>
      </c>
      <c r="EE66" s="26">
        <f t="shared" si="145"/>
        <v>62554.038207059304</v>
      </c>
      <c r="EF66" s="26">
        <f t="shared" si="34"/>
        <v>61115.240000982594</v>
      </c>
      <c r="EG66" s="26">
        <f t="shared" si="34"/>
        <v>59666.659978071591</v>
      </c>
      <c r="EH66" s="26">
        <f t="shared" si="34"/>
        <v>58185.053037586011</v>
      </c>
      <c r="EI66" s="26">
        <f t="shared" si="34"/>
        <v>56663.171693451171</v>
      </c>
      <c r="EJ66" s="26">
        <f t="shared" si="128"/>
        <v>2.6634463598275628E-2</v>
      </c>
      <c r="EK66" s="26">
        <f t="shared" si="128"/>
        <v>2.3550627102601741E-2</v>
      </c>
      <c r="EL66" s="26">
        <f t="shared" si="169"/>
        <v>2.0015380173718511E-2</v>
      </c>
      <c r="EM66" s="26">
        <f t="shared" si="169"/>
        <v>1.5939393912747152E-2</v>
      </c>
      <c r="EN66" s="26">
        <f t="shared" si="169"/>
        <v>1.1286364174549767E-2</v>
      </c>
      <c r="EO66" s="26">
        <f t="shared" si="169"/>
        <v>5.9911653277874141E-3</v>
      </c>
      <c r="EP66" s="26">
        <f t="shared" si="169"/>
        <v>0</v>
      </c>
      <c r="EQ66" s="26">
        <f t="shared" si="169"/>
        <v>-6.7482512679947256E-3</v>
      </c>
      <c r="ER66" s="26">
        <f t="shared" si="169"/>
        <v>-1.4287476035818146E-2</v>
      </c>
      <c r="ES66" s="26">
        <f t="shared" si="169"/>
        <v>-2.2640151602768332E-2</v>
      </c>
      <c r="ET66" s="26">
        <f t="shared" si="169"/>
        <v>-3.1836307631547905E-2</v>
      </c>
      <c r="EU66" s="26">
        <f t="shared" si="169"/>
        <v>-4.1920081884255472E-2</v>
      </c>
      <c r="EV66" s="26">
        <f t="shared" si="169"/>
        <v>-5.2940661863728047E-2</v>
      </c>
      <c r="EW66" s="26">
        <f t="shared" si="169"/>
        <v>-6.4994200196923438E-2</v>
      </c>
      <c r="EX66" s="26">
        <f t="shared" si="169"/>
        <v>-7.817348944976614E-2</v>
      </c>
      <c r="EY66" s="26">
        <f t="shared" si="169"/>
        <v>-9.257221194803715E-2</v>
      </c>
      <c r="EZ66" s="26">
        <f t="shared" si="146"/>
        <v>-0.10831110016346186</v>
      </c>
      <c r="FA66" s="26">
        <f t="shared" si="146"/>
        <v>-0.12549482529581724</v>
      </c>
      <c r="FB66" s="26">
        <f t="shared" si="146"/>
        <v>-0.14424007690207424</v>
      </c>
      <c r="FC66" s="26">
        <f t="shared" si="146"/>
        <v>-0.16494678741439461</v>
      </c>
      <c r="FD66" s="26">
        <f t="shared" si="146"/>
        <v>-0.18791801855631057</v>
      </c>
      <c r="FE66" s="26">
        <f t="shared" si="130"/>
        <v>5.2449091814602413</v>
      </c>
      <c r="FF66" s="26">
        <f t="shared" si="130"/>
        <v>4.450507058438764</v>
      </c>
      <c r="FG66" s="26">
        <f t="shared" si="130"/>
        <v>3.6264980236825912</v>
      </c>
      <c r="FH66" s="26">
        <f t="shared" si="130"/>
        <v>2.7714143415729202</v>
      </c>
      <c r="FI66" s="26">
        <f t="shared" si="130"/>
        <v>1.8833481582859073</v>
      </c>
      <c r="FJ66" s="26">
        <f t="shared" si="157"/>
        <v>0.96029458064205164</v>
      </c>
      <c r="FK66" s="26">
        <f t="shared" si="157"/>
        <v>0</v>
      </c>
      <c r="FL66" s="26">
        <f t="shared" si="157"/>
        <v>-1.0000000000000007</v>
      </c>
      <c r="FM66" s="26">
        <f t="shared" si="157"/>
        <v>-2.0423790801569401</v>
      </c>
      <c r="FN66" s="26">
        <f t="shared" si="157"/>
        <v>-3.1299448489315695</v>
      </c>
      <c r="FO66" s="26">
        <f t="shared" si="170"/>
        <v>-4.2656500673398838</v>
      </c>
      <c r="FP66" s="26">
        <f t="shared" si="158"/>
        <v>-5.4526512253875916</v>
      </c>
      <c r="FQ66" s="26">
        <f t="shared" si="158"/>
        <v>-6.6943213559326509</v>
      </c>
      <c r="FR66" s="26">
        <f t="shared" si="158"/>
        <v>-7.9945431078220306</v>
      </c>
      <c r="FS66" s="26">
        <f t="shared" si="158"/>
        <v>-9.3575404532679638</v>
      </c>
      <c r="FT66" s="26">
        <f t="shared" si="159"/>
        <v>-10.787902055174177</v>
      </c>
      <c r="FU66" s="26">
        <f t="shared" si="143"/>
        <v>-12.290847437833149</v>
      </c>
      <c r="FV66" s="26">
        <f t="shared" si="131"/>
        <v>-13.87187079506648</v>
      </c>
      <c r="FW66" s="26">
        <f t="shared" si="131"/>
        <v>-15.537009719131099</v>
      </c>
      <c r="FX66" s="26">
        <f t="shared" si="39"/>
        <v>3101021.3547806852</v>
      </c>
      <c r="FY66" s="26">
        <f t="shared" si="40"/>
        <v>177162.71132132332</v>
      </c>
      <c r="FZ66" s="26">
        <f t="shared" si="132"/>
        <v>0.78933162049183536</v>
      </c>
      <c r="GA66" s="26">
        <f t="shared" si="160"/>
        <v>0.82027303430673693</v>
      </c>
      <c r="GB66" s="26">
        <f t="shared" si="132"/>
        <v>0.85270993220973013</v>
      </c>
      <c r="GC66" s="26">
        <f t="shared" si="132"/>
        <v>0.88678456365785741</v>
      </c>
      <c r="GD66" s="26">
        <f t="shared" si="132"/>
        <v>0.92260063753876531</v>
      </c>
      <c r="GE66" s="26">
        <f t="shared" si="161"/>
        <v>0.9602945806420512</v>
      </c>
      <c r="GF66" s="26">
        <f t="shared" si="161"/>
        <v>1</v>
      </c>
      <c r="GG66" s="26">
        <f t="shared" si="161"/>
        <v>1.0418653300362875</v>
      </c>
      <c r="GH66" s="26">
        <f t="shared" si="161"/>
        <v>1.0860186243706296</v>
      </c>
      <c r="GI66" s="26">
        <f t="shared" si="161"/>
        <v>1.1325810165682981</v>
      </c>
      <c r="GJ66" s="26">
        <f t="shared" si="171"/>
        <v>1.1816864039271124</v>
      </c>
      <c r="GK66" s="26">
        <f t="shared" si="162"/>
        <v>1.2334901671273633</v>
      </c>
      <c r="GL66" s="26">
        <f t="shared" si="162"/>
        <v>1.2881604032003711</v>
      </c>
      <c r="GM66" s="26">
        <f t="shared" si="162"/>
        <v>1.3459308256824964</v>
      </c>
      <c r="GN66" s="26">
        <f t="shared" si="162"/>
        <v>1.4070436760714793</v>
      </c>
      <c r="GO66" s="26">
        <f t="shared" si="163"/>
        <v>1.4717548652360055</v>
      </c>
      <c r="GP66" s="26">
        <f t="shared" si="140"/>
        <v>1.540369903645749</v>
      </c>
      <c r="GQ66" s="26">
        <f t="shared" si="134"/>
        <v>1.6131875752769591</v>
      </c>
      <c r="GR66" s="26">
        <f t="shared" si="134"/>
        <v>1.6905379099207722</v>
      </c>
      <c r="GS66" s="26">
        <f t="shared" si="134"/>
        <v>1.7731908399936933</v>
      </c>
      <c r="GT66" s="26">
        <f t="shared" si="134"/>
        <v>1.8618190179327523</v>
      </c>
      <c r="GU66" s="26">
        <f t="shared" si="135"/>
        <v>5.4555775609684094</v>
      </c>
      <c r="GV66" s="26">
        <f t="shared" si="164"/>
        <v>4.6302340241320268</v>
      </c>
      <c r="GW66" s="26">
        <f t="shared" si="135"/>
        <v>3.7737880914728645</v>
      </c>
      <c r="GX66" s="26">
        <f t="shared" si="135"/>
        <v>2.884629777915062</v>
      </c>
      <c r="GY66" s="26">
        <f t="shared" si="135"/>
        <v>1.9607475207471401</v>
      </c>
      <c r="GZ66" s="26">
        <f t="shared" si="165"/>
        <v>1.0000000000000016</v>
      </c>
      <c r="HA66" s="26">
        <f t="shared" si="165"/>
        <v>0</v>
      </c>
      <c r="HB66" s="26">
        <f t="shared" si="165"/>
        <v>-1.0418653300362879</v>
      </c>
      <c r="HC66" s="26">
        <f t="shared" si="165"/>
        <v>-2.1283977045275684</v>
      </c>
      <c r="HD66" s="26">
        <f t="shared" si="165"/>
        <v>-3.2625258654998692</v>
      </c>
      <c r="HE66" s="26">
        <f t="shared" si="172"/>
        <v>-4.447336471266996</v>
      </c>
      <c r="HF66" s="26">
        <f t="shared" si="166"/>
        <v>-5.6861413925149611</v>
      </c>
      <c r="HG66" s="26">
        <f t="shared" si="166"/>
        <v>-6.9824817591330204</v>
      </c>
      <c r="HH66" s="26">
        <f t="shared" si="166"/>
        <v>-8.3404739335045264</v>
      </c>
      <c r="HI66" s="26">
        <f t="shared" si="166"/>
        <v>-9.7645841293394469</v>
      </c>
      <c r="HJ66" s="26">
        <f t="shared" si="167"/>
        <v>-11.259656920410183</v>
      </c>
      <c r="HK66" s="26">
        <f t="shared" si="141"/>
        <v>-12.831217341478899</v>
      </c>
      <c r="HL66" s="26">
        <f t="shared" si="137"/>
        <v>-14.48505837034344</v>
      </c>
      <c r="HM66" s="26">
        <f t="shared" si="137"/>
        <v>-16.227547629051873</v>
      </c>
      <c r="HN66" s="26">
        <f t="shared" si="137"/>
        <v>-18.069828231667092</v>
      </c>
      <c r="HO66" s="26">
        <f t="shared" si="137"/>
        <v>-20.022982337623048</v>
      </c>
      <c r="HP66" s="26">
        <f t="shared" si="199"/>
        <v>522652.53663940838</v>
      </c>
      <c r="HQ66" s="26">
        <f t="shared" si="200"/>
        <v>538570.22988683626</v>
      </c>
      <c r="HR66" s="26">
        <f t="shared" si="201"/>
        <v>555279.31359040935</v>
      </c>
      <c r="HS66" s="26">
        <f t="shared" si="202"/>
        <v>572863.04252973478</v>
      </c>
      <c r="HT66" s="26">
        <f t="shared" si="203"/>
        <v>591450.37893816235</v>
      </c>
      <c r="HU66" s="26">
        <f t="shared" si="204"/>
        <v>611180.02344536758</v>
      </c>
      <c r="HV66" s="26">
        <f t="shared" si="205"/>
        <v>632215.9078880985</v>
      </c>
      <c r="HW66" s="26">
        <f t="shared" si="206"/>
        <v>654743.67753806792</v>
      </c>
      <c r="HX66" s="26">
        <f t="shared" si="207"/>
        <v>678968.32572289172</v>
      </c>
      <c r="HY66" s="26">
        <f t="shared" si="208"/>
        <v>705106.06321407435</v>
      </c>
      <c r="HZ66" s="26">
        <f t="shared" si="209"/>
        <v>733386.63231118862</v>
      </c>
      <c r="IA66" s="26">
        <f t="shared" si="210"/>
        <v>764060.50070626184</v>
      </c>
      <c r="IB66" s="26">
        <f t="shared" si="211"/>
        <v>797399.69468282885</v>
      </c>
      <c r="IC66" s="26">
        <f t="shared" si="212"/>
        <v>833734.90199872211</v>
      </c>
      <c r="ID66" s="26">
        <f t="shared" si="213"/>
        <v>873432.35932091135</v>
      </c>
      <c r="IE66" s="26">
        <f t="shared" si="214"/>
        <v>916896.71051882638</v>
      </c>
      <c r="IF66" s="26">
        <f t="shared" si="215"/>
        <v>964603.96642149787</v>
      </c>
      <c r="IG66" s="26">
        <f t="shared" si="216"/>
        <v>1017056.5089665652</v>
      </c>
      <c r="IH66" s="26">
        <f t="shared" si="217"/>
        <v>1074816.456051351</v>
      </c>
      <c r="II66" s="26">
        <f t="shared" si="218"/>
        <v>-355485234126.65009</v>
      </c>
      <c r="IJ66" s="26">
        <f t="shared" si="219"/>
        <v>542631.07102667401</v>
      </c>
      <c r="IK66" s="26">
        <f t="shared" si="220"/>
        <v>558176.12106001726</v>
      </c>
      <c r="IL66" s="26">
        <f t="shared" si="221"/>
        <v>574582.88597528439</v>
      </c>
      <c r="IM66" s="26">
        <f t="shared" si="222"/>
        <v>591942.04408576945</v>
      </c>
      <c r="IN66" s="26">
        <f t="shared" si="223"/>
        <v>610391.58670627675</v>
      </c>
      <c r="IO66" s="26">
        <f t="shared" si="224"/>
        <v>630080.03411264799</v>
      </c>
      <c r="IP66" s="26">
        <f t="shared" si="225"/>
        <v>651182.38512474147</v>
      </c>
      <c r="IQ66" s="26">
        <f t="shared" si="226"/>
        <v>673896.58548507653</v>
      </c>
      <c r="IR66" s="26">
        <f t="shared" si="227"/>
        <v>698441.18805273122</v>
      </c>
      <c r="IS66" s="26">
        <f t="shared" si="228"/>
        <v>725047.07689907763</v>
      </c>
      <c r="IT66" s="26">
        <f t="shared" si="229"/>
        <v>753959.90434059827</v>
      </c>
      <c r="IU66" s="26">
        <f t="shared" si="230"/>
        <v>785447.55650339858</v>
      </c>
      <c r="IV66" s="26">
        <f t="shared" si="231"/>
        <v>819801.10542514781</v>
      </c>
      <c r="IW66" s="26">
        <f t="shared" si="232"/>
        <v>857373.06812113139</v>
      </c>
      <c r="IX66" s="26">
        <f t="shared" si="233"/>
        <v>898553.82348599029</v>
      </c>
      <c r="IY66" s="26">
        <f t="shared" si="234"/>
        <v>943774.70021771686</v>
      </c>
      <c r="IZ66" s="26">
        <f t="shared" si="235"/>
        <v>993542.08541414281</v>
      </c>
      <c r="JA66" s="26">
        <f t="shared" si="236"/>
        <v>1048391.3085599203</v>
      </c>
      <c r="JB66" s="26">
        <f t="shared" si="237"/>
        <v>1108921.1884139834</v>
      </c>
      <c r="JC66" s="26">
        <f t="shared" si="238"/>
        <v>-366149788016.27692</v>
      </c>
      <c r="JD66" s="26">
        <f t="shared" si="239"/>
        <v>153658.92942613759</v>
      </c>
      <c r="JE66" s="26">
        <f t="shared" si="240"/>
        <v>244888.5006315225</v>
      </c>
      <c r="JF66" s="26">
        <f t="shared" si="241"/>
        <v>339928.3595540456</v>
      </c>
      <c r="JG66" s="26">
        <f t="shared" si="242"/>
        <v>439092.23629290133</v>
      </c>
      <c r="JH66" s="26">
        <f t="shared" si="243"/>
        <v>542715.7260613481</v>
      </c>
      <c r="JI66" s="26">
        <f t="shared" si="244"/>
        <v>651182.38512474147</v>
      </c>
      <c r="JJ66" s="26">
        <f t="shared" si="245"/>
        <v>764918.42912633589</v>
      </c>
      <c r="JK66" s="26">
        <f t="shared" si="246"/>
        <v>884387.18076675688</v>
      </c>
      <c r="JL66" s="26">
        <f t="shared" si="247"/>
        <v>1010075.3916379416</v>
      </c>
      <c r="JM66" s="26">
        <f t="shared" si="248"/>
        <v>1142498.3778241486</v>
      </c>
      <c r="JN66" s="26">
        <f t="shared" si="249"/>
        <v>1282213.3647423221</v>
      </c>
      <c r="JO66" s="26">
        <f t="shared" si="250"/>
        <v>1429820.7927926262</v>
      </c>
      <c r="JP66" s="26">
        <f t="shared" si="251"/>
        <v>1586032.8021416566</v>
      </c>
      <c r="JQ66" s="26">
        <f t="shared" si="252"/>
        <v>1751629.9593544342</v>
      </c>
      <c r="JR66" s="26">
        <f t="shared" si="253"/>
        <v>1927466.8359643812</v>
      </c>
      <c r="JS66" s="26">
        <f t="shared" si="254"/>
        <v>2114532.509908285</v>
      </c>
      <c r="JT66" s="26">
        <f t="shared" si="255"/>
        <v>2313868.4101676624</v>
      </c>
      <c r="JU66" s="26">
        <f t="shared" si="256"/>
        <v>2526629.6583956098</v>
      </c>
      <c r="JV66" s="26">
        <f t="shared" si="257"/>
        <v>-366148209358.23688</v>
      </c>
      <c r="JW66" s="26">
        <f t="shared" si="258"/>
        <v>1902952.9264759715</v>
      </c>
      <c r="JX66" s="26" t="e">
        <f>AH66+$AG$38*0.004*(1+$R$28)*#REF!-S66*#REF!</f>
        <v>#REF!</v>
      </c>
      <c r="JY66" s="34">
        <f t="shared" si="259"/>
        <v>5.300386421985466E-2</v>
      </c>
      <c r="JZ66" s="4">
        <f t="shared" si="260"/>
        <v>46860.542996382574</v>
      </c>
      <c r="KA66" s="165"/>
    </row>
    <row r="67" spans="1:287" ht="15.75" x14ac:dyDescent="0.3">
      <c r="A67" s="34">
        <v>66</v>
      </c>
      <c r="B67" s="34">
        <v>39</v>
      </c>
      <c r="C67" s="2">
        <v>945596</v>
      </c>
      <c r="D67" s="1">
        <f t="shared" si="106"/>
        <v>3057</v>
      </c>
      <c r="E67" s="145">
        <f t="shared" si="107"/>
        <v>0.99676711830422293</v>
      </c>
      <c r="F67" s="146">
        <f t="shared" si="108"/>
        <v>3.2328816957770679E-3</v>
      </c>
      <c r="G67" s="158">
        <f t="shared" si="173"/>
        <v>4.0411021197213348E-3</v>
      </c>
      <c r="H67" s="43">
        <f t="shared" si="109"/>
        <v>3768.1098718632857</v>
      </c>
      <c r="I67" s="43">
        <f t="shared" si="139"/>
        <v>932446.09025696339</v>
      </c>
      <c r="J67" s="43">
        <f t="shared" si="110"/>
        <v>944067.5</v>
      </c>
      <c r="K67" s="147">
        <f>SUM(J67:$J$138)</f>
        <v>35328749</v>
      </c>
      <c r="L67" s="147">
        <f t="shared" si="111"/>
        <v>37.361356224011097</v>
      </c>
      <c r="M67" s="43">
        <f t="shared" si="174"/>
        <v>1180084.375</v>
      </c>
      <c r="N67" s="148">
        <f t="shared" si="175"/>
        <v>44160936.25</v>
      </c>
      <c r="O67" s="147">
        <f t="shared" si="6"/>
        <v>46.701695280013872</v>
      </c>
      <c r="P67" s="157">
        <f t="shared" si="176"/>
        <v>243753.06784120487</v>
      </c>
      <c r="Q67" s="43">
        <f t="shared" si="177"/>
        <v>1181995</v>
      </c>
      <c r="R67" s="43">
        <f t="shared" si="178"/>
        <v>968.23268856226048</v>
      </c>
      <c r="S67" s="43">
        <f>SUM(R67:$R$138)</f>
        <v>82575.016132919322</v>
      </c>
      <c r="T67" s="43">
        <f t="shared" si="112"/>
        <v>2350896.4104048815</v>
      </c>
      <c r="U67" s="153">
        <f>SUM(P67:$P$138)</f>
        <v>4807907.8302165577</v>
      </c>
      <c r="V67" s="129">
        <f t="shared" si="179"/>
        <v>3285692.0588459154</v>
      </c>
      <c r="W67" s="43">
        <f t="shared" si="180"/>
        <v>184670.70406523009</v>
      </c>
      <c r="X67" s="26">
        <f t="shared" si="114"/>
        <v>6.2449091814602449</v>
      </c>
      <c r="Y67" s="26">
        <f t="shared" si="115"/>
        <v>0.75761386595361946</v>
      </c>
      <c r="Z67" s="43">
        <f t="shared" si="181"/>
        <v>74836.579607665073</v>
      </c>
      <c r="AA67" s="149">
        <f t="shared" si="116"/>
        <v>3.1747032329847526E-2</v>
      </c>
      <c r="AB67" s="150">
        <f t="shared" si="138"/>
        <v>4564154.762375352</v>
      </c>
      <c r="AC67" s="150">
        <f t="shared" si="117"/>
        <v>3101021.3547806852</v>
      </c>
      <c r="AD67" s="26">
        <f t="shared" si="118"/>
        <v>6.0025230474138613</v>
      </c>
      <c r="AE67" s="26">
        <f t="shared" si="182"/>
        <v>525983.94559032423</v>
      </c>
      <c r="AF67" s="43">
        <f t="shared" si="183"/>
        <v>84226.036008954994</v>
      </c>
      <c r="AG67" s="43">
        <f t="shared" si="184"/>
        <v>547031.97435934062</v>
      </c>
      <c r="AH67" s="27">
        <f t="shared" si="185"/>
        <v>91439.269151423374</v>
      </c>
      <c r="AI67" s="28">
        <f t="shared" si="186"/>
        <v>588206.42404230183</v>
      </c>
      <c r="AJ67" s="20">
        <f t="shared" si="187"/>
        <v>98321.794786476748</v>
      </c>
      <c r="AK67" s="3">
        <f t="shared" si="188"/>
        <v>8521.2222148279852</v>
      </c>
      <c r="AL67" s="3"/>
      <c r="AM67" s="46">
        <f t="shared" si="121"/>
        <v>4564154.762375352</v>
      </c>
      <c r="AN67" s="46">
        <f t="shared" si="122"/>
        <v>4329596.2727115229</v>
      </c>
      <c r="AO67" s="46">
        <f t="shared" si="122"/>
        <v>4103960.3363030413</v>
      </c>
      <c r="AP67" s="3">
        <f t="shared" si="261"/>
        <v>3886994.4441078454</v>
      </c>
      <c r="AQ67" s="3">
        <f t="shared" si="261"/>
        <v>3678451.3364938861</v>
      </c>
      <c r="AR67" s="16">
        <f t="shared" si="261"/>
        <v>3478094.06288487</v>
      </c>
      <c r="AS67" s="16">
        <f t="shared" si="261"/>
        <v>3285692.0588459154</v>
      </c>
      <c r="AT67" s="16">
        <f t="shared" si="261"/>
        <v>3101021.3547806852</v>
      </c>
      <c r="AU67" s="16">
        <f t="shared" si="261"/>
        <v>2923858.6434593615</v>
      </c>
      <c r="AV67" s="16">
        <f t="shared" si="261"/>
        <v>2753979.4019531519</v>
      </c>
      <c r="AW67" s="16">
        <f t="shared" si="261"/>
        <v>2591159.5511030932</v>
      </c>
      <c r="AX67" s="16">
        <f t="shared" si="261"/>
        <v>2435177.7612465657</v>
      </c>
      <c r="AY67" s="16">
        <f t="shared" si="261"/>
        <v>2285815.9243503674</v>
      </c>
      <c r="AZ67" s="16">
        <f t="shared" si="261"/>
        <v>2142865.0383407604</v>
      </c>
      <c r="BA67" s="16">
        <f t="shared" si="261"/>
        <v>2006123.0115572365</v>
      </c>
      <c r="BB67" s="16">
        <f t="shared" si="261"/>
        <v>1875393.3577380853</v>
      </c>
      <c r="BC67" s="16">
        <f t="shared" si="144"/>
        <v>1750486.9936345171</v>
      </c>
      <c r="BD67" s="16">
        <f t="shared" si="18"/>
        <v>1631218.7777198723</v>
      </c>
      <c r="BE67" s="16">
        <f t="shared" si="18"/>
        <v>1517407.6629794927</v>
      </c>
      <c r="BF67" s="16">
        <f t="shared" si="18"/>
        <v>1408901.5734490284</v>
      </c>
      <c r="BG67" s="16">
        <f t="shared" si="18"/>
        <v>1305560.6997197517</v>
      </c>
      <c r="BH67" s="172">
        <f t="shared" si="123"/>
        <v>234558.48966382915</v>
      </c>
      <c r="BI67" s="16">
        <f t="shared" si="189"/>
        <v>225635.93640848066</v>
      </c>
      <c r="BJ67" s="16">
        <f t="shared" si="189"/>
        <v>216965.89219519592</v>
      </c>
      <c r="BK67" s="16">
        <f t="shared" si="189"/>
        <v>208543.10761395967</v>
      </c>
      <c r="BL67" s="16">
        <f t="shared" si="189"/>
        <v>200357.2736090158</v>
      </c>
      <c r="BM67" s="16">
        <f t="shared" si="189"/>
        <v>192402.00403895453</v>
      </c>
      <c r="BN67" s="16">
        <f t="shared" si="189"/>
        <v>184670.70406523009</v>
      </c>
      <c r="BO67" s="16">
        <f t="shared" si="189"/>
        <v>177162.71132132332</v>
      </c>
      <c r="BP67" s="16">
        <f t="shared" si="189"/>
        <v>169879.2415062098</v>
      </c>
      <c r="BQ67" s="16">
        <f t="shared" si="189"/>
        <v>162819.85085005857</v>
      </c>
      <c r="BR67" s="16">
        <f t="shared" si="189"/>
        <v>155981.78985652846</v>
      </c>
      <c r="BS67" s="16">
        <f t="shared" si="189"/>
        <v>149361.83689619804</v>
      </c>
      <c r="BT67" s="16">
        <f t="shared" si="189"/>
        <v>142950.88600960682</v>
      </c>
      <c r="BU67" s="16">
        <f t="shared" si="189"/>
        <v>136742.02678352417</v>
      </c>
      <c r="BV67" s="16">
        <f t="shared" si="189"/>
        <v>130729.65381915121</v>
      </c>
      <c r="BW67" s="16">
        <f t="shared" si="189"/>
        <v>124906.36410356843</v>
      </c>
      <c r="BX67" s="16">
        <f t="shared" si="168"/>
        <v>119268.21591464471</v>
      </c>
      <c r="BY67" s="16">
        <f t="shared" si="149"/>
        <v>113811.11474037961</v>
      </c>
      <c r="BZ67" s="16">
        <f t="shared" si="149"/>
        <v>108506.0895304641</v>
      </c>
      <c r="CA67" s="16">
        <f t="shared" si="149"/>
        <v>103340.87372927672</v>
      </c>
      <c r="CB67" s="16">
        <f t="shared" si="149"/>
        <v>98291.528762306916</v>
      </c>
      <c r="CC67" s="18">
        <f t="shared" si="124"/>
        <v>5.450507058438764</v>
      </c>
      <c r="CD67" s="18">
        <f t="shared" si="124"/>
        <v>4.6264980236825952</v>
      </c>
      <c r="CE67" s="18">
        <f t="shared" si="124"/>
        <v>3.7714143415729198</v>
      </c>
      <c r="CF67" s="18">
        <f t="shared" si="124"/>
        <v>2.8833481582859055</v>
      </c>
      <c r="CG67" s="18">
        <f t="shared" si="124"/>
        <v>1.9602945806420531</v>
      </c>
      <c r="CH67" s="18">
        <f t="shared" si="150"/>
        <v>1.0000000000000004</v>
      </c>
      <c r="CI67" s="18">
        <f t="shared" si="150"/>
        <v>0</v>
      </c>
      <c r="CJ67" s="18">
        <f t="shared" si="150"/>
        <v>-1.0423790801569384</v>
      </c>
      <c r="CK67" s="18">
        <f t="shared" si="150"/>
        <v>-2.1299448489315709</v>
      </c>
      <c r="CL67" s="18">
        <f t="shared" si="151"/>
        <v>-3.2656500673398829</v>
      </c>
      <c r="CM67" s="18">
        <f t="shared" si="151"/>
        <v>-4.4526512253875978</v>
      </c>
      <c r="CN67" s="18">
        <f t="shared" si="151"/>
        <v>-5.6943213559326491</v>
      </c>
      <c r="CO67" s="18">
        <f t="shared" si="151"/>
        <v>-6.9945431078220297</v>
      </c>
      <c r="CP67" s="18">
        <f t="shared" si="152"/>
        <v>-8.3575404532679656</v>
      </c>
      <c r="CQ67" s="18">
        <f t="shared" si="153"/>
        <v>-9.7879020551741771</v>
      </c>
      <c r="CR67" s="18">
        <f t="shared" si="154"/>
        <v>-11.290847437833149</v>
      </c>
      <c r="CS67" s="18">
        <f t="shared" si="142"/>
        <v>-12.87187079506648</v>
      </c>
      <c r="CT67" s="18">
        <f t="shared" si="125"/>
        <v>-14.537009719131099</v>
      </c>
      <c r="CU67" s="18">
        <f t="shared" si="125"/>
        <v>-16.296637391673396</v>
      </c>
      <c r="CV67" s="18">
        <f t="shared" si="125"/>
        <v>-18.161163319690296</v>
      </c>
      <c r="CW67" s="18">
        <f t="shared" si="22"/>
        <v>-20.145493554328656</v>
      </c>
      <c r="CX67" s="17">
        <f t="shared" si="190"/>
        <v>1007.810475753591</v>
      </c>
      <c r="CY67" s="17">
        <f t="shared" si="126"/>
        <v>1057.8842267388445</v>
      </c>
      <c r="CZ67" s="17">
        <f t="shared" si="126"/>
        <v>1104.6113627063899</v>
      </c>
      <c r="DA67" s="17">
        <f t="shared" si="126"/>
        <v>1153.3199078071334</v>
      </c>
      <c r="DB67" s="17">
        <f t="shared" si="126"/>
        <v>1200.3735508163636</v>
      </c>
      <c r="DC67" s="17">
        <f t="shared" si="126"/>
        <v>1246.2043128696612</v>
      </c>
      <c r="DD67" s="17">
        <f t="shared" si="126"/>
        <v>1285.0036795743104</v>
      </c>
      <c r="DE67" s="17">
        <f t="shared" si="126"/>
        <v>1314.8837894199046</v>
      </c>
      <c r="DF67" s="3" t="e">
        <f>#REF!+$AG$35*0.004*(1+$R$28)*#REF!-S67*#REF!</f>
        <v>#REF!</v>
      </c>
      <c r="DG67" s="19">
        <f t="shared" si="191"/>
        <v>1963.4311736074242</v>
      </c>
      <c r="DH67" s="19">
        <f t="shared" si="192"/>
        <v>1869.0339459499849</v>
      </c>
      <c r="DI67" s="19">
        <f t="shared" si="193"/>
        <v>1765.8418805918586</v>
      </c>
      <c r="DJ67" s="19">
        <f t="shared" si="194"/>
        <v>1658.8485035202068</v>
      </c>
      <c r="DK67" s="19">
        <f t="shared" si="195"/>
        <v>1544.0659917337471</v>
      </c>
      <c r="DL67" s="19">
        <f t="shared" si="196"/>
        <v>1421.5312480718258</v>
      </c>
      <c r="DM67" s="19">
        <f t="shared" si="197"/>
        <v>1285.0036795743104</v>
      </c>
      <c r="DN67" s="19">
        <f t="shared" si="198"/>
        <v>1132.1266599771373</v>
      </c>
      <c r="DO67" s="173">
        <f t="shared" si="127"/>
        <v>81606.783444357046</v>
      </c>
      <c r="DP67" s="25">
        <f t="shared" si="262"/>
        <v>80598.972968603455</v>
      </c>
      <c r="DQ67" s="26">
        <f t="shared" si="262"/>
        <v>79541.088741864602</v>
      </c>
      <c r="DR67" s="26">
        <f t="shared" si="262"/>
        <v>78436.477379158212</v>
      </c>
      <c r="DS67" s="26">
        <f t="shared" si="262"/>
        <v>77283.157471351093</v>
      </c>
      <c r="DT67" s="26">
        <f t="shared" si="262"/>
        <v>76082.783920534741</v>
      </c>
      <c r="DU67" s="26">
        <f t="shared" si="262"/>
        <v>74836.579607665073</v>
      </c>
      <c r="DV67" s="26">
        <f t="shared" si="262"/>
        <v>73551.575928090766</v>
      </c>
      <c r="DW67" s="26">
        <f t="shared" si="262"/>
        <v>72236.692138670856</v>
      </c>
      <c r="DX67" s="26">
        <f t="shared" si="262"/>
        <v>70899.201060349529</v>
      </c>
      <c r="DY67" s="26">
        <f t="shared" si="262"/>
        <v>69544.014517296338</v>
      </c>
      <c r="DZ67" s="26">
        <f t="shared" si="262"/>
        <v>68175.46941806782</v>
      </c>
      <c r="EA67" s="26">
        <f t="shared" si="262"/>
        <v>66791.805416898773</v>
      </c>
      <c r="EB67" s="26">
        <f t="shared" si="262"/>
        <v>65393.182532433275</v>
      </c>
      <c r="EC67" s="26">
        <f t="shared" si="262"/>
        <v>63980.850699294751</v>
      </c>
      <c r="ED67" s="26">
        <f t="shared" si="262"/>
        <v>62554.038207059304</v>
      </c>
      <c r="EE67" s="26">
        <f t="shared" si="145"/>
        <v>61115.240000982594</v>
      </c>
      <c r="EF67" s="26">
        <f t="shared" si="34"/>
        <v>59666.659978071591</v>
      </c>
      <c r="EG67" s="26">
        <f t="shared" si="34"/>
        <v>58185.053037586011</v>
      </c>
      <c r="EH67" s="26">
        <f t="shared" si="34"/>
        <v>56663.171693451171</v>
      </c>
      <c r="EI67" s="26">
        <f t="shared" si="34"/>
        <v>55081.471929218045</v>
      </c>
      <c r="EJ67" s="26">
        <f t="shared" si="128"/>
        <v>2.8863606030184948E-2</v>
      </c>
      <c r="EK67" s="26">
        <f t="shared" si="128"/>
        <v>2.5538455676255473E-2</v>
      </c>
      <c r="EL67" s="26">
        <f t="shared" si="169"/>
        <v>2.1683173731136787E-2</v>
      </c>
      <c r="EM67" s="26">
        <f t="shared" si="169"/>
        <v>1.7262127781067772E-2</v>
      </c>
      <c r="EN67" s="26">
        <f t="shared" si="169"/>
        <v>1.2211075842748576E-2</v>
      </c>
      <c r="EO67" s="26">
        <f t="shared" si="169"/>
        <v>6.4770859279477981E-3</v>
      </c>
      <c r="EP67" s="26">
        <f t="shared" si="169"/>
        <v>0</v>
      </c>
      <c r="EQ67" s="26">
        <f t="shared" si="169"/>
        <v>-7.2532400864179138E-3</v>
      </c>
      <c r="ER67" s="26">
        <f t="shared" si="169"/>
        <v>-1.5304327038092997E-2</v>
      </c>
      <c r="ES67" s="26">
        <f t="shared" si="169"/>
        <v>-2.418242325342437E-2</v>
      </c>
      <c r="ET67" s="26">
        <f t="shared" si="169"/>
        <v>-3.393066008049285E-2</v>
      </c>
      <c r="EU67" s="26">
        <f t="shared" si="169"/>
        <v>-4.4597136243219364E-2</v>
      </c>
      <c r="EV67" s="26">
        <f t="shared" si="169"/>
        <v>-5.6276490585904185E-2</v>
      </c>
      <c r="EW67" s="26">
        <f t="shared" si="169"/>
        <v>-6.9059946655475629E-2</v>
      </c>
      <c r="EX67" s="26">
        <f t="shared" si="169"/>
        <v>-8.3039529221028308E-2</v>
      </c>
      <c r="EY67" s="26">
        <f t="shared" si="169"/>
        <v>-9.833399193672368E-2</v>
      </c>
      <c r="EZ67" s="26">
        <f t="shared" si="146"/>
        <v>-0.11504607075285062</v>
      </c>
      <c r="FA67" s="26">
        <f t="shared" si="146"/>
        <v>-0.13329031759506413</v>
      </c>
      <c r="FB67" s="26">
        <f t="shared" si="146"/>
        <v>-0.15346167797710553</v>
      </c>
      <c r="FC67" s="26">
        <f t="shared" si="146"/>
        <v>-0.17585885679487276</v>
      </c>
      <c r="FD67" s="26">
        <f t="shared" si="146"/>
        <v>-0.20098484505434577</v>
      </c>
      <c r="FE67" s="26">
        <f t="shared" si="130"/>
        <v>5.2378190177283273</v>
      </c>
      <c r="FF67" s="26">
        <f t="shared" si="130"/>
        <v>4.4449434672794439</v>
      </c>
      <c r="FG67" s="26">
        <f t="shared" si="130"/>
        <v>3.622565193887942</v>
      </c>
      <c r="FH67" s="26">
        <f t="shared" si="130"/>
        <v>2.768875885277871</v>
      </c>
      <c r="FI67" s="26">
        <f t="shared" si="130"/>
        <v>1.8820015930143754</v>
      </c>
      <c r="FJ67" s="26">
        <f t="shared" si="157"/>
        <v>0.95981694674989448</v>
      </c>
      <c r="FK67" s="26">
        <f t="shared" si="157"/>
        <v>0</v>
      </c>
      <c r="FL67" s="26">
        <f t="shared" si="157"/>
        <v>-1.0000000000000018</v>
      </c>
      <c r="FM67" s="26">
        <f t="shared" si="157"/>
        <v>-2.0428743956620941</v>
      </c>
      <c r="FN67" s="26">
        <f t="shared" si="157"/>
        <v>-3.1314474311066998</v>
      </c>
      <c r="FO67" s="26">
        <f t="shared" si="170"/>
        <v>-4.2687264593293888</v>
      </c>
      <c r="FP67" s="26">
        <f t="shared" si="158"/>
        <v>-5.4579231708087583</v>
      </c>
      <c r="FQ67" s="26">
        <f t="shared" si="158"/>
        <v>-6.7026958921788928</v>
      </c>
      <c r="FR67" s="26">
        <f t="shared" si="158"/>
        <v>-8.0070360881572888</v>
      </c>
      <c r="FS67" s="26">
        <f t="shared" si="158"/>
        <v>-9.3752867940590523</v>
      </c>
      <c r="FT67" s="26">
        <f t="shared" si="159"/>
        <v>-10.812374300050456</v>
      </c>
      <c r="FU67" s="26">
        <f t="shared" si="143"/>
        <v>-12.323506022029283</v>
      </c>
      <c r="FV67" s="26">
        <f t="shared" si="131"/>
        <v>-13.914402784065995</v>
      </c>
      <c r="FW67" s="26">
        <f t="shared" si="131"/>
        <v>-15.594698773625773</v>
      </c>
      <c r="FX67" s="26">
        <f t="shared" si="39"/>
        <v>2923858.6434593615</v>
      </c>
      <c r="FY67" s="26">
        <f t="shared" si="40"/>
        <v>169879.2415062098</v>
      </c>
      <c r="FZ67" s="26">
        <f t="shared" si="132"/>
        <v>0.78731195928956321</v>
      </c>
      <c r="GA67" s="26">
        <f t="shared" si="160"/>
        <v>0.81844544359685223</v>
      </c>
      <c r="GB67" s="26">
        <f t="shared" si="132"/>
        <v>0.85115085231502152</v>
      </c>
      <c r="GC67" s="26">
        <f t="shared" si="132"/>
        <v>0.88552772699196325</v>
      </c>
      <c r="GD67" s="26">
        <f t="shared" si="132"/>
        <v>0.92170701237232333</v>
      </c>
      <c r="GE67" s="26">
        <f t="shared" si="161"/>
        <v>0.95981694674989393</v>
      </c>
      <c r="GF67" s="26">
        <f t="shared" si="161"/>
        <v>1</v>
      </c>
      <c r="GG67" s="26">
        <f t="shared" si="161"/>
        <v>1.0423790801569377</v>
      </c>
      <c r="GH67" s="26">
        <f t="shared" si="161"/>
        <v>1.087070453269475</v>
      </c>
      <c r="GI67" s="26">
        <f t="shared" si="161"/>
        <v>1.134202636233183</v>
      </c>
      <c r="GJ67" s="26">
        <f t="shared" si="171"/>
        <v>1.1839247660582022</v>
      </c>
      <c r="GK67" s="26">
        <f t="shared" si="162"/>
        <v>1.2363981851238923</v>
      </c>
      <c r="GL67" s="26">
        <f t="shared" si="162"/>
        <v>1.2918472156431373</v>
      </c>
      <c r="GM67" s="26">
        <f t="shared" si="162"/>
        <v>1.3505043651106741</v>
      </c>
      <c r="GN67" s="26">
        <f t="shared" si="162"/>
        <v>1.4126152611151244</v>
      </c>
      <c r="GO67" s="26">
        <f t="shared" si="163"/>
        <v>1.478473137782691</v>
      </c>
      <c r="GP67" s="26">
        <f t="shared" si="140"/>
        <v>1.5483647730371957</v>
      </c>
      <c r="GQ67" s="26">
        <f t="shared" si="134"/>
        <v>1.6226069350651027</v>
      </c>
      <c r="GR67" s="26">
        <f t="shared" si="134"/>
        <v>1.7019386180476264</v>
      </c>
      <c r="GS67" s="26">
        <f t="shared" si="134"/>
        <v>1.7870054451931001</v>
      </c>
      <c r="GT67" s="26">
        <f t="shared" si="134"/>
        <v>1.878805899049645</v>
      </c>
      <c r="GU67" s="26">
        <f t="shared" si="135"/>
        <v>5.450507058438764</v>
      </c>
      <c r="GV67" s="26">
        <f t="shared" si="164"/>
        <v>4.6264980236825952</v>
      </c>
      <c r="GW67" s="26">
        <f t="shared" si="135"/>
        <v>3.7714143415729198</v>
      </c>
      <c r="GX67" s="26">
        <f t="shared" si="135"/>
        <v>2.8833481582859055</v>
      </c>
      <c r="GY67" s="26">
        <f t="shared" si="135"/>
        <v>1.9602945806420531</v>
      </c>
      <c r="GZ67" s="26">
        <f t="shared" si="165"/>
        <v>1.0000000000000004</v>
      </c>
      <c r="HA67" s="26">
        <f t="shared" si="165"/>
        <v>0</v>
      </c>
      <c r="HB67" s="26">
        <f t="shared" si="165"/>
        <v>-1.0423790801569384</v>
      </c>
      <c r="HC67" s="26">
        <f t="shared" si="165"/>
        <v>-2.1299448489315709</v>
      </c>
      <c r="HD67" s="26">
        <f t="shared" si="165"/>
        <v>-3.2656500673398829</v>
      </c>
      <c r="HE67" s="26">
        <f t="shared" si="172"/>
        <v>-4.4526512253875978</v>
      </c>
      <c r="HF67" s="26">
        <f t="shared" si="166"/>
        <v>-5.6943213559326491</v>
      </c>
      <c r="HG67" s="26">
        <f t="shared" si="166"/>
        <v>-6.9945431078220297</v>
      </c>
      <c r="HH67" s="26">
        <f t="shared" si="166"/>
        <v>-8.3575404532679656</v>
      </c>
      <c r="HI67" s="26">
        <f t="shared" si="166"/>
        <v>-9.7879020551741771</v>
      </c>
      <c r="HJ67" s="26">
        <f t="shared" si="167"/>
        <v>-11.290847437833149</v>
      </c>
      <c r="HK67" s="26">
        <f t="shared" si="141"/>
        <v>-12.87187079506648</v>
      </c>
      <c r="HL67" s="26">
        <f t="shared" si="137"/>
        <v>-14.537009719131099</v>
      </c>
      <c r="HM67" s="26">
        <f t="shared" si="137"/>
        <v>-16.296637391673396</v>
      </c>
      <c r="HN67" s="26">
        <f t="shared" si="137"/>
        <v>-18.161163319690296</v>
      </c>
      <c r="HO67" s="26">
        <f t="shared" si="137"/>
        <v>-20.145493554328656</v>
      </c>
      <c r="HP67" s="26">
        <f t="shared" si="199"/>
        <v>523361.56018936046</v>
      </c>
      <c r="HQ67" s="26">
        <f t="shared" si="200"/>
        <v>539112.4418434297</v>
      </c>
      <c r="HR67" s="26">
        <f t="shared" si="201"/>
        <v>555647.02093370608</v>
      </c>
      <c r="HS67" s="26">
        <f t="shared" si="202"/>
        <v>573085.77604711789</v>
      </c>
      <c r="HT67" s="26">
        <f t="shared" si="203"/>
        <v>591555.3035361144</v>
      </c>
      <c r="HU67" s="26">
        <f t="shared" si="204"/>
        <v>611207.87510592106</v>
      </c>
      <c r="HV67" s="26">
        <f t="shared" si="205"/>
        <v>632215.9078880985</v>
      </c>
      <c r="HW67" s="26">
        <f t="shared" si="206"/>
        <v>654773.62648606591</v>
      </c>
      <c r="HX67" s="26">
        <f t="shared" si="207"/>
        <v>679087.39886481396</v>
      </c>
      <c r="HY67" s="26">
        <f t="shared" si="208"/>
        <v>705375.8060316426</v>
      </c>
      <c r="HZ67" s="26">
        <f t="shared" si="209"/>
        <v>733875.84446193429</v>
      </c>
      <c r="IA67" s="26">
        <f t="shared" si="210"/>
        <v>764844.76611810795</v>
      </c>
      <c r="IB67" s="26">
        <f t="shared" si="211"/>
        <v>798591.14202953514</v>
      </c>
      <c r="IC67" s="26">
        <f t="shared" si="212"/>
        <v>835458.27828699362</v>
      </c>
      <c r="ID67" s="26">
        <f t="shared" si="213"/>
        <v>875826.49248173065</v>
      </c>
      <c r="IE67" s="26">
        <f t="shared" si="214"/>
        <v>920141.97377078806</v>
      </c>
      <c r="IF67" s="26">
        <f t="shared" si="215"/>
        <v>968878.22905599605</v>
      </c>
      <c r="IG67" s="26">
        <f t="shared" si="216"/>
        <v>1022565.1152228216</v>
      </c>
      <c r="IH67" s="26">
        <f t="shared" si="217"/>
        <v>1082207.977070251</v>
      </c>
      <c r="II67" s="26">
        <f t="shared" si="218"/>
        <v>-335176253895.65302</v>
      </c>
      <c r="IJ67" s="26">
        <f t="shared" si="219"/>
        <v>543357.36976136162</v>
      </c>
      <c r="IK67" s="26">
        <f t="shared" si="220"/>
        <v>558731.81665211567</v>
      </c>
      <c r="IL67" s="26">
        <f t="shared" si="221"/>
        <v>574959.96068642917</v>
      </c>
      <c r="IM67" s="26">
        <f t="shared" si="222"/>
        <v>592170.61851380847</v>
      </c>
      <c r="IN67" s="26">
        <f t="shared" si="223"/>
        <v>610499.38236976182</v>
      </c>
      <c r="IO67" s="26">
        <f t="shared" si="224"/>
        <v>630108.72132301808</v>
      </c>
      <c r="IP67" s="26">
        <f t="shared" si="225"/>
        <v>651182.38512474147</v>
      </c>
      <c r="IQ67" s="26">
        <f t="shared" si="226"/>
        <v>673927.19157422974</v>
      </c>
      <c r="IR67" s="26">
        <f t="shared" si="227"/>
        <v>698563.18194515945</v>
      </c>
      <c r="IS67" s="26">
        <f t="shared" si="228"/>
        <v>725323.75122626638</v>
      </c>
      <c r="IT67" s="26">
        <f t="shared" si="229"/>
        <v>754462.08594510343</v>
      </c>
      <c r="IU67" s="26">
        <f t="shared" si="230"/>
        <v>786253.14200525905</v>
      </c>
      <c r="IV67" s="26">
        <f t="shared" si="231"/>
        <v>821025.66958363599</v>
      </c>
      <c r="IW67" s="26">
        <f t="shared" si="232"/>
        <v>859145.33442301303</v>
      </c>
      <c r="IX67" s="26">
        <f t="shared" si="233"/>
        <v>901017.19799288106</v>
      </c>
      <c r="IY67" s="26">
        <f t="shared" si="234"/>
        <v>947115.57921124843</v>
      </c>
      <c r="IZ67" s="26">
        <f t="shared" si="235"/>
        <v>997944.57592767593</v>
      </c>
      <c r="JA67" s="26">
        <f t="shared" si="236"/>
        <v>1054068.1251065587</v>
      </c>
      <c r="JB67" s="26">
        <f t="shared" si="237"/>
        <v>1116542.3751418157</v>
      </c>
      <c r="JC67" s="26">
        <f t="shared" si="238"/>
        <v>-345231538362.50812</v>
      </c>
      <c r="JD67" s="26">
        <f t="shared" si="239"/>
        <v>153466.94013826823</v>
      </c>
      <c r="JE67" s="26">
        <f t="shared" si="240"/>
        <v>244597.39280111738</v>
      </c>
      <c r="JF67" s="26">
        <f t="shared" si="241"/>
        <v>339599.50979774992</v>
      </c>
      <c r="JG67" s="26">
        <f t="shared" si="242"/>
        <v>438784.50492076861</v>
      </c>
      <c r="JH67" s="26">
        <f t="shared" si="243"/>
        <v>542512.25539147854</v>
      </c>
      <c r="JI67" s="26">
        <f t="shared" si="244"/>
        <v>651182.38512474147</v>
      </c>
      <c r="JJ67" s="26">
        <f t="shared" si="245"/>
        <v>765235.91515694652</v>
      </c>
      <c r="JK67" s="26">
        <f t="shared" si="246"/>
        <v>885138.82334065181</v>
      </c>
      <c r="JL67" s="26">
        <f t="shared" si="247"/>
        <v>1011383.1560943341</v>
      </c>
      <c r="JM67" s="26">
        <f t="shared" si="248"/>
        <v>1144498.5973147957</v>
      </c>
      <c r="JN67" s="26">
        <f t="shared" si="249"/>
        <v>1285055.5686634514</v>
      </c>
      <c r="JO67" s="26">
        <f t="shared" si="250"/>
        <v>1433722.926634653</v>
      </c>
      <c r="JP67" s="26">
        <f t="shared" si="251"/>
        <v>1591236.3420091637</v>
      </c>
      <c r="JQ67" s="26">
        <f t="shared" si="252"/>
        <v>1758402.8269101917</v>
      </c>
      <c r="JR67" s="26">
        <f t="shared" si="253"/>
        <v>1936153.9121376101</v>
      </c>
      <c r="JS67" s="26">
        <f t="shared" si="254"/>
        <v>2125474.9675028953</v>
      </c>
      <c r="JT67" s="26">
        <f t="shared" si="255"/>
        <v>2327458.801714885</v>
      </c>
      <c r="JU67" s="26">
        <f t="shared" si="256"/>
        <v>2544070.2172201872</v>
      </c>
      <c r="JV67" s="26">
        <f t="shared" si="257"/>
        <v>-345229947508.78406</v>
      </c>
      <c r="JW67" s="26">
        <f t="shared" si="258"/>
        <v>1918140.9799440673</v>
      </c>
      <c r="JX67" s="26" t="e">
        <f>AH67+$AG$38*0.004*(1+$R$28)*#REF!-S67*#REF!</f>
        <v>#REF!</v>
      </c>
      <c r="JY67" s="34">
        <f t="shared" si="259"/>
        <v>5.3232881695777071E-2</v>
      </c>
      <c r="JZ67" s="4">
        <f t="shared" si="260"/>
        <v>46782.240759474458</v>
      </c>
      <c r="KA67" s="165"/>
    </row>
    <row r="68" spans="1:287" ht="15.75" x14ac:dyDescent="0.3">
      <c r="A68" s="34">
        <v>67</v>
      </c>
      <c r="B68" s="34">
        <v>40</v>
      </c>
      <c r="C68" s="2">
        <v>942539</v>
      </c>
      <c r="D68" s="1">
        <f t="shared" si="106"/>
        <v>3296</v>
      </c>
      <c r="E68" s="145">
        <f t="shared" si="107"/>
        <v>0.99650306247274645</v>
      </c>
      <c r="F68" s="146">
        <f t="shared" si="108"/>
        <v>3.4969375272535519E-3</v>
      </c>
      <c r="G68" s="158">
        <f t="shared" si="173"/>
        <v>4.3711719090669399E-3</v>
      </c>
      <c r="H68" s="43">
        <f t="shared" si="109"/>
        <v>4059.4111004283682</v>
      </c>
      <c r="I68" s="43">
        <f t="shared" si="139"/>
        <v>928677.98038510012</v>
      </c>
      <c r="J68" s="43">
        <f t="shared" si="110"/>
        <v>940891</v>
      </c>
      <c r="K68" s="147">
        <f>SUM(J68:$J$138)</f>
        <v>34384681.5</v>
      </c>
      <c r="L68" s="147">
        <f t="shared" si="111"/>
        <v>36.480911134711668</v>
      </c>
      <c r="M68" s="43">
        <f t="shared" si="174"/>
        <v>1176113.75</v>
      </c>
      <c r="N68" s="148">
        <f t="shared" si="175"/>
        <v>42980851.875</v>
      </c>
      <c r="O68" s="147">
        <f t="shared" si="6"/>
        <v>45.601138918389587</v>
      </c>
      <c r="P68" s="157">
        <f t="shared" si="176"/>
        <v>234558.48966382915</v>
      </c>
      <c r="Q68" s="43">
        <f t="shared" si="177"/>
        <v>1178173.75</v>
      </c>
      <c r="R68" s="43">
        <f t="shared" si="178"/>
        <v>1007.810475753591</v>
      </c>
      <c r="S68" s="43">
        <f>SUM(R68:$R$138)</f>
        <v>81606.783444357046</v>
      </c>
      <c r="T68" s="43">
        <f t="shared" si="112"/>
        <v>2268321.3942719623</v>
      </c>
      <c r="U68" s="153">
        <f>SUM(P68:$P$138)</f>
        <v>4564154.762375352</v>
      </c>
      <c r="V68" s="129">
        <f t="shared" si="179"/>
        <v>3101021.3547806852</v>
      </c>
      <c r="W68" s="43">
        <f t="shared" si="180"/>
        <v>177162.71132132332</v>
      </c>
      <c r="X68" s="26">
        <f t="shared" si="114"/>
        <v>6.2378190177283273</v>
      </c>
      <c r="Y68" s="26">
        <f t="shared" si="115"/>
        <v>0.75530291645053715</v>
      </c>
      <c r="Z68" s="43">
        <f t="shared" si="181"/>
        <v>73551.575928090766</v>
      </c>
      <c r="AA68" s="149">
        <f t="shared" si="116"/>
        <v>3.4341999421172345E-2</v>
      </c>
      <c r="AB68" s="150">
        <f t="shared" si="138"/>
        <v>4329596.2727115229</v>
      </c>
      <c r="AC68" s="150">
        <f t="shared" si="117"/>
        <v>2923858.6434593615</v>
      </c>
      <c r="AD68" s="26">
        <f t="shared" si="118"/>
        <v>5.9931219341788662</v>
      </c>
      <c r="AE68" s="26">
        <f t="shared" si="182"/>
        <v>526945.46030997101</v>
      </c>
      <c r="AF68" s="43">
        <f t="shared" si="183"/>
        <v>84475.913586520284</v>
      </c>
      <c r="AG68" s="43">
        <f t="shared" si="184"/>
        <v>548016.35291215265</v>
      </c>
      <c r="AH68" s="27">
        <f t="shared" si="185"/>
        <v>91696.643056315617</v>
      </c>
      <c r="AI68" s="28">
        <f t="shared" si="186"/>
        <v>589264.89560446527</v>
      </c>
      <c r="AJ68" s="20">
        <f t="shared" si="187"/>
        <v>98598.54092076949</v>
      </c>
      <c r="AK68" s="3">
        <f t="shared" si="188"/>
        <v>8545.2068798000219</v>
      </c>
      <c r="AL68" s="3"/>
      <c r="AM68" s="46">
        <f t="shared" si="121"/>
        <v>4329596.2727115229</v>
      </c>
      <c r="AN68" s="46">
        <f t="shared" si="122"/>
        <v>4103960.3363030413</v>
      </c>
      <c r="AO68" s="46">
        <f t="shared" si="122"/>
        <v>3886994.4441078454</v>
      </c>
      <c r="AP68" s="3">
        <f t="shared" si="261"/>
        <v>3678451.3364938861</v>
      </c>
      <c r="AQ68" s="3">
        <f t="shared" si="261"/>
        <v>3478094.06288487</v>
      </c>
      <c r="AR68" s="16">
        <f t="shared" si="261"/>
        <v>3285692.0588459154</v>
      </c>
      <c r="AS68" s="16">
        <f t="shared" si="261"/>
        <v>3101021.3547806852</v>
      </c>
      <c r="AT68" s="16">
        <f t="shared" si="261"/>
        <v>2923858.6434593615</v>
      </c>
      <c r="AU68" s="16">
        <f t="shared" si="261"/>
        <v>2753979.4019531519</v>
      </c>
      <c r="AV68" s="16">
        <f t="shared" si="261"/>
        <v>2591159.5511030932</v>
      </c>
      <c r="AW68" s="16">
        <f t="shared" si="261"/>
        <v>2435177.7612465657</v>
      </c>
      <c r="AX68" s="16">
        <f t="shared" si="261"/>
        <v>2285815.9243503674</v>
      </c>
      <c r="AY68" s="16">
        <f t="shared" si="261"/>
        <v>2142865.0383407604</v>
      </c>
      <c r="AZ68" s="16">
        <f t="shared" si="261"/>
        <v>2006123.0115572365</v>
      </c>
      <c r="BA68" s="16">
        <f t="shared" si="261"/>
        <v>1875393.3577380853</v>
      </c>
      <c r="BB68" s="16">
        <f t="shared" si="261"/>
        <v>1750486.9936345171</v>
      </c>
      <c r="BC68" s="16">
        <f t="shared" si="144"/>
        <v>1631218.7777198723</v>
      </c>
      <c r="BD68" s="16">
        <f t="shared" si="18"/>
        <v>1517407.6629794927</v>
      </c>
      <c r="BE68" s="16">
        <f t="shared" si="18"/>
        <v>1408901.5734490284</v>
      </c>
      <c r="BF68" s="16">
        <f t="shared" si="18"/>
        <v>1305560.6997197517</v>
      </c>
      <c r="BG68" s="16">
        <f t="shared" si="18"/>
        <v>1207269.1709574449</v>
      </c>
      <c r="BH68" s="172">
        <f t="shared" si="123"/>
        <v>225635.93640848066</v>
      </c>
      <c r="BI68" s="16">
        <f t="shared" si="189"/>
        <v>216965.89219519592</v>
      </c>
      <c r="BJ68" s="16">
        <f t="shared" si="189"/>
        <v>208543.10761395967</v>
      </c>
      <c r="BK68" s="16">
        <f t="shared" si="189"/>
        <v>200357.2736090158</v>
      </c>
      <c r="BL68" s="16">
        <f t="shared" si="189"/>
        <v>192402.00403895453</v>
      </c>
      <c r="BM68" s="16">
        <f t="shared" si="189"/>
        <v>184670.70406523009</v>
      </c>
      <c r="BN68" s="16">
        <f t="shared" si="189"/>
        <v>177162.71132132332</v>
      </c>
      <c r="BO68" s="16">
        <f t="shared" si="189"/>
        <v>169879.2415062098</v>
      </c>
      <c r="BP68" s="16">
        <f t="shared" si="189"/>
        <v>162819.85085005857</v>
      </c>
      <c r="BQ68" s="16">
        <f t="shared" si="189"/>
        <v>155981.78985652846</v>
      </c>
      <c r="BR68" s="16">
        <f t="shared" si="189"/>
        <v>149361.83689619804</v>
      </c>
      <c r="BS68" s="16">
        <f t="shared" si="189"/>
        <v>142950.88600960682</v>
      </c>
      <c r="BT68" s="16">
        <f t="shared" si="189"/>
        <v>136742.02678352417</v>
      </c>
      <c r="BU68" s="16">
        <f t="shared" si="189"/>
        <v>130729.65381915121</v>
      </c>
      <c r="BV68" s="16">
        <f t="shared" si="189"/>
        <v>124906.36410356843</v>
      </c>
      <c r="BW68" s="16">
        <f t="shared" si="189"/>
        <v>119268.21591464471</v>
      </c>
      <c r="BX68" s="16">
        <f t="shared" si="168"/>
        <v>113811.11474037961</v>
      </c>
      <c r="BY68" s="16">
        <f t="shared" si="149"/>
        <v>108506.0895304641</v>
      </c>
      <c r="BZ68" s="16">
        <f t="shared" si="149"/>
        <v>103340.87372927672</v>
      </c>
      <c r="CA68" s="16">
        <f t="shared" si="149"/>
        <v>98291.528762306916</v>
      </c>
      <c r="CB68" s="16">
        <f t="shared" si="149"/>
        <v>93361.894884230453</v>
      </c>
      <c r="CC68" s="18">
        <f t="shared" si="124"/>
        <v>5.4449434672794483</v>
      </c>
      <c r="CD68" s="18">
        <f t="shared" si="124"/>
        <v>4.622565193887942</v>
      </c>
      <c r="CE68" s="18">
        <f t="shared" si="124"/>
        <v>3.7688758852778697</v>
      </c>
      <c r="CF68" s="18">
        <f t="shared" si="124"/>
        <v>2.882001593014377</v>
      </c>
      <c r="CG68" s="18">
        <f t="shared" si="124"/>
        <v>1.9598169467498949</v>
      </c>
      <c r="CH68" s="18">
        <f t="shared" si="150"/>
        <v>1.0000000000000007</v>
      </c>
      <c r="CI68" s="18">
        <f t="shared" si="150"/>
        <v>0</v>
      </c>
      <c r="CJ68" s="18">
        <f t="shared" si="150"/>
        <v>-1.0428743956620952</v>
      </c>
      <c r="CK68" s="18">
        <f t="shared" si="150"/>
        <v>-2.1314474311066989</v>
      </c>
      <c r="CL68" s="18">
        <f t="shared" si="151"/>
        <v>-3.2687264593293945</v>
      </c>
      <c r="CM68" s="18">
        <f t="shared" si="151"/>
        <v>-4.4579231708087557</v>
      </c>
      <c r="CN68" s="18">
        <f t="shared" si="151"/>
        <v>-5.7026958921788911</v>
      </c>
      <c r="CO68" s="18">
        <f t="shared" si="151"/>
        <v>-7.0070360881572915</v>
      </c>
      <c r="CP68" s="18">
        <f t="shared" si="152"/>
        <v>-8.3752867940590523</v>
      </c>
      <c r="CQ68" s="18">
        <f t="shared" si="153"/>
        <v>-9.8123743000504575</v>
      </c>
      <c r="CR68" s="18">
        <f t="shared" si="154"/>
        <v>-11.323506022029283</v>
      </c>
      <c r="CS68" s="18">
        <f t="shared" si="142"/>
        <v>-12.914402784065995</v>
      </c>
      <c r="CT68" s="18">
        <f t="shared" si="125"/>
        <v>-14.594698773625771</v>
      </c>
      <c r="CU68" s="18">
        <f t="shared" si="125"/>
        <v>-16.374157874497197</v>
      </c>
      <c r="CV68" s="18">
        <f t="shared" si="125"/>
        <v>-18.266687655279011</v>
      </c>
      <c r="CW68" s="18">
        <f t="shared" si="22"/>
        <v>-20.283994730093141</v>
      </c>
      <c r="CX68" s="17">
        <f t="shared" si="190"/>
        <v>1057.8842267388445</v>
      </c>
      <c r="CY68" s="17">
        <f t="shared" si="126"/>
        <v>1104.6113627063899</v>
      </c>
      <c r="CZ68" s="17">
        <f t="shared" si="126"/>
        <v>1153.3199078071334</v>
      </c>
      <c r="DA68" s="17">
        <f t="shared" si="126"/>
        <v>1200.3735508163636</v>
      </c>
      <c r="DB68" s="17">
        <f t="shared" si="126"/>
        <v>1246.2043128696612</v>
      </c>
      <c r="DC68" s="17">
        <f t="shared" si="126"/>
        <v>1285.0036795743104</v>
      </c>
      <c r="DD68" s="17">
        <f t="shared" si="126"/>
        <v>1314.8837894199046</v>
      </c>
      <c r="DE68" s="17">
        <f t="shared" si="126"/>
        <v>1337.4910783213436</v>
      </c>
      <c r="DF68" s="3" t="e">
        <f>#REF!+$AG$35*0.004*(1+$R$28)*#REF!-S68*#REF!</f>
        <v>#REF!</v>
      </c>
      <c r="DG68" s="19">
        <f t="shared" si="191"/>
        <v>2018.5219443775959</v>
      </c>
      <c r="DH68" s="19">
        <f t="shared" si="192"/>
        <v>1920.158944454118</v>
      </c>
      <c r="DI68" s="19">
        <f t="shared" si="193"/>
        <v>1818.2532262619616</v>
      </c>
      <c r="DJ68" s="19">
        <f t="shared" si="194"/>
        <v>1708.8378625547334</v>
      </c>
      <c r="DK68" s="19">
        <f t="shared" si="195"/>
        <v>1591.9699007089484</v>
      </c>
      <c r="DL68" s="19">
        <f t="shared" si="196"/>
        <v>1461.4311711380992</v>
      </c>
      <c r="DM68" s="19">
        <f t="shared" si="197"/>
        <v>1314.8837894199046</v>
      </c>
      <c r="DN68" s="19">
        <f t="shared" si="198"/>
        <v>1153.4993646785779</v>
      </c>
      <c r="DO68" s="173">
        <f t="shared" si="127"/>
        <v>80598.972968603455</v>
      </c>
      <c r="DP68" s="25">
        <f t="shared" si="262"/>
        <v>79541.088741864602</v>
      </c>
      <c r="DQ68" s="26">
        <f t="shared" si="262"/>
        <v>78436.477379158212</v>
      </c>
      <c r="DR68" s="26">
        <f t="shared" si="262"/>
        <v>77283.157471351093</v>
      </c>
      <c r="DS68" s="26">
        <f t="shared" si="262"/>
        <v>76082.783920534741</v>
      </c>
      <c r="DT68" s="26">
        <f t="shared" si="262"/>
        <v>74836.579607665073</v>
      </c>
      <c r="DU68" s="26">
        <f t="shared" si="262"/>
        <v>73551.575928090766</v>
      </c>
      <c r="DV68" s="26">
        <f t="shared" si="262"/>
        <v>72236.692138670856</v>
      </c>
      <c r="DW68" s="26">
        <f t="shared" si="262"/>
        <v>70899.201060349529</v>
      </c>
      <c r="DX68" s="26">
        <f t="shared" si="262"/>
        <v>69544.014517296338</v>
      </c>
      <c r="DY68" s="26">
        <f t="shared" si="262"/>
        <v>68175.46941806782</v>
      </c>
      <c r="DZ68" s="26">
        <f t="shared" si="262"/>
        <v>66791.805416898773</v>
      </c>
      <c r="EA68" s="26">
        <f t="shared" si="262"/>
        <v>65393.182532433275</v>
      </c>
      <c r="EB68" s="26">
        <f t="shared" si="262"/>
        <v>63980.850699294751</v>
      </c>
      <c r="EC68" s="26">
        <f t="shared" si="262"/>
        <v>62554.038207059304</v>
      </c>
      <c r="ED68" s="26">
        <f t="shared" si="262"/>
        <v>61115.240000982594</v>
      </c>
      <c r="EE68" s="26">
        <f t="shared" si="145"/>
        <v>59666.659978071591</v>
      </c>
      <c r="EF68" s="26">
        <f t="shared" si="34"/>
        <v>58185.053037586011</v>
      </c>
      <c r="EG68" s="26">
        <f t="shared" si="34"/>
        <v>56663.171693451171</v>
      </c>
      <c r="EH68" s="26">
        <f t="shared" si="34"/>
        <v>55081.471929218045</v>
      </c>
      <c r="EI68" s="26">
        <f t="shared" si="34"/>
        <v>53447.84694462482</v>
      </c>
      <c r="EJ68" s="26">
        <f t="shared" si="128"/>
        <v>3.1233486795979228E-2</v>
      </c>
      <c r="EK68" s="26">
        <f t="shared" si="128"/>
        <v>2.7605780582255296E-2</v>
      </c>
      <c r="EL68" s="26">
        <f t="shared" si="169"/>
        <v>2.3423941011323338E-2</v>
      </c>
      <c r="EM68" s="26">
        <f t="shared" si="169"/>
        <v>1.8624637259450166E-2</v>
      </c>
      <c r="EN68" s="26">
        <f t="shared" si="169"/>
        <v>1.3155829665534543E-2</v>
      </c>
      <c r="EO68" s="26">
        <f t="shared" si="169"/>
        <v>6.9583515483886025E-3</v>
      </c>
      <c r="EP68" s="26">
        <f t="shared" si="169"/>
        <v>0</v>
      </c>
      <c r="EQ68" s="26">
        <f t="shared" si="169"/>
        <v>-7.740108666377846E-3</v>
      </c>
      <c r="ER68" s="26">
        <f t="shared" si="169"/>
        <v>-1.6290242583404765E-2</v>
      </c>
      <c r="ES68" s="26">
        <f t="shared" si="169"/>
        <v>-2.5692495351416145E-2</v>
      </c>
      <c r="ET68" s="26">
        <f t="shared" si="169"/>
        <v>-3.5993843017337671E-2</v>
      </c>
      <c r="EU68" s="26">
        <f t="shared" si="169"/>
        <v>-4.7287363512652253E-2</v>
      </c>
      <c r="EV68" s="26">
        <f t="shared" si="169"/>
        <v>-5.9662662515402198E-2</v>
      </c>
      <c r="EW68" s="26">
        <f t="shared" si="169"/>
        <v>-7.3210055631570514E-2</v>
      </c>
      <c r="EX68" s="26">
        <f t="shared" si="169"/>
        <v>-8.8046256089182526E-2</v>
      </c>
      <c r="EY68" s="26">
        <f t="shared" si="169"/>
        <v>-0.10427200433691688</v>
      </c>
      <c r="EZ68" s="26">
        <f t="shared" si="146"/>
        <v>-0.12199964811602779</v>
      </c>
      <c r="FA68" s="26">
        <f t="shared" si="146"/>
        <v>-0.14161899075895146</v>
      </c>
      <c r="FB68" s="26">
        <f t="shared" si="146"/>
        <v>-0.16342424468833447</v>
      </c>
      <c r="FC68" s="26">
        <f t="shared" si="146"/>
        <v>-0.18791145311757204</v>
      </c>
      <c r="FD68" s="26">
        <f t="shared" si="146"/>
        <v>-0.2153312013257094</v>
      </c>
      <c r="FE68" s="26">
        <f t="shared" si="130"/>
        <v>5.230114101626433</v>
      </c>
      <c r="FF68" s="26">
        <f t="shared" si="130"/>
        <v>4.4391115622080699</v>
      </c>
      <c r="FG68" s="26">
        <f t="shared" si="130"/>
        <v>3.6184014982234438</v>
      </c>
      <c r="FH68" s="26">
        <f t="shared" si="130"/>
        <v>2.7662355822781999</v>
      </c>
      <c r="FI68" s="26">
        <f t="shared" si="130"/>
        <v>1.880611468648193</v>
      </c>
      <c r="FJ68" s="26">
        <f t="shared" si="157"/>
        <v>0.95934388845317642</v>
      </c>
      <c r="FK68" s="26">
        <f t="shared" si="157"/>
        <v>0</v>
      </c>
      <c r="FL68" s="26">
        <f t="shared" si="157"/>
        <v>-0.99999999999999878</v>
      </c>
      <c r="FM68" s="26">
        <f t="shared" si="157"/>
        <v>-2.0433570637689149</v>
      </c>
      <c r="FN68" s="26">
        <f t="shared" si="157"/>
        <v>-3.1329354706230959</v>
      </c>
      <c r="FO68" s="26">
        <f t="shared" si="170"/>
        <v>-4.2717921282155524</v>
      </c>
      <c r="FP68" s="26">
        <f t="shared" si="158"/>
        <v>-5.4633701610363961</v>
      </c>
      <c r="FQ68" s="26">
        <f t="shared" si="158"/>
        <v>-6.7114379791590268</v>
      </c>
      <c r="FR68" s="26">
        <f t="shared" si="158"/>
        <v>-8.02010297657257</v>
      </c>
      <c r="FS68" s="26">
        <f t="shared" si="158"/>
        <v>-9.3940101310764401</v>
      </c>
      <c r="FT68" s="26">
        <f t="shared" si="159"/>
        <v>-10.838091739919861</v>
      </c>
      <c r="FU68" s="26">
        <f t="shared" si="143"/>
        <v>-12.35776473754955</v>
      </c>
      <c r="FV68" s="26">
        <f t="shared" si="131"/>
        <v>-13.961954361879336</v>
      </c>
      <c r="FW68" s="26">
        <f t="shared" si="131"/>
        <v>-15.659805122018646</v>
      </c>
      <c r="FX68" s="26">
        <f t="shared" si="39"/>
        <v>2753979.4019531519</v>
      </c>
      <c r="FY68" s="26">
        <f t="shared" si="40"/>
        <v>162819.85085005857</v>
      </c>
      <c r="FZ68" s="26">
        <f t="shared" si="132"/>
        <v>0.78517063434698764</v>
      </c>
      <c r="GA68" s="26">
        <f t="shared" si="160"/>
        <v>0.81654636832012661</v>
      </c>
      <c r="GB68" s="26">
        <f t="shared" si="132"/>
        <v>0.84952561294557127</v>
      </c>
      <c r="GC68" s="26">
        <f t="shared" si="132"/>
        <v>0.88423398926382302</v>
      </c>
      <c r="GD68" s="26">
        <f t="shared" si="132"/>
        <v>0.92079452189829691</v>
      </c>
      <c r="GE68" s="26">
        <f t="shared" si="161"/>
        <v>0.95934388845317464</v>
      </c>
      <c r="GF68" s="26">
        <f t="shared" si="161"/>
        <v>1</v>
      </c>
      <c r="GG68" s="26">
        <f t="shared" si="161"/>
        <v>1.0428743956620932</v>
      </c>
      <c r="GH68" s="26">
        <f t="shared" si="161"/>
        <v>1.0880903673377833</v>
      </c>
      <c r="GI68" s="26">
        <f t="shared" si="161"/>
        <v>1.1357909887062907</v>
      </c>
      <c r="GJ68" s="26">
        <f t="shared" si="171"/>
        <v>1.186131042593203</v>
      </c>
      <c r="GK68" s="26">
        <f t="shared" si="162"/>
        <v>1.2393257311424941</v>
      </c>
      <c r="GL68" s="26">
        <f t="shared" si="162"/>
        <v>1.29559810899826</v>
      </c>
      <c r="GM68" s="26">
        <f t="shared" si="162"/>
        <v>1.3551838174864801</v>
      </c>
      <c r="GN68" s="26">
        <f t="shared" si="162"/>
        <v>1.418364168974013</v>
      </c>
      <c r="GO68" s="26">
        <f t="shared" si="163"/>
        <v>1.4854142821094205</v>
      </c>
      <c r="GP68" s="26">
        <f t="shared" si="140"/>
        <v>1.5566380465164436</v>
      </c>
      <c r="GQ68" s="26">
        <f t="shared" si="134"/>
        <v>1.6327444117464323</v>
      </c>
      <c r="GR68" s="26">
        <f t="shared" si="134"/>
        <v>1.7143527524785451</v>
      </c>
      <c r="GS68" s="26">
        <f t="shared" si="134"/>
        <v>1.8024209568430491</v>
      </c>
      <c r="GT68" s="26">
        <f t="shared" si="134"/>
        <v>1.8975912125713237</v>
      </c>
      <c r="GU68" s="26">
        <f t="shared" si="135"/>
        <v>5.4449434672794483</v>
      </c>
      <c r="GV68" s="26">
        <f t="shared" si="164"/>
        <v>4.622565193887942</v>
      </c>
      <c r="GW68" s="26">
        <f t="shared" si="135"/>
        <v>3.7688758852778697</v>
      </c>
      <c r="GX68" s="26">
        <f t="shared" si="135"/>
        <v>2.882001593014377</v>
      </c>
      <c r="GY68" s="26">
        <f t="shared" si="135"/>
        <v>1.9598169467498949</v>
      </c>
      <c r="GZ68" s="26">
        <f t="shared" si="165"/>
        <v>1.0000000000000007</v>
      </c>
      <c r="HA68" s="26">
        <f t="shared" si="165"/>
        <v>0</v>
      </c>
      <c r="HB68" s="26">
        <f t="shared" si="165"/>
        <v>-1.0428743956620952</v>
      </c>
      <c r="HC68" s="26">
        <f t="shared" si="165"/>
        <v>-2.1314474311066989</v>
      </c>
      <c r="HD68" s="26">
        <f t="shared" si="165"/>
        <v>-3.2687264593293945</v>
      </c>
      <c r="HE68" s="26">
        <f t="shared" si="172"/>
        <v>-4.4579231708087557</v>
      </c>
      <c r="HF68" s="26">
        <f t="shared" si="166"/>
        <v>-5.7026958921788911</v>
      </c>
      <c r="HG68" s="26">
        <f t="shared" si="166"/>
        <v>-7.0070360881572915</v>
      </c>
      <c r="HH68" s="26">
        <f t="shared" si="166"/>
        <v>-8.3752867940590523</v>
      </c>
      <c r="HI68" s="26">
        <f t="shared" si="166"/>
        <v>-9.8123743000504575</v>
      </c>
      <c r="HJ68" s="26">
        <f t="shared" si="167"/>
        <v>-11.323506022029283</v>
      </c>
      <c r="HK68" s="26">
        <f t="shared" si="141"/>
        <v>-12.914402784065995</v>
      </c>
      <c r="HL68" s="26">
        <f t="shared" si="137"/>
        <v>-14.594698773625771</v>
      </c>
      <c r="HM68" s="26">
        <f t="shared" si="137"/>
        <v>-16.374157874497197</v>
      </c>
      <c r="HN68" s="26">
        <f t="shared" si="137"/>
        <v>-18.266687655279011</v>
      </c>
      <c r="HO68" s="26">
        <f t="shared" si="137"/>
        <v>-20.283994730093141</v>
      </c>
      <c r="HP68" s="26">
        <f t="shared" si="199"/>
        <v>524135.17550711334</v>
      </c>
      <c r="HQ68" s="26">
        <f t="shared" si="200"/>
        <v>539681.77377204958</v>
      </c>
      <c r="HR68" s="26">
        <f t="shared" si="201"/>
        <v>556037.79198857874</v>
      </c>
      <c r="HS68" s="26">
        <f t="shared" si="202"/>
        <v>573318.23441411625</v>
      </c>
      <c r="HT68" s="26">
        <f t="shared" si="203"/>
        <v>591664.2076591904</v>
      </c>
      <c r="HU68" s="26">
        <f t="shared" si="204"/>
        <v>611235.45995556947</v>
      </c>
      <c r="HV68" s="26">
        <f t="shared" si="205"/>
        <v>632215.9078880985</v>
      </c>
      <c r="HW68" s="26">
        <f t="shared" si="206"/>
        <v>654802.50079228973</v>
      </c>
      <c r="HX68" s="26">
        <f t="shared" si="207"/>
        <v>679203.13676987449</v>
      </c>
      <c r="HY68" s="26">
        <f t="shared" si="208"/>
        <v>705641.91377705359</v>
      </c>
      <c r="HZ68" s="26">
        <f t="shared" si="209"/>
        <v>734361.93580640166</v>
      </c>
      <c r="IA68" s="26">
        <f t="shared" si="210"/>
        <v>765650.58127555577</v>
      </c>
      <c r="IB68" s="26">
        <f t="shared" si="211"/>
        <v>799829.18376689288</v>
      </c>
      <c r="IC68" s="26">
        <f t="shared" si="212"/>
        <v>837254.75016492477</v>
      </c>
      <c r="ID68" s="26">
        <f t="shared" si="213"/>
        <v>878344.88675628742</v>
      </c>
      <c r="IE68" s="26">
        <f t="shared" si="214"/>
        <v>923545.42712529539</v>
      </c>
      <c r="IF68" s="26">
        <f t="shared" si="215"/>
        <v>973355.30692321062</v>
      </c>
      <c r="IG68" s="26">
        <f t="shared" si="216"/>
        <v>1028700.9006743169</v>
      </c>
      <c r="IH68" s="26">
        <f t="shared" si="217"/>
        <v>1090523.4803015934</v>
      </c>
      <c r="II68" s="26">
        <f t="shared" si="218"/>
        <v>-315702211307.42963</v>
      </c>
      <c r="IJ68" s="26">
        <f t="shared" si="219"/>
        <v>544149.80946637259</v>
      </c>
      <c r="IK68" s="26">
        <f t="shared" si="220"/>
        <v>559315.29920899926</v>
      </c>
      <c r="IL68" s="26">
        <f t="shared" si="221"/>
        <v>575360.67557146063</v>
      </c>
      <c r="IM68" s="26">
        <f t="shared" si="222"/>
        <v>592409.1669147528</v>
      </c>
      <c r="IN68" s="26">
        <f t="shared" si="223"/>
        <v>610611.26186025504</v>
      </c>
      <c r="IO68" s="26">
        <f t="shared" si="224"/>
        <v>630137.13371815591</v>
      </c>
      <c r="IP68" s="26">
        <f t="shared" si="225"/>
        <v>651182.38512474147</v>
      </c>
      <c r="IQ68" s="26">
        <f t="shared" si="226"/>
        <v>673956.69944177067</v>
      </c>
      <c r="IR68" s="26">
        <f t="shared" si="227"/>
        <v>698681.75930708239</v>
      </c>
      <c r="IS68" s="26">
        <f t="shared" si="228"/>
        <v>725596.69919254212</v>
      </c>
      <c r="IT68" s="26">
        <f t="shared" si="229"/>
        <v>754961.06686777959</v>
      </c>
      <c r="IU68" s="26">
        <f t="shared" si="230"/>
        <v>787080.8712274991</v>
      </c>
      <c r="IV68" s="26">
        <f t="shared" si="231"/>
        <v>822298.13196775946</v>
      </c>
      <c r="IW68" s="26">
        <f t="shared" si="232"/>
        <v>860992.77719902142</v>
      </c>
      <c r="IX68" s="26">
        <f t="shared" si="233"/>
        <v>903608.43359675759</v>
      </c>
      <c r="IY68" s="26">
        <f t="shared" si="234"/>
        <v>950619.3120110787</v>
      </c>
      <c r="IZ68" s="26">
        <f t="shared" si="235"/>
        <v>1002555.9661309069</v>
      </c>
      <c r="JA68" s="26">
        <f t="shared" si="236"/>
        <v>1060391.2622658086</v>
      </c>
      <c r="JB68" s="26">
        <f t="shared" si="237"/>
        <v>1125116.2300008312</v>
      </c>
      <c r="JC68" s="26">
        <f t="shared" si="238"/>
        <v>-325173274478.33502</v>
      </c>
      <c r="JD68" s="26">
        <f t="shared" si="239"/>
        <v>153205.19703170384</v>
      </c>
      <c r="JE68" s="26">
        <f t="shared" si="240"/>
        <v>244250.45718286873</v>
      </c>
      <c r="JF68" s="26">
        <f t="shared" si="241"/>
        <v>339214.26055372658</v>
      </c>
      <c r="JG68" s="26">
        <f t="shared" si="242"/>
        <v>438433.817711765</v>
      </c>
      <c r="JH68" s="26">
        <f t="shared" si="243"/>
        <v>542283.29388172401</v>
      </c>
      <c r="JI68" s="26">
        <f t="shared" si="244"/>
        <v>651182.38512474147</v>
      </c>
      <c r="JJ68" s="26">
        <f t="shared" si="245"/>
        <v>765577.21956778399</v>
      </c>
      <c r="JK68" s="26">
        <f t="shared" si="246"/>
        <v>885937.6005393042</v>
      </c>
      <c r="JL68" s="26">
        <f t="shared" si="247"/>
        <v>1012766.8700195735</v>
      </c>
      <c r="JM68" s="26">
        <f t="shared" si="248"/>
        <v>1146606.73511913</v>
      </c>
      <c r="JN68" s="26">
        <f t="shared" si="249"/>
        <v>1288084.6027748608</v>
      </c>
      <c r="JO68" s="26">
        <f t="shared" si="250"/>
        <v>1437893.1581848275</v>
      </c>
      <c r="JP68" s="26">
        <f t="shared" si="251"/>
        <v>1596793.8817884675</v>
      </c>
      <c r="JQ68" s="26">
        <f t="shared" si="252"/>
        <v>1765663.1937685097</v>
      </c>
      <c r="JR68" s="26">
        <f t="shared" si="253"/>
        <v>1945432.79645731</v>
      </c>
      <c r="JS68" s="26">
        <f t="shared" si="254"/>
        <v>2137135.8399054091</v>
      </c>
      <c r="JT68" s="26">
        <f t="shared" si="255"/>
        <v>2342591.5907848943</v>
      </c>
      <c r="JU68" s="26">
        <f t="shared" si="256"/>
        <v>2563648.8733633561</v>
      </c>
      <c r="JV68" s="26">
        <f t="shared" si="257"/>
        <v>-325171669679.68341</v>
      </c>
      <c r="JW68" s="26">
        <f t="shared" si="258"/>
        <v>1935232.0212923326</v>
      </c>
      <c r="JX68" s="26" t="e">
        <f>AH68+$AG$38*0.004*(1+$R$28)*#REF!-S68*#REF!</f>
        <v>#REF!</v>
      </c>
      <c r="JY68" s="34">
        <f t="shared" si="259"/>
        <v>5.3496937527253555E-2</v>
      </c>
      <c r="JZ68" s="4">
        <f t="shared" si="260"/>
        <v>46680.171897070948</v>
      </c>
      <c r="KA68" s="165"/>
    </row>
    <row r="69" spans="1:287" ht="15.75" x14ac:dyDescent="0.3">
      <c r="A69" s="34">
        <v>68</v>
      </c>
      <c r="B69" s="34">
        <v>41</v>
      </c>
      <c r="C69" s="2">
        <v>939243</v>
      </c>
      <c r="D69" s="1">
        <f t="shared" si="106"/>
        <v>3584</v>
      </c>
      <c r="E69" s="145">
        <f t="shared" si="107"/>
        <v>0.99618416107439711</v>
      </c>
      <c r="F69" s="146">
        <f t="shared" si="108"/>
        <v>3.815838925602888E-3</v>
      </c>
      <c r="G69" s="158">
        <f t="shared" si="173"/>
        <v>4.7697986570036099E-3</v>
      </c>
      <c r="H69" s="43">
        <f t="shared" si="109"/>
        <v>4410.2444100146267</v>
      </c>
      <c r="I69" s="43">
        <f t="shared" si="139"/>
        <v>924618.5692846718</v>
      </c>
      <c r="J69" s="43">
        <f t="shared" si="110"/>
        <v>937451</v>
      </c>
      <c r="K69" s="147">
        <f>SUM(J69:$J$138)</f>
        <v>33443790.5</v>
      </c>
      <c r="L69" s="147">
        <f t="shared" si="111"/>
        <v>35.607175672323351</v>
      </c>
      <c r="M69" s="43">
        <f t="shared" si="174"/>
        <v>1171813.75</v>
      </c>
      <c r="N69" s="148">
        <f t="shared" si="175"/>
        <v>41804738.125</v>
      </c>
      <c r="O69" s="147">
        <f t="shared" si="6"/>
        <v>44.508969590404192</v>
      </c>
      <c r="P69" s="157">
        <f t="shared" si="176"/>
        <v>225635.93640848066</v>
      </c>
      <c r="Q69" s="43">
        <f t="shared" si="177"/>
        <v>1174053.75</v>
      </c>
      <c r="R69" s="43">
        <f t="shared" si="178"/>
        <v>1057.8842267388445</v>
      </c>
      <c r="S69" s="43">
        <f>SUM(R69:$R$138)</f>
        <v>80598.972968603455</v>
      </c>
      <c r="T69" s="43">
        <f t="shared" si="112"/>
        <v>2186714.6108276052</v>
      </c>
      <c r="U69" s="153">
        <f>SUM(P69:$P$138)</f>
        <v>4329596.2727115229</v>
      </c>
      <c r="V69" s="129">
        <f t="shared" si="179"/>
        <v>2923858.6434593615</v>
      </c>
      <c r="W69" s="43">
        <f t="shared" si="180"/>
        <v>169879.2415062098</v>
      </c>
      <c r="X69" s="26">
        <f t="shared" si="114"/>
        <v>6.2301141016264374</v>
      </c>
      <c r="Y69" s="26">
        <f t="shared" si="115"/>
        <v>0.75289089233848117</v>
      </c>
      <c r="Z69" s="43">
        <f t="shared" si="181"/>
        <v>72236.692138670856</v>
      </c>
      <c r="AA69" s="149">
        <f t="shared" si="116"/>
        <v>3.7060944116605259E-2</v>
      </c>
      <c r="AB69" s="150">
        <f t="shared" si="138"/>
        <v>4103960.3363030413</v>
      </c>
      <c r="AC69" s="150">
        <f t="shared" si="117"/>
        <v>2753979.4019531519</v>
      </c>
      <c r="AD69" s="26">
        <f t="shared" si="118"/>
        <v>5.9830049939649133</v>
      </c>
      <c r="AE69" s="26">
        <f t="shared" si="182"/>
        <v>527984.55299358908</v>
      </c>
      <c r="AF69" s="43">
        <f t="shared" si="183"/>
        <v>84747.172263787768</v>
      </c>
      <c r="AG69" s="43">
        <f t="shared" si="184"/>
        <v>549080.11813272967</v>
      </c>
      <c r="AH69" s="27">
        <f t="shared" si="185"/>
        <v>91976.039493901131</v>
      </c>
      <c r="AI69" s="28">
        <f t="shared" si="186"/>
        <v>590408.72917497822</v>
      </c>
      <c r="AJ69" s="20">
        <f t="shared" si="187"/>
        <v>98898.967197743157</v>
      </c>
      <c r="AK69" s="3">
        <f t="shared" si="188"/>
        <v>8571.2438238044087</v>
      </c>
      <c r="AL69" s="3"/>
      <c r="AM69" s="46">
        <f t="shared" si="121"/>
        <v>4103960.3363030413</v>
      </c>
      <c r="AN69" s="46">
        <f t="shared" si="122"/>
        <v>3886994.4441078454</v>
      </c>
      <c r="AO69" s="46">
        <f t="shared" si="122"/>
        <v>3678451.3364938861</v>
      </c>
      <c r="AP69" s="3">
        <f t="shared" si="261"/>
        <v>3478094.06288487</v>
      </c>
      <c r="AQ69" s="3">
        <f t="shared" si="261"/>
        <v>3285692.0588459154</v>
      </c>
      <c r="AR69" s="16">
        <f t="shared" si="261"/>
        <v>3101021.3547806852</v>
      </c>
      <c r="AS69" s="16">
        <f t="shared" si="261"/>
        <v>2923858.6434593615</v>
      </c>
      <c r="AT69" s="16">
        <f t="shared" si="261"/>
        <v>2753979.4019531519</v>
      </c>
      <c r="AU69" s="16">
        <f t="shared" si="261"/>
        <v>2591159.5511030932</v>
      </c>
      <c r="AV69" s="16">
        <f t="shared" si="261"/>
        <v>2435177.7612465657</v>
      </c>
      <c r="AW69" s="16">
        <f t="shared" si="261"/>
        <v>2285815.9243503674</v>
      </c>
      <c r="AX69" s="16">
        <f t="shared" si="261"/>
        <v>2142865.0383407604</v>
      </c>
      <c r="AY69" s="16">
        <f t="shared" si="261"/>
        <v>2006123.0115572365</v>
      </c>
      <c r="AZ69" s="16">
        <f t="shared" si="261"/>
        <v>1875393.3577380853</v>
      </c>
      <c r="BA69" s="16">
        <f t="shared" si="261"/>
        <v>1750486.9936345171</v>
      </c>
      <c r="BB69" s="16">
        <f t="shared" si="261"/>
        <v>1631218.7777198723</v>
      </c>
      <c r="BC69" s="16">
        <f t="shared" si="144"/>
        <v>1517407.6629794927</v>
      </c>
      <c r="BD69" s="16">
        <f t="shared" si="18"/>
        <v>1408901.5734490284</v>
      </c>
      <c r="BE69" s="16">
        <f t="shared" si="18"/>
        <v>1305560.6997197517</v>
      </c>
      <c r="BF69" s="16">
        <f t="shared" si="18"/>
        <v>1207269.1709574449</v>
      </c>
      <c r="BG69" s="16">
        <f t="shared" si="18"/>
        <v>1113907.2760732146</v>
      </c>
      <c r="BH69" s="172">
        <f t="shared" si="123"/>
        <v>216965.89219519592</v>
      </c>
      <c r="BI69" s="16">
        <f t="shared" si="189"/>
        <v>208543.10761395967</v>
      </c>
      <c r="BJ69" s="16">
        <f t="shared" si="189"/>
        <v>200357.2736090158</v>
      </c>
      <c r="BK69" s="16">
        <f t="shared" si="189"/>
        <v>192402.00403895453</v>
      </c>
      <c r="BL69" s="16">
        <f t="shared" si="189"/>
        <v>184670.70406523009</v>
      </c>
      <c r="BM69" s="16">
        <f t="shared" si="189"/>
        <v>177162.71132132332</v>
      </c>
      <c r="BN69" s="16">
        <f t="shared" si="189"/>
        <v>169879.2415062098</v>
      </c>
      <c r="BO69" s="16">
        <f t="shared" si="189"/>
        <v>162819.85085005857</v>
      </c>
      <c r="BP69" s="16">
        <f t="shared" si="189"/>
        <v>155981.78985652846</v>
      </c>
      <c r="BQ69" s="16">
        <f t="shared" si="189"/>
        <v>149361.83689619804</v>
      </c>
      <c r="BR69" s="16">
        <f t="shared" si="189"/>
        <v>142950.88600960682</v>
      </c>
      <c r="BS69" s="16">
        <f t="shared" si="189"/>
        <v>136742.02678352417</v>
      </c>
      <c r="BT69" s="16">
        <f t="shared" si="189"/>
        <v>130729.65381915121</v>
      </c>
      <c r="BU69" s="16">
        <f t="shared" si="189"/>
        <v>124906.36410356843</v>
      </c>
      <c r="BV69" s="16">
        <f t="shared" si="189"/>
        <v>119268.21591464471</v>
      </c>
      <c r="BW69" s="16">
        <f t="shared" si="189"/>
        <v>113811.11474037961</v>
      </c>
      <c r="BX69" s="16">
        <f t="shared" si="168"/>
        <v>108506.0895304641</v>
      </c>
      <c r="BY69" s="16">
        <f t="shared" si="149"/>
        <v>103340.87372927672</v>
      </c>
      <c r="BZ69" s="16">
        <f t="shared" si="149"/>
        <v>98291.528762306916</v>
      </c>
      <c r="CA69" s="16">
        <f t="shared" si="149"/>
        <v>93361.894884230453</v>
      </c>
      <c r="CB69" s="16">
        <f t="shared" si="149"/>
        <v>88534.201811415609</v>
      </c>
      <c r="CC69" s="18">
        <f t="shared" si="124"/>
        <v>5.4391115622080699</v>
      </c>
      <c r="CD69" s="18">
        <f t="shared" si="124"/>
        <v>4.6184014982234425</v>
      </c>
      <c r="CE69" s="18">
        <f t="shared" si="124"/>
        <v>3.7662355822782017</v>
      </c>
      <c r="CF69" s="18">
        <f t="shared" si="124"/>
        <v>2.8806114686481936</v>
      </c>
      <c r="CG69" s="18">
        <f t="shared" si="124"/>
        <v>1.9593438884531771</v>
      </c>
      <c r="CH69" s="18">
        <f t="shared" si="150"/>
        <v>1.0000000000000018</v>
      </c>
      <c r="CI69" s="18">
        <f t="shared" si="150"/>
        <v>0</v>
      </c>
      <c r="CJ69" s="18">
        <f t="shared" si="150"/>
        <v>-1.0433570637689138</v>
      </c>
      <c r="CK69" s="18">
        <f t="shared" si="150"/>
        <v>-2.1329354706231021</v>
      </c>
      <c r="CL69" s="18">
        <f t="shared" si="151"/>
        <v>-3.2717921282155507</v>
      </c>
      <c r="CM69" s="18">
        <f t="shared" si="151"/>
        <v>-4.4633701610363952</v>
      </c>
      <c r="CN69" s="18">
        <f t="shared" si="151"/>
        <v>-5.7114379791590295</v>
      </c>
      <c r="CO69" s="18">
        <f t="shared" si="151"/>
        <v>-7.0201029765725691</v>
      </c>
      <c r="CP69" s="18">
        <f t="shared" si="152"/>
        <v>-8.3940101310764419</v>
      </c>
      <c r="CQ69" s="18">
        <f t="shared" si="153"/>
        <v>-9.8380917399198591</v>
      </c>
      <c r="CR69" s="18">
        <f t="shared" si="154"/>
        <v>-11.35776473754955</v>
      </c>
      <c r="CS69" s="18">
        <f t="shared" si="142"/>
        <v>-12.961954361879336</v>
      </c>
      <c r="CT69" s="18">
        <f t="shared" si="125"/>
        <v>-14.659805122018648</v>
      </c>
      <c r="CU69" s="18">
        <f t="shared" si="125"/>
        <v>-16.464266698435956</v>
      </c>
      <c r="CV69" s="18">
        <f t="shared" si="125"/>
        <v>-18.386403517521813</v>
      </c>
      <c r="CW69" s="18">
        <f t="shared" si="22"/>
        <v>-20.44352725110096</v>
      </c>
      <c r="CX69" s="17">
        <f t="shared" si="190"/>
        <v>1104.6113627063899</v>
      </c>
      <c r="CY69" s="17">
        <f t="shared" si="126"/>
        <v>1153.3199078071334</v>
      </c>
      <c r="CZ69" s="17">
        <f t="shared" si="126"/>
        <v>1200.3735508163636</v>
      </c>
      <c r="DA69" s="17">
        <f t="shared" si="126"/>
        <v>1246.2043128696612</v>
      </c>
      <c r="DB69" s="17">
        <f t="shared" si="126"/>
        <v>1285.0036795743104</v>
      </c>
      <c r="DC69" s="17">
        <f t="shared" si="126"/>
        <v>1314.8837894199046</v>
      </c>
      <c r="DD69" s="17">
        <f t="shared" ref="DD69:DE92" si="263">DC70</f>
        <v>1337.4910783213436</v>
      </c>
      <c r="DE69" s="17">
        <f t="shared" si="263"/>
        <v>1355.1865430531943</v>
      </c>
      <c r="DF69" s="3" t="e">
        <f>#REF!+$AG$35*0.004*(1+$R$28)*#REF!-S69*#REF!</f>
        <v>#REF!</v>
      </c>
      <c r="DG69" s="19">
        <f t="shared" si="191"/>
        <v>2070.1606027820944</v>
      </c>
      <c r="DH69" s="19">
        <f t="shared" si="192"/>
        <v>1973.1769756338203</v>
      </c>
      <c r="DI69" s="19">
        <f t="shared" si="193"/>
        <v>1868.9544142209234</v>
      </c>
      <c r="DJ69" s="19">
        <f t="shared" si="194"/>
        <v>1757.5694839450441</v>
      </c>
      <c r="DK69" s="19">
        <f t="shared" si="195"/>
        <v>1632.8257422228885</v>
      </c>
      <c r="DL69" s="19">
        <f t="shared" si="196"/>
        <v>1492.4034503116789</v>
      </c>
      <c r="DM69" s="19">
        <f t="shared" si="197"/>
        <v>1337.4910783213436</v>
      </c>
      <c r="DN69" s="19">
        <f t="shared" si="198"/>
        <v>1169.9701509038996</v>
      </c>
      <c r="DO69" s="173">
        <f t="shared" si="127"/>
        <v>79541.088741864602</v>
      </c>
      <c r="DP69" s="25">
        <f t="shared" si="262"/>
        <v>78436.477379158212</v>
      </c>
      <c r="DQ69" s="26">
        <f t="shared" si="262"/>
        <v>77283.157471351093</v>
      </c>
      <c r="DR69" s="26">
        <f t="shared" si="262"/>
        <v>76082.783920534741</v>
      </c>
      <c r="DS69" s="26">
        <f t="shared" si="262"/>
        <v>74836.579607665073</v>
      </c>
      <c r="DT69" s="26">
        <f t="shared" si="262"/>
        <v>73551.575928090766</v>
      </c>
      <c r="DU69" s="26">
        <f t="shared" si="262"/>
        <v>72236.692138670856</v>
      </c>
      <c r="DV69" s="26">
        <f t="shared" si="262"/>
        <v>70899.201060349529</v>
      </c>
      <c r="DW69" s="26">
        <f t="shared" si="262"/>
        <v>69544.014517296338</v>
      </c>
      <c r="DX69" s="26">
        <f t="shared" si="262"/>
        <v>68175.46941806782</v>
      </c>
      <c r="DY69" s="26">
        <f t="shared" si="262"/>
        <v>66791.805416898773</v>
      </c>
      <c r="DZ69" s="26">
        <f t="shared" si="262"/>
        <v>65393.182532433275</v>
      </c>
      <c r="EA69" s="26">
        <f t="shared" si="262"/>
        <v>63980.850699294751</v>
      </c>
      <c r="EB69" s="26">
        <f t="shared" si="262"/>
        <v>62554.038207059304</v>
      </c>
      <c r="EC69" s="26">
        <f t="shared" si="262"/>
        <v>61115.240000982594</v>
      </c>
      <c r="ED69" s="26">
        <f t="shared" si="262"/>
        <v>59666.659978071591</v>
      </c>
      <c r="EE69" s="26">
        <f t="shared" si="145"/>
        <v>58185.053037586011</v>
      </c>
      <c r="EF69" s="26">
        <f t="shared" si="34"/>
        <v>56663.171693451171</v>
      </c>
      <c r="EG69" s="26">
        <f t="shared" si="34"/>
        <v>55081.471929218045</v>
      </c>
      <c r="EH69" s="26">
        <f t="shared" si="34"/>
        <v>53447.84694462482</v>
      </c>
      <c r="EI69" s="26">
        <f t="shared" si="34"/>
        <v>51748.336585876787</v>
      </c>
      <c r="EJ69" s="26">
        <f t="shared" si="128"/>
        <v>3.3666105438463385E-2</v>
      </c>
      <c r="EK69" s="26">
        <f t="shared" si="128"/>
        <v>2.9729034497577172E-2</v>
      </c>
      <c r="EL69" s="26">
        <f t="shared" si="169"/>
        <v>2.5187332816916274E-2</v>
      </c>
      <c r="EM69" s="26">
        <f t="shared" si="169"/>
        <v>1.9989873811736329E-2</v>
      </c>
      <c r="EN69" s="26">
        <f t="shared" si="169"/>
        <v>1.4078505208253685E-2</v>
      </c>
      <c r="EO69" s="26">
        <f t="shared" si="169"/>
        <v>7.4218992225462176E-3</v>
      </c>
      <c r="EP69" s="26">
        <f t="shared" si="169"/>
        <v>0</v>
      </c>
      <c r="EQ69" s="26">
        <f t="shared" si="169"/>
        <v>-8.2145455320004439E-3</v>
      </c>
      <c r="ER69" s="26">
        <f t="shared" si="169"/>
        <v>-1.7262769095361927E-2</v>
      </c>
      <c r="ES69" s="26">
        <f t="shared" si="169"/>
        <v>-2.7190497954477245E-2</v>
      </c>
      <c r="ET69" s="26">
        <f t="shared" si="169"/>
        <v>-3.8089212832204254E-2</v>
      </c>
      <c r="EU69" s="26">
        <f t="shared" si="169"/>
        <v>-5.0046863917495667E-2</v>
      </c>
      <c r="EV69" s="26">
        <f t="shared" si="169"/>
        <v>-6.3152017910160396E-2</v>
      </c>
      <c r="EW69" s="26">
        <f t="shared" si="169"/>
        <v>-7.7519300166186897E-2</v>
      </c>
      <c r="EX69" s="26">
        <f t="shared" si="169"/>
        <v>-9.3247409231369927E-2</v>
      </c>
      <c r="EY69" s="26">
        <f t="shared" si="169"/>
        <v>-0.11044643740880153</v>
      </c>
      <c r="EZ69" s="26">
        <f t="shared" si="146"/>
        <v>-0.12950092627879392</v>
      </c>
      <c r="FA69" s="26">
        <f t="shared" si="146"/>
        <v>-0.15070049132754398</v>
      </c>
      <c r="FB69" s="26">
        <f t="shared" si="146"/>
        <v>-0.1745340664192776</v>
      </c>
      <c r="FC69" s="26">
        <f t="shared" si="146"/>
        <v>-0.20124747058041575</v>
      </c>
      <c r="FD69" s="26">
        <f t="shared" si="146"/>
        <v>-0.2314174085675475</v>
      </c>
      <c r="FE69" s="26">
        <f t="shared" si="130"/>
        <v>5.2220882770613697</v>
      </c>
      <c r="FF69" s="26">
        <f t="shared" si="130"/>
        <v>4.4330016231083098</v>
      </c>
      <c r="FG69" s="26">
        <f t="shared" si="130"/>
        <v>3.6141171612505607</v>
      </c>
      <c r="FH69" s="26">
        <f t="shared" si="130"/>
        <v>2.7635505126293314</v>
      </c>
      <c r="FI69" s="26">
        <f t="shared" si="130"/>
        <v>1.879247466912509</v>
      </c>
      <c r="FJ69" s="26">
        <f t="shared" si="157"/>
        <v>0.95888824594751454</v>
      </c>
      <c r="FK69" s="26">
        <f t="shared" si="157"/>
        <v>0</v>
      </c>
      <c r="FL69" s="26">
        <f t="shared" si="157"/>
        <v>-1.0000000000000009</v>
      </c>
      <c r="FM69" s="26">
        <f t="shared" si="157"/>
        <v>-2.0438388416995275</v>
      </c>
      <c r="FN69" s="26">
        <f t="shared" si="157"/>
        <v>-3.1344250133194596</v>
      </c>
      <c r="FO69" s="26">
        <f t="shared" si="170"/>
        <v>-4.2749952845435484</v>
      </c>
      <c r="FP69" s="26">
        <f t="shared" si="158"/>
        <v>-5.4691041809687686</v>
      </c>
      <c r="FQ69" s="26">
        <f t="shared" si="158"/>
        <v>-6.720633142886502</v>
      </c>
      <c r="FR69" s="26">
        <f t="shared" si="158"/>
        <v>-8.0339574009741455</v>
      </c>
      <c r="FS69" s="26">
        <f t="shared" si="158"/>
        <v>-9.4137454444425721</v>
      </c>
      <c r="FT69" s="26">
        <f t="shared" si="159"/>
        <v>-10.865122811550231</v>
      </c>
      <c r="FU69" s="26">
        <f t="shared" si="143"/>
        <v>-12.396334936819194</v>
      </c>
      <c r="FV69" s="26">
        <f t="shared" si="131"/>
        <v>-14.015932418259201</v>
      </c>
      <c r="FW69" s="26">
        <f t="shared" si="131"/>
        <v>-15.735946428669683</v>
      </c>
      <c r="FX69" s="26">
        <f t="shared" si="39"/>
        <v>2591159.5511030932</v>
      </c>
      <c r="FY69" s="26">
        <f t="shared" si="40"/>
        <v>155981.78985652846</v>
      </c>
      <c r="FZ69" s="26">
        <f t="shared" si="132"/>
        <v>0.78297671485330023</v>
      </c>
      <c r="GA69" s="26">
        <f t="shared" si="160"/>
        <v>0.81460012488486699</v>
      </c>
      <c r="GB69" s="26">
        <f t="shared" si="132"/>
        <v>0.8478815789723616</v>
      </c>
      <c r="GC69" s="26">
        <f t="shared" si="132"/>
        <v>0.8829390439811392</v>
      </c>
      <c r="GD69" s="26">
        <f t="shared" si="132"/>
        <v>0.91990357845933379</v>
      </c>
      <c r="GE69" s="26">
        <f t="shared" si="161"/>
        <v>0.95888824594751565</v>
      </c>
      <c r="GF69" s="26">
        <f t="shared" si="161"/>
        <v>1</v>
      </c>
      <c r="GG69" s="26">
        <f t="shared" si="161"/>
        <v>1.0433570637689151</v>
      </c>
      <c r="GH69" s="26">
        <f t="shared" si="161"/>
        <v>1.0890966289235697</v>
      </c>
      <c r="GI69" s="26">
        <f t="shared" si="161"/>
        <v>1.1373671148960944</v>
      </c>
      <c r="GJ69" s="26">
        <f t="shared" si="171"/>
        <v>1.1883748764928488</v>
      </c>
      <c r="GK69" s="26">
        <f t="shared" si="162"/>
        <v>1.2423337981902598</v>
      </c>
      <c r="GL69" s="26">
        <f t="shared" si="162"/>
        <v>1.2994698336860691</v>
      </c>
      <c r="GM69" s="26">
        <f t="shared" si="162"/>
        <v>1.3600527301022971</v>
      </c>
      <c r="GN69" s="26">
        <f t="shared" si="162"/>
        <v>1.4243462954772903</v>
      </c>
      <c r="GO69" s="26">
        <f t="shared" si="163"/>
        <v>1.49264192599932</v>
      </c>
      <c r="GP69" s="26">
        <f t="shared" si="140"/>
        <v>1.5656194250601447</v>
      </c>
      <c r="GQ69" s="26">
        <f t="shared" si="134"/>
        <v>1.6438727037594478</v>
      </c>
      <c r="GR69" s="26">
        <f t="shared" si="134"/>
        <v>1.7283202697662743</v>
      </c>
      <c r="GS69" s="26">
        <f t="shared" si="134"/>
        <v>1.8195779093479358</v>
      </c>
      <c r="GT69" s="26">
        <f t="shared" si="134"/>
        <v>1.9187979112079774</v>
      </c>
      <c r="GU69" s="26">
        <f t="shared" si="135"/>
        <v>5.4391115622080699</v>
      </c>
      <c r="GV69" s="26">
        <f t="shared" si="164"/>
        <v>4.6184014982234425</v>
      </c>
      <c r="GW69" s="26">
        <f t="shared" si="135"/>
        <v>3.7662355822782017</v>
      </c>
      <c r="GX69" s="26">
        <f t="shared" si="135"/>
        <v>2.8806114686481936</v>
      </c>
      <c r="GY69" s="26">
        <f t="shared" si="135"/>
        <v>1.9593438884531771</v>
      </c>
      <c r="GZ69" s="26">
        <f t="shared" si="165"/>
        <v>1.0000000000000018</v>
      </c>
      <c r="HA69" s="26">
        <f t="shared" si="165"/>
        <v>0</v>
      </c>
      <c r="HB69" s="26">
        <f t="shared" si="165"/>
        <v>-1.0433570637689138</v>
      </c>
      <c r="HC69" s="26">
        <f t="shared" si="165"/>
        <v>-2.1329354706231021</v>
      </c>
      <c r="HD69" s="26">
        <f t="shared" si="165"/>
        <v>-3.2717921282155507</v>
      </c>
      <c r="HE69" s="26">
        <f t="shared" si="172"/>
        <v>-4.4633701610363952</v>
      </c>
      <c r="HF69" s="26">
        <f t="shared" si="166"/>
        <v>-5.7114379791590295</v>
      </c>
      <c r="HG69" s="26">
        <f t="shared" si="166"/>
        <v>-7.0201029765725691</v>
      </c>
      <c r="HH69" s="26">
        <f t="shared" si="166"/>
        <v>-8.3940101310764419</v>
      </c>
      <c r="HI69" s="26">
        <f t="shared" si="166"/>
        <v>-9.8380917399198591</v>
      </c>
      <c r="HJ69" s="26">
        <f t="shared" si="167"/>
        <v>-11.35776473754955</v>
      </c>
      <c r="HK69" s="26">
        <f t="shared" si="141"/>
        <v>-12.961954361879336</v>
      </c>
      <c r="HL69" s="26">
        <f t="shared" si="137"/>
        <v>-14.659805122018648</v>
      </c>
      <c r="HM69" s="26">
        <f t="shared" si="137"/>
        <v>-16.464266698435956</v>
      </c>
      <c r="HN69" s="26">
        <f t="shared" si="137"/>
        <v>-18.386403517521813</v>
      </c>
      <c r="HO69" s="26">
        <f t="shared" si="137"/>
        <v>-20.44352725110096</v>
      </c>
      <c r="HP69" s="26">
        <f t="shared" si="199"/>
        <v>524943.14485315932</v>
      </c>
      <c r="HQ69" s="26">
        <f t="shared" si="200"/>
        <v>540280.77662110166</v>
      </c>
      <c r="HR69" s="26">
        <f t="shared" si="201"/>
        <v>556441.53497814841</v>
      </c>
      <c r="HS69" s="26">
        <f t="shared" si="202"/>
        <v>573555.84246971074</v>
      </c>
      <c r="HT69" s="26">
        <f t="shared" si="203"/>
        <v>591771.32179307181</v>
      </c>
      <c r="HU69" s="26">
        <f t="shared" si="204"/>
        <v>611262.02926023956</v>
      </c>
      <c r="HV69" s="26">
        <f t="shared" si="205"/>
        <v>632215.9078880985</v>
      </c>
      <c r="HW69" s="26">
        <f t="shared" si="206"/>
        <v>654830.63782126643</v>
      </c>
      <c r="HX69" s="26">
        <f t="shared" si="207"/>
        <v>679317.9750061892</v>
      </c>
      <c r="HY69" s="26">
        <f t="shared" si="208"/>
        <v>705907.48407459236</v>
      </c>
      <c r="HZ69" s="26">
        <f t="shared" si="209"/>
        <v>734866.24847974326</v>
      </c>
      <c r="IA69" s="26">
        <f t="shared" si="210"/>
        <v>766494.55992040131</v>
      </c>
      <c r="IB69" s="26">
        <f t="shared" si="211"/>
        <v>801127.10103784339</v>
      </c>
      <c r="IC69" s="26">
        <f t="shared" si="212"/>
        <v>839154.09840771812</v>
      </c>
      <c r="ID69" s="26">
        <f t="shared" si="213"/>
        <v>880994.87948938843</v>
      </c>
      <c r="IE69" s="26">
        <f t="shared" si="214"/>
        <v>927118.75992232561</v>
      </c>
      <c r="IF69" s="26">
        <f t="shared" si="215"/>
        <v>978376.41068823414</v>
      </c>
      <c r="IG69" s="26">
        <f t="shared" si="216"/>
        <v>1035643.8147190338</v>
      </c>
      <c r="IH69" s="26">
        <f t="shared" si="217"/>
        <v>1100216.2856060145</v>
      </c>
      <c r="II69" s="26">
        <f t="shared" si="218"/>
        <v>-297037419125.85663</v>
      </c>
      <c r="IJ69" s="26">
        <f t="shared" si="219"/>
        <v>544977.42239097424</v>
      </c>
      <c r="IK69" s="26">
        <f t="shared" si="220"/>
        <v>559929.17085575534</v>
      </c>
      <c r="IL69" s="26">
        <f t="shared" si="221"/>
        <v>575774.68016096391</v>
      </c>
      <c r="IM69" s="26">
        <f t="shared" si="222"/>
        <v>592652.99090820795</v>
      </c>
      <c r="IN69" s="26">
        <f t="shared" si="223"/>
        <v>610721.30045681889</v>
      </c>
      <c r="IO69" s="26">
        <f t="shared" si="224"/>
        <v>630164.5001019662</v>
      </c>
      <c r="IP69" s="26">
        <f t="shared" si="225"/>
        <v>651182.38512474147</v>
      </c>
      <c r="IQ69" s="26">
        <f t="shared" si="226"/>
        <v>673985.45385469438</v>
      </c>
      <c r="IR69" s="26">
        <f t="shared" si="227"/>
        <v>698799.41613355849</v>
      </c>
      <c r="IS69" s="26">
        <f t="shared" si="228"/>
        <v>725869.09757160197</v>
      </c>
      <c r="IT69" s="26">
        <f t="shared" si="229"/>
        <v>755478.75954100501</v>
      </c>
      <c r="IU69" s="26">
        <f t="shared" si="230"/>
        <v>787947.80963531276</v>
      </c>
      <c r="IV69" s="26">
        <f t="shared" si="231"/>
        <v>823632.14117110637</v>
      </c>
      <c r="IW69" s="26">
        <f t="shared" si="232"/>
        <v>862946.02169555996</v>
      </c>
      <c r="IX69" s="26">
        <f t="shared" si="233"/>
        <v>906335.07769752492</v>
      </c>
      <c r="IY69" s="26">
        <f t="shared" si="234"/>
        <v>954297.9312608781</v>
      </c>
      <c r="IZ69" s="26">
        <f t="shared" si="235"/>
        <v>1007727.7030088812</v>
      </c>
      <c r="JA69" s="26">
        <f t="shared" si="236"/>
        <v>1067546.1633591335</v>
      </c>
      <c r="JB69" s="26">
        <f t="shared" si="237"/>
        <v>1135110.1490547599</v>
      </c>
      <c r="JC69" s="26">
        <f t="shared" si="238"/>
        <v>-305948538510.55035</v>
      </c>
      <c r="JD69" s="26">
        <f t="shared" si="239"/>
        <v>152894.50040455331</v>
      </c>
      <c r="JE69" s="26">
        <f t="shared" si="240"/>
        <v>243844.14972442819</v>
      </c>
      <c r="JF69" s="26">
        <f t="shared" si="241"/>
        <v>338775.37972819281</v>
      </c>
      <c r="JG69" s="26">
        <f t="shared" si="242"/>
        <v>438037.98259372328</v>
      </c>
      <c r="JH69" s="26">
        <f t="shared" si="243"/>
        <v>542031.26382794871</v>
      </c>
      <c r="JI69" s="26">
        <f t="shared" si="244"/>
        <v>651182.38512474147</v>
      </c>
      <c r="JJ69" s="26">
        <f t="shared" si="245"/>
        <v>765939.88847400504</v>
      </c>
      <c r="JK69" s="26">
        <f t="shared" si="246"/>
        <v>886781.92192321667</v>
      </c>
      <c r="JL69" s="26">
        <f t="shared" si="247"/>
        <v>1014222.7262470929</v>
      </c>
      <c r="JM69" s="26">
        <f t="shared" si="248"/>
        <v>1148850.0165220243</v>
      </c>
      <c r="JN69" s="26">
        <f t="shared" si="249"/>
        <v>1291315.3225169312</v>
      </c>
      <c r="JO69" s="26">
        <f t="shared" si="250"/>
        <v>1442336.5354733085</v>
      </c>
      <c r="JP69" s="26">
        <f t="shared" si="251"/>
        <v>1602737.2998642148</v>
      </c>
      <c r="JQ69" s="26">
        <f t="shared" si="252"/>
        <v>1773397.9414973394</v>
      </c>
      <c r="JR69" s="26">
        <f t="shared" si="253"/>
        <v>1955294.4944200343</v>
      </c>
      <c r="JS69" s="26">
        <f t="shared" si="254"/>
        <v>2150106.6893574214</v>
      </c>
      <c r="JT69" s="26">
        <f t="shared" si="255"/>
        <v>2359562.2319090515</v>
      </c>
      <c r="JU69" s="26">
        <f t="shared" si="256"/>
        <v>2586159.2560664504</v>
      </c>
      <c r="JV69" s="26">
        <f t="shared" si="257"/>
        <v>-305946918057.30493</v>
      </c>
      <c r="JW69" s="26">
        <f t="shared" si="258"/>
        <v>1954648.7179001451</v>
      </c>
      <c r="JX69" s="26" t="e">
        <f>AH69+$AG$38*0.004*(1+$R$28)*#REF!-S69*#REF!</f>
        <v>#REF!</v>
      </c>
      <c r="JY69" s="34">
        <f t="shared" si="259"/>
        <v>5.3815838925602891E-2</v>
      </c>
      <c r="JZ69" s="4">
        <f t="shared" si="260"/>
        <v>46520.940270385821</v>
      </c>
      <c r="KA69" s="165"/>
    </row>
    <row r="70" spans="1:287" ht="15.75" x14ac:dyDescent="0.3">
      <c r="A70" s="34">
        <v>69</v>
      </c>
      <c r="B70" s="34">
        <v>42</v>
      </c>
      <c r="C70" s="2">
        <v>935659</v>
      </c>
      <c r="D70" s="1">
        <f t="shared" si="106"/>
        <v>3877</v>
      </c>
      <c r="E70" s="145">
        <f t="shared" si="107"/>
        <v>0.99585639640082546</v>
      </c>
      <c r="F70" s="146">
        <f t="shared" si="108"/>
        <v>4.143603599174539E-3</v>
      </c>
      <c r="G70" s="158">
        <f t="shared" si="173"/>
        <v>5.1795044989681738E-3</v>
      </c>
      <c r="H70" s="43">
        <f t="shared" si="109"/>
        <v>4766.2231586762537</v>
      </c>
      <c r="I70" s="43">
        <f t="shared" si="139"/>
        <v>920208.32487465721</v>
      </c>
      <c r="J70" s="43">
        <f t="shared" si="110"/>
        <v>933720.5</v>
      </c>
      <c r="K70" s="147">
        <f>SUM(J70:$J$138)</f>
        <v>32506339.5</v>
      </c>
      <c r="L70" s="147">
        <f t="shared" si="111"/>
        <v>34.741652140363101</v>
      </c>
      <c r="M70" s="43">
        <f t="shared" si="174"/>
        <v>1167150.625</v>
      </c>
      <c r="N70" s="148">
        <f t="shared" si="175"/>
        <v>40632924.375</v>
      </c>
      <c r="O70" s="147">
        <f t="shared" si="6"/>
        <v>43.427065175453876</v>
      </c>
      <c r="P70" s="157">
        <f t="shared" si="176"/>
        <v>216965.89219519592</v>
      </c>
      <c r="Q70" s="43">
        <f t="shared" si="177"/>
        <v>1169573.75</v>
      </c>
      <c r="R70" s="43">
        <f t="shared" si="178"/>
        <v>1104.6113627063899</v>
      </c>
      <c r="S70" s="43">
        <f>SUM(R70:$R$138)</f>
        <v>79541.088741864602</v>
      </c>
      <c r="T70" s="43">
        <f t="shared" si="112"/>
        <v>2106115.6378590013</v>
      </c>
      <c r="U70" s="153">
        <f>SUM(P70:$P$138)</f>
        <v>4103960.3363030413</v>
      </c>
      <c r="V70" s="129">
        <f t="shared" si="179"/>
        <v>2753979.4019531519</v>
      </c>
      <c r="W70" s="43">
        <f t="shared" si="180"/>
        <v>162819.85085005857</v>
      </c>
      <c r="X70" s="26">
        <f t="shared" si="114"/>
        <v>6.2220882770613697</v>
      </c>
      <c r="Y70" s="26">
        <f t="shared" si="115"/>
        <v>0.75043984657079543</v>
      </c>
      <c r="Z70" s="43">
        <f t="shared" si="181"/>
        <v>70899.201060349529</v>
      </c>
      <c r="AA70" s="149">
        <f t="shared" si="116"/>
        <v>3.9830627727146607E-2</v>
      </c>
      <c r="AB70" s="150">
        <f t="shared" si="138"/>
        <v>3886994.4441078454</v>
      </c>
      <c r="AC70" s="150">
        <f t="shared" si="117"/>
        <v>2591159.5511030932</v>
      </c>
      <c r="AD70" s="26">
        <f t="shared" si="118"/>
        <v>5.9725281236321655</v>
      </c>
      <c r="AE70" s="26">
        <f t="shared" si="182"/>
        <v>529063.34111346514</v>
      </c>
      <c r="AF70" s="43">
        <f t="shared" si="183"/>
        <v>85029.867394188841</v>
      </c>
      <c r="AG70" s="43">
        <f t="shared" si="184"/>
        <v>550184.4989185991</v>
      </c>
      <c r="AH70" s="27">
        <f t="shared" si="185"/>
        <v>92267.215478214232</v>
      </c>
      <c r="AI70" s="28">
        <f t="shared" si="186"/>
        <v>591596.23539634317</v>
      </c>
      <c r="AJ70" s="20">
        <f t="shared" si="187"/>
        <v>99212.059653993798</v>
      </c>
      <c r="AK70" s="3">
        <f t="shared" si="188"/>
        <v>8598.3785033461299</v>
      </c>
      <c r="AL70" s="3"/>
      <c r="AM70" s="46">
        <f t="shared" si="121"/>
        <v>3886994.4441078454</v>
      </c>
      <c r="AN70" s="46">
        <f t="shared" si="122"/>
        <v>3678451.3364938861</v>
      </c>
      <c r="AO70" s="46">
        <f t="shared" si="122"/>
        <v>3478094.06288487</v>
      </c>
      <c r="AP70" s="3">
        <f t="shared" si="261"/>
        <v>3285692.0588459154</v>
      </c>
      <c r="AQ70" s="3">
        <f t="shared" si="261"/>
        <v>3101021.3547806852</v>
      </c>
      <c r="AR70" s="16">
        <f t="shared" si="261"/>
        <v>2923858.6434593615</v>
      </c>
      <c r="AS70" s="16">
        <f t="shared" si="261"/>
        <v>2753979.4019531519</v>
      </c>
      <c r="AT70" s="16">
        <f t="shared" si="261"/>
        <v>2591159.5511030932</v>
      </c>
      <c r="AU70" s="16">
        <f t="shared" si="261"/>
        <v>2435177.7612465657</v>
      </c>
      <c r="AV70" s="16">
        <f t="shared" si="261"/>
        <v>2285815.9243503674</v>
      </c>
      <c r="AW70" s="16">
        <f t="shared" si="261"/>
        <v>2142865.0383407604</v>
      </c>
      <c r="AX70" s="16">
        <f t="shared" si="261"/>
        <v>2006123.0115572365</v>
      </c>
      <c r="AY70" s="16">
        <f t="shared" si="261"/>
        <v>1875393.3577380853</v>
      </c>
      <c r="AZ70" s="16">
        <f t="shared" si="261"/>
        <v>1750486.9936345171</v>
      </c>
      <c r="BA70" s="16">
        <f t="shared" si="261"/>
        <v>1631218.7777198723</v>
      </c>
      <c r="BB70" s="16">
        <f t="shared" si="261"/>
        <v>1517407.6629794927</v>
      </c>
      <c r="BC70" s="16">
        <f t="shared" si="144"/>
        <v>1408901.5734490284</v>
      </c>
      <c r="BD70" s="16">
        <f t="shared" si="18"/>
        <v>1305560.6997197517</v>
      </c>
      <c r="BE70" s="16">
        <f t="shared" si="18"/>
        <v>1207269.1709574449</v>
      </c>
      <c r="BF70" s="16">
        <f t="shared" si="18"/>
        <v>1113907.2760732146</v>
      </c>
      <c r="BG70" s="16">
        <f t="shared" si="18"/>
        <v>1025373.0742617993</v>
      </c>
      <c r="BH70" s="172">
        <f t="shared" si="123"/>
        <v>208543.10761395967</v>
      </c>
      <c r="BI70" s="16">
        <f t="shared" si="189"/>
        <v>200357.2736090158</v>
      </c>
      <c r="BJ70" s="16">
        <f t="shared" si="189"/>
        <v>192402.00403895453</v>
      </c>
      <c r="BK70" s="16">
        <f t="shared" si="189"/>
        <v>184670.70406523009</v>
      </c>
      <c r="BL70" s="16">
        <f t="shared" si="189"/>
        <v>177162.71132132332</v>
      </c>
      <c r="BM70" s="16">
        <f t="shared" si="189"/>
        <v>169879.2415062098</v>
      </c>
      <c r="BN70" s="16">
        <f t="shared" si="189"/>
        <v>162819.85085005857</v>
      </c>
      <c r="BO70" s="16">
        <f t="shared" si="189"/>
        <v>155981.78985652846</v>
      </c>
      <c r="BP70" s="16">
        <f t="shared" si="189"/>
        <v>149361.83689619804</v>
      </c>
      <c r="BQ70" s="16">
        <f t="shared" si="189"/>
        <v>142950.88600960682</v>
      </c>
      <c r="BR70" s="16">
        <f t="shared" si="189"/>
        <v>136742.02678352417</v>
      </c>
      <c r="BS70" s="16">
        <f t="shared" si="189"/>
        <v>130729.65381915121</v>
      </c>
      <c r="BT70" s="16">
        <f t="shared" si="189"/>
        <v>124906.36410356843</v>
      </c>
      <c r="BU70" s="16">
        <f t="shared" si="189"/>
        <v>119268.21591464471</v>
      </c>
      <c r="BV70" s="16">
        <f t="shared" si="189"/>
        <v>113811.11474037961</v>
      </c>
      <c r="BW70" s="16">
        <f t="shared" si="189"/>
        <v>108506.0895304641</v>
      </c>
      <c r="BX70" s="16">
        <f t="shared" si="168"/>
        <v>103340.87372927672</v>
      </c>
      <c r="BY70" s="16">
        <f t="shared" si="149"/>
        <v>98291.528762306916</v>
      </c>
      <c r="BZ70" s="16">
        <f t="shared" si="149"/>
        <v>93361.894884230453</v>
      </c>
      <c r="CA70" s="16">
        <f t="shared" si="149"/>
        <v>88534.201811415609</v>
      </c>
      <c r="CB70" s="16">
        <f t="shared" si="149"/>
        <v>83813.814528146351</v>
      </c>
      <c r="CC70" s="18">
        <f t="shared" si="124"/>
        <v>5.433001623108308</v>
      </c>
      <c r="CD70" s="18">
        <f t="shared" si="124"/>
        <v>4.6141171612505625</v>
      </c>
      <c r="CE70" s="18">
        <f t="shared" si="124"/>
        <v>3.7635505126293318</v>
      </c>
      <c r="CF70" s="18">
        <f t="shared" si="124"/>
        <v>2.8792474669125099</v>
      </c>
      <c r="CG70" s="18">
        <f t="shared" si="124"/>
        <v>1.9588882459475163</v>
      </c>
      <c r="CH70" s="18">
        <f t="shared" si="150"/>
        <v>0.99999999999999878</v>
      </c>
      <c r="CI70" s="18">
        <f t="shared" si="150"/>
        <v>0</v>
      </c>
      <c r="CJ70" s="18">
        <f t="shared" si="150"/>
        <v>-1.0438388416995337</v>
      </c>
      <c r="CK70" s="18">
        <f t="shared" si="150"/>
        <v>-2.1344250133194578</v>
      </c>
      <c r="CL70" s="18">
        <f t="shared" si="151"/>
        <v>-3.2749952845435475</v>
      </c>
      <c r="CM70" s="18">
        <f t="shared" si="151"/>
        <v>-4.4691041809687713</v>
      </c>
      <c r="CN70" s="18">
        <f t="shared" si="151"/>
        <v>-5.720633142886502</v>
      </c>
      <c r="CO70" s="18">
        <f t="shared" si="151"/>
        <v>-7.0339574009741463</v>
      </c>
      <c r="CP70" s="18">
        <f t="shared" si="152"/>
        <v>-8.4137454444425703</v>
      </c>
      <c r="CQ70" s="18">
        <f t="shared" si="153"/>
        <v>-9.865122811550231</v>
      </c>
      <c r="CR70" s="18">
        <f t="shared" si="154"/>
        <v>-11.396334936819192</v>
      </c>
      <c r="CS70" s="18">
        <f t="shared" si="142"/>
        <v>-13.015932418259201</v>
      </c>
      <c r="CT70" s="18">
        <f t="shared" si="125"/>
        <v>-14.735946428669685</v>
      </c>
      <c r="CU70" s="18">
        <f t="shared" si="125"/>
        <v>-16.566825608173879</v>
      </c>
      <c r="CV70" s="18">
        <f t="shared" si="125"/>
        <v>-18.524729339892986</v>
      </c>
      <c r="CW70" s="18">
        <f t="shared" si="22"/>
        <v>-20.6243605236563</v>
      </c>
      <c r="CX70" s="17">
        <f t="shared" si="190"/>
        <v>1153.3199078071334</v>
      </c>
      <c r="CY70" s="17">
        <f t="shared" ref="CY70:DC92" si="264">CX71</f>
        <v>1200.3735508163636</v>
      </c>
      <c r="CZ70" s="17">
        <f t="shared" si="264"/>
        <v>1246.2043128696612</v>
      </c>
      <c r="DA70" s="17">
        <f t="shared" si="264"/>
        <v>1285.0036795743104</v>
      </c>
      <c r="DB70" s="17">
        <f t="shared" si="264"/>
        <v>1314.8837894199046</v>
      </c>
      <c r="DC70" s="17">
        <f t="shared" si="264"/>
        <v>1337.4910783213436</v>
      </c>
      <c r="DD70" s="17">
        <f t="shared" si="263"/>
        <v>1355.1865430531943</v>
      </c>
      <c r="DE70" s="17">
        <f t="shared" si="263"/>
        <v>1368.5450992285078</v>
      </c>
      <c r="DF70" s="3" t="e">
        <f>#REF!+$AG$35*0.004*(1+$R$28)*#REF!-S70*#REF!</f>
        <v>#REF!</v>
      </c>
      <c r="DG70" s="19">
        <f t="shared" si="191"/>
        <v>2123.662502008252</v>
      </c>
      <c r="DH70" s="19">
        <f t="shared" si="192"/>
        <v>2024.4620983243342</v>
      </c>
      <c r="DI70" s="19">
        <f t="shared" si="193"/>
        <v>1918.380325536185</v>
      </c>
      <c r="DJ70" s="19">
        <f t="shared" si="194"/>
        <v>1799.241784070306</v>
      </c>
      <c r="DK70" s="19">
        <f t="shared" si="195"/>
        <v>1664.7442964070747</v>
      </c>
      <c r="DL70" s="19">
        <f t="shared" si="196"/>
        <v>1516.0926436280677</v>
      </c>
      <c r="DM70" s="19">
        <f t="shared" si="197"/>
        <v>1355.1865430531943</v>
      </c>
      <c r="DN70" s="19">
        <f t="shared" si="198"/>
        <v>1182.1138481730129</v>
      </c>
      <c r="DO70" s="173">
        <f t="shared" si="127"/>
        <v>78436.477379158212</v>
      </c>
      <c r="DP70" s="25">
        <f t="shared" si="262"/>
        <v>77283.157471351093</v>
      </c>
      <c r="DQ70" s="26">
        <f t="shared" si="262"/>
        <v>76082.783920534741</v>
      </c>
      <c r="DR70" s="26">
        <f t="shared" si="262"/>
        <v>74836.579607665073</v>
      </c>
      <c r="DS70" s="26">
        <f t="shared" si="262"/>
        <v>73551.575928090766</v>
      </c>
      <c r="DT70" s="26">
        <f t="shared" si="262"/>
        <v>72236.692138670856</v>
      </c>
      <c r="DU70" s="26">
        <f t="shared" si="262"/>
        <v>70899.201060349529</v>
      </c>
      <c r="DV70" s="26">
        <f t="shared" si="262"/>
        <v>69544.014517296338</v>
      </c>
      <c r="DW70" s="26">
        <f t="shared" si="262"/>
        <v>68175.46941806782</v>
      </c>
      <c r="DX70" s="26">
        <f t="shared" si="262"/>
        <v>66791.805416898773</v>
      </c>
      <c r="DY70" s="26">
        <f t="shared" si="262"/>
        <v>65393.182532433275</v>
      </c>
      <c r="DZ70" s="26">
        <f t="shared" si="262"/>
        <v>63980.850699294751</v>
      </c>
      <c r="EA70" s="26">
        <f t="shared" si="262"/>
        <v>62554.038207059304</v>
      </c>
      <c r="EB70" s="26">
        <f t="shared" si="262"/>
        <v>61115.240000982594</v>
      </c>
      <c r="EC70" s="26">
        <f t="shared" si="262"/>
        <v>59666.659978071591</v>
      </c>
      <c r="ED70" s="26">
        <f t="shared" si="262"/>
        <v>58185.053037586011</v>
      </c>
      <c r="EE70" s="26">
        <f t="shared" si="145"/>
        <v>56663.171693451171</v>
      </c>
      <c r="EF70" s="26">
        <f t="shared" si="34"/>
        <v>55081.471929218045</v>
      </c>
      <c r="EG70" s="26">
        <f t="shared" si="34"/>
        <v>53447.84694462482</v>
      </c>
      <c r="EH70" s="26">
        <f t="shared" si="34"/>
        <v>51748.336585876787</v>
      </c>
      <c r="EI70" s="26">
        <f t="shared" si="34"/>
        <v>49991.905999111841</v>
      </c>
      <c r="EJ70" s="26">
        <f t="shared" si="128"/>
        <v>3.6142533814932681E-2</v>
      </c>
      <c r="EK70" s="26">
        <f t="shared" si="128"/>
        <v>3.1862863254265676E-2</v>
      </c>
      <c r="EL70" s="26">
        <f t="shared" si="169"/>
        <v>2.6941418235621503E-2</v>
      </c>
      <c r="EM70" s="26">
        <f t="shared" si="169"/>
        <v>2.1321078333706726E-2</v>
      </c>
      <c r="EN70" s="26">
        <f t="shared" si="169"/>
        <v>1.4971405935025316E-2</v>
      </c>
      <c r="EO70" s="26">
        <f t="shared" si="169"/>
        <v>7.8731872503235555E-3</v>
      </c>
      <c r="EP70" s="26">
        <f t="shared" si="169"/>
        <v>0</v>
      </c>
      <c r="EQ70" s="26">
        <f t="shared" si="169"/>
        <v>-8.688107402150513E-3</v>
      </c>
      <c r="ER70" s="26">
        <f t="shared" si="169"/>
        <v>-1.8235793686540026E-2</v>
      </c>
      <c r="ES70" s="26">
        <f t="shared" si="169"/>
        <v>-2.8732914905995926E-2</v>
      </c>
      <c r="ET70" s="26">
        <f t="shared" si="169"/>
        <v>-4.0265737296938074E-2</v>
      </c>
      <c r="EU70" s="26">
        <f t="shared" si="169"/>
        <v>-5.2921048583403164E-2</v>
      </c>
      <c r="EV70" s="26">
        <f t="shared" si="169"/>
        <v>-6.6811350351777737E-2</v>
      </c>
      <c r="EW70" s="26">
        <f t="shared" si="169"/>
        <v>-8.2033264137772538E-2</v>
      </c>
      <c r="EX70" s="26">
        <f t="shared" si="169"/>
        <v>-9.869458802772528E-2</v>
      </c>
      <c r="EY70" s="26">
        <f t="shared" si="169"/>
        <v>-0.1171745113825515</v>
      </c>
      <c r="EZ70" s="26">
        <f t="shared" si="146"/>
        <v>-0.13775797371515019</v>
      </c>
      <c r="FA70" s="26">
        <f t="shared" si="146"/>
        <v>-0.16092667730687801</v>
      </c>
      <c r="FB70" s="26">
        <f t="shared" si="146"/>
        <v>-0.1869215929835672</v>
      </c>
      <c r="FC70" s="26">
        <f t="shared" si="146"/>
        <v>-0.21631035331707738</v>
      </c>
      <c r="FD70" s="26">
        <f t="shared" si="146"/>
        <v>-0.24944927252077997</v>
      </c>
      <c r="FE70" s="26">
        <f t="shared" si="130"/>
        <v>5.2137507579656432</v>
      </c>
      <c r="FF70" s="26">
        <f t="shared" si="130"/>
        <v>4.426764727855959</v>
      </c>
      <c r="FG70" s="26">
        <f t="shared" si="130"/>
        <v>3.6097987191557741</v>
      </c>
      <c r="FH70" s="26">
        <f t="shared" si="130"/>
        <v>2.7609241338977979</v>
      </c>
      <c r="FI70" s="26">
        <f t="shared" si="130"/>
        <v>1.8779295590754748</v>
      </c>
      <c r="FJ70" s="26">
        <f t="shared" si="157"/>
        <v>0.958444654016818</v>
      </c>
      <c r="FK70" s="26">
        <f t="shared" si="157"/>
        <v>0</v>
      </c>
      <c r="FL70" s="26">
        <f t="shared" si="157"/>
        <v>-0.99999999999999367</v>
      </c>
      <c r="FM70" s="26">
        <f t="shared" si="157"/>
        <v>-2.0443215823927661</v>
      </c>
      <c r="FN70" s="26">
        <f t="shared" si="157"/>
        <v>-3.1360037372010816</v>
      </c>
      <c r="FO70" s="26">
        <f t="shared" si="170"/>
        <v>-4.278395993588906</v>
      </c>
      <c r="FP70" s="26">
        <f t="shared" si="158"/>
        <v>-5.4751632277339652</v>
      </c>
      <c r="FQ70" s="26">
        <f t="shared" si="158"/>
        <v>-6.7304221326266198</v>
      </c>
      <c r="FR70" s="26">
        <f t="shared" si="158"/>
        <v>-8.048588352073704</v>
      </c>
      <c r="FS70" s="26">
        <f t="shared" si="158"/>
        <v>-9.4345081372148165</v>
      </c>
      <c r="FT70" s="26">
        <f t="shared" si="159"/>
        <v>-10.895775368645413</v>
      </c>
      <c r="FU70" s="26">
        <f t="shared" si="143"/>
        <v>-12.440371413456786</v>
      </c>
      <c r="FV70" s="26">
        <f t="shared" si="131"/>
        <v>-14.079447105683293</v>
      </c>
      <c r="FW70" s="26">
        <f t="shared" si="131"/>
        <v>-15.822860888392251</v>
      </c>
      <c r="FX70" s="26">
        <f t="shared" si="39"/>
        <v>2435177.7612465657</v>
      </c>
      <c r="FY70" s="26">
        <f t="shared" si="40"/>
        <v>149361.83689619804</v>
      </c>
      <c r="FZ70" s="26">
        <f t="shared" si="132"/>
        <v>0.78074913485733233</v>
      </c>
      <c r="GA70" s="26">
        <f t="shared" si="160"/>
        <v>0.81264756660539783</v>
      </c>
      <c r="GB70" s="26">
        <f t="shared" si="132"/>
        <v>0.84624820652644228</v>
      </c>
      <c r="GC70" s="26">
        <f t="shared" si="132"/>
        <v>0.88167666698528813</v>
      </c>
      <c r="GD70" s="26">
        <f t="shared" si="132"/>
        <v>0.91904131312795934</v>
      </c>
      <c r="GE70" s="26">
        <f t="shared" si="161"/>
        <v>0.95844465401681711</v>
      </c>
      <c r="GF70" s="26">
        <f t="shared" si="161"/>
        <v>1</v>
      </c>
      <c r="GG70" s="26">
        <f t="shared" si="161"/>
        <v>1.0438388416995326</v>
      </c>
      <c r="GH70" s="26">
        <f t="shared" si="161"/>
        <v>1.0901034309266928</v>
      </c>
      <c r="GI70" s="26">
        <f t="shared" si="161"/>
        <v>1.1389915473424661</v>
      </c>
      <c r="GJ70" s="26">
        <f t="shared" si="171"/>
        <v>1.1907081873798617</v>
      </c>
      <c r="GK70" s="26">
        <f t="shared" si="162"/>
        <v>1.2454699151525352</v>
      </c>
      <c r="GL70" s="26">
        <f t="shared" si="162"/>
        <v>1.3035352683475236</v>
      </c>
      <c r="GM70" s="26">
        <f t="shared" si="162"/>
        <v>1.3651570923688667</v>
      </c>
      <c r="GN70" s="26">
        <f t="shared" si="162"/>
        <v>1.4306146743354138</v>
      </c>
      <c r="GO70" s="26">
        <f t="shared" si="163"/>
        <v>1.5005595681737787</v>
      </c>
      <c r="GP70" s="26">
        <f t="shared" si="140"/>
        <v>1.5755610048024136</v>
      </c>
      <c r="GQ70" s="26">
        <f t="shared" si="134"/>
        <v>1.6564993229863889</v>
      </c>
      <c r="GR70" s="26">
        <f t="shared" si="134"/>
        <v>1.7439647197816259</v>
      </c>
      <c r="GS70" s="26">
        <f t="shared" si="134"/>
        <v>1.8390616001359212</v>
      </c>
      <c r="GT70" s="26">
        <f t="shared" si="134"/>
        <v>1.9426374013245802</v>
      </c>
      <c r="GU70" s="26">
        <f t="shared" si="135"/>
        <v>5.433001623108308</v>
      </c>
      <c r="GV70" s="26">
        <f t="shared" si="164"/>
        <v>4.6141171612505625</v>
      </c>
      <c r="GW70" s="26">
        <f t="shared" si="135"/>
        <v>3.7635505126293318</v>
      </c>
      <c r="GX70" s="26">
        <f t="shared" si="135"/>
        <v>2.8792474669125099</v>
      </c>
      <c r="GY70" s="26">
        <f t="shared" si="135"/>
        <v>1.9588882459475163</v>
      </c>
      <c r="GZ70" s="26">
        <f t="shared" si="165"/>
        <v>0.99999999999999878</v>
      </c>
      <c r="HA70" s="26">
        <f t="shared" si="165"/>
        <v>0</v>
      </c>
      <c r="HB70" s="26">
        <f t="shared" si="165"/>
        <v>-1.0438388416995337</v>
      </c>
      <c r="HC70" s="26">
        <f t="shared" si="165"/>
        <v>-2.1344250133194578</v>
      </c>
      <c r="HD70" s="26">
        <f t="shared" si="165"/>
        <v>-3.2749952845435475</v>
      </c>
      <c r="HE70" s="26">
        <f t="shared" si="172"/>
        <v>-4.4691041809687713</v>
      </c>
      <c r="HF70" s="26">
        <f t="shared" si="166"/>
        <v>-5.720633142886502</v>
      </c>
      <c r="HG70" s="26">
        <f t="shared" si="166"/>
        <v>-7.0339574009741463</v>
      </c>
      <c r="HH70" s="26">
        <f t="shared" si="166"/>
        <v>-8.4137454444425703</v>
      </c>
      <c r="HI70" s="26">
        <f t="shared" si="166"/>
        <v>-9.865122811550231</v>
      </c>
      <c r="HJ70" s="26">
        <f t="shared" si="167"/>
        <v>-11.396334936819192</v>
      </c>
      <c r="HK70" s="26">
        <f t="shared" si="141"/>
        <v>-13.015932418259201</v>
      </c>
      <c r="HL70" s="26">
        <f t="shared" si="137"/>
        <v>-14.735946428669685</v>
      </c>
      <c r="HM70" s="26">
        <f t="shared" si="137"/>
        <v>-16.566825608173879</v>
      </c>
      <c r="HN70" s="26">
        <f t="shared" si="137"/>
        <v>-18.524729339892986</v>
      </c>
      <c r="HO70" s="26">
        <f t="shared" si="137"/>
        <v>-20.6243605236563</v>
      </c>
      <c r="HP70" s="26">
        <f t="shared" si="199"/>
        <v>525785.49757911556</v>
      </c>
      <c r="HQ70" s="26">
        <f t="shared" si="200"/>
        <v>540894.21526157565</v>
      </c>
      <c r="HR70" s="26">
        <f t="shared" si="201"/>
        <v>556849.87635828974</v>
      </c>
      <c r="HS70" s="26">
        <f t="shared" si="202"/>
        <v>573788.50534325186</v>
      </c>
      <c r="HT70" s="26">
        <f t="shared" si="203"/>
        <v>591874.73286215612</v>
      </c>
      <c r="HU70" s="26">
        <f t="shared" si="204"/>
        <v>611287.89587498538</v>
      </c>
      <c r="HV70" s="26">
        <f t="shared" si="205"/>
        <v>632215.9078880985</v>
      </c>
      <c r="HW70" s="26">
        <f t="shared" si="206"/>
        <v>654858.72295762005</v>
      </c>
      <c r="HX70" s="26">
        <f t="shared" si="207"/>
        <v>679432.95701040071</v>
      </c>
      <c r="HY70" s="26">
        <f t="shared" si="208"/>
        <v>706186.26948126859</v>
      </c>
      <c r="HZ70" s="26">
        <f t="shared" si="209"/>
        <v>735398.8131268532</v>
      </c>
      <c r="IA70" s="26">
        <f t="shared" si="210"/>
        <v>767383.90345083829</v>
      </c>
      <c r="IB70" s="26">
        <f t="shared" si="211"/>
        <v>802505.55456698826</v>
      </c>
      <c r="IC70" s="26">
        <f t="shared" si="212"/>
        <v>841157.72020306776</v>
      </c>
      <c r="ID70" s="26">
        <f t="shared" si="213"/>
        <v>883781.35836604401</v>
      </c>
      <c r="IE70" s="26">
        <f t="shared" si="214"/>
        <v>931154.60479477886</v>
      </c>
      <c r="IF70" s="26">
        <f t="shared" si="215"/>
        <v>984090.89269200899</v>
      </c>
      <c r="IG70" s="26">
        <f t="shared" si="216"/>
        <v>1043786.1066735609</v>
      </c>
      <c r="IH70" s="26">
        <f t="shared" si="217"/>
        <v>1111263.0671064546</v>
      </c>
      <c r="II70" s="26">
        <f t="shared" si="218"/>
        <v>-279156505268.50824</v>
      </c>
      <c r="IJ70" s="26">
        <f t="shared" si="219"/>
        <v>545840.23110794602</v>
      </c>
      <c r="IK70" s="26">
        <f t="shared" si="220"/>
        <v>560557.82150918373</v>
      </c>
      <c r="IL70" s="26">
        <f t="shared" si="221"/>
        <v>576193.38971409283</v>
      </c>
      <c r="IM70" s="26">
        <f t="shared" si="222"/>
        <v>592891.7385077764</v>
      </c>
      <c r="IN70" s="26">
        <f t="shared" si="223"/>
        <v>610827.53553484497</v>
      </c>
      <c r="IO70" s="26">
        <f t="shared" si="224"/>
        <v>630191.14271515433</v>
      </c>
      <c r="IP70" s="26">
        <f t="shared" si="225"/>
        <v>651182.38512474147</v>
      </c>
      <c r="IQ70" s="26">
        <f t="shared" si="226"/>
        <v>674014.15523636458</v>
      </c>
      <c r="IR70" s="26">
        <f t="shared" si="227"/>
        <v>698917.22040803626</v>
      </c>
      <c r="IS70" s="26">
        <f t="shared" si="228"/>
        <v>726155.05643059523</v>
      </c>
      <c r="IT70" s="26">
        <f t="shared" si="229"/>
        <v>756025.45956343773</v>
      </c>
      <c r="IU70" s="26">
        <f t="shared" si="230"/>
        <v>788861.35158432077</v>
      </c>
      <c r="IV70" s="26">
        <f t="shared" si="231"/>
        <v>825048.93121811259</v>
      </c>
      <c r="IW70" s="26">
        <f t="shared" si="232"/>
        <v>865006.50125386787</v>
      </c>
      <c r="IX70" s="26">
        <f t="shared" si="233"/>
        <v>909202.15703081852</v>
      </c>
      <c r="IY70" s="26">
        <f t="shared" si="234"/>
        <v>958452.69712910603</v>
      </c>
      <c r="IZ70" s="26">
        <f t="shared" si="235"/>
        <v>1013613.6194727693</v>
      </c>
      <c r="JA70" s="26">
        <f t="shared" si="236"/>
        <v>1075937.0507541201</v>
      </c>
      <c r="JB70" s="26">
        <f t="shared" si="237"/>
        <v>1146500.0908013852</v>
      </c>
      <c r="JC70" s="26">
        <f t="shared" si="238"/>
        <v>-287531197213.4892</v>
      </c>
      <c r="JD70" s="26">
        <f t="shared" si="239"/>
        <v>152557.22343452694</v>
      </c>
      <c r="JE70" s="26">
        <f t="shared" si="240"/>
        <v>243403.64763030614</v>
      </c>
      <c r="JF70" s="26">
        <f t="shared" si="241"/>
        <v>338295.97349975118</v>
      </c>
      <c r="JG70" s="26">
        <f t="shared" si="242"/>
        <v>437613.9937071841</v>
      </c>
      <c r="JH70" s="26">
        <f t="shared" si="243"/>
        <v>541766.73045682407</v>
      </c>
      <c r="JI70" s="26">
        <f t="shared" si="244"/>
        <v>651182.38512474147</v>
      </c>
      <c r="JJ70" s="26">
        <f t="shared" si="245"/>
        <v>766314.99130606221</v>
      </c>
      <c r="JK70" s="26">
        <f t="shared" si="246"/>
        <v>887652.49772028835</v>
      </c>
      <c r="JL70" s="26">
        <f t="shared" si="247"/>
        <v>1015744.5896151618</v>
      </c>
      <c r="JM70" s="26">
        <f t="shared" si="248"/>
        <v>1151203.3700868483</v>
      </c>
      <c r="JN70" s="26">
        <f t="shared" si="249"/>
        <v>1294704.9749895851</v>
      </c>
      <c r="JO70" s="26">
        <f t="shared" si="250"/>
        <v>1447022.4802493844</v>
      </c>
      <c r="JP70" s="26">
        <f t="shared" si="251"/>
        <v>1608986.9970699069</v>
      </c>
      <c r="JQ70" s="26">
        <f t="shared" si="252"/>
        <v>1781519.8434983953</v>
      </c>
      <c r="JR70" s="26">
        <f t="shared" si="253"/>
        <v>1966166.9158164198</v>
      </c>
      <c r="JS70" s="26">
        <f t="shared" si="254"/>
        <v>2164539.7935514878</v>
      </c>
      <c r="JT70" s="26">
        <f t="shared" si="255"/>
        <v>2378954.4527794793</v>
      </c>
      <c r="JU70" s="26">
        <f t="shared" si="256"/>
        <v>2611411.9081904171</v>
      </c>
      <c r="JV70" s="26">
        <f t="shared" si="257"/>
        <v>-287529559175.18506</v>
      </c>
      <c r="JW70" s="26">
        <f t="shared" si="258"/>
        <v>1976254.1809427461</v>
      </c>
      <c r="JX70" s="26" t="e">
        <f>AH70+$AG$38*0.004*(1+$R$28)*#REF!-S70*#REF!</f>
        <v>#REF!</v>
      </c>
      <c r="JY70" s="34">
        <f t="shared" si="259"/>
        <v>5.4143603599174542E-2</v>
      </c>
      <c r="JZ70" s="4">
        <f t="shared" si="260"/>
        <v>46361.722519803327</v>
      </c>
      <c r="KA70" s="165"/>
    </row>
    <row r="71" spans="1:287" ht="15.75" x14ac:dyDescent="0.3">
      <c r="A71" s="34">
        <v>70</v>
      </c>
      <c r="B71" s="34">
        <v>43</v>
      </c>
      <c r="C71" s="2">
        <v>931782</v>
      </c>
      <c r="D71" s="1">
        <f t="shared" si="106"/>
        <v>4194</v>
      </c>
      <c r="E71" s="145">
        <f t="shared" si="107"/>
        <v>0.99549894717863197</v>
      </c>
      <c r="F71" s="146">
        <f t="shared" si="108"/>
        <v>4.5010528213680345E-3</v>
      </c>
      <c r="G71" s="158">
        <f t="shared" si="173"/>
        <v>5.6263160267100432E-3</v>
      </c>
      <c r="H71" s="43">
        <f t="shared" si="109"/>
        <v>5150.5665684097485</v>
      </c>
      <c r="I71" s="43">
        <f t="shared" si="139"/>
        <v>915442.10171598091</v>
      </c>
      <c r="J71" s="43">
        <f t="shared" si="110"/>
        <v>929685</v>
      </c>
      <c r="K71" s="147">
        <f>SUM(J71:$J$138)</f>
        <v>31572619</v>
      </c>
      <c r="L71" s="147">
        <f t="shared" si="111"/>
        <v>33.884126329978471</v>
      </c>
      <c r="M71" s="43">
        <f t="shared" si="174"/>
        <v>1162106.25</v>
      </c>
      <c r="N71" s="148">
        <f t="shared" si="175"/>
        <v>39465773.75</v>
      </c>
      <c r="O71" s="147">
        <f t="shared" si="6"/>
        <v>42.355157912473089</v>
      </c>
      <c r="P71" s="157">
        <f t="shared" si="176"/>
        <v>208543.10761395967</v>
      </c>
      <c r="Q71" s="43">
        <f t="shared" si="177"/>
        <v>1164727.5</v>
      </c>
      <c r="R71" s="43">
        <f t="shared" si="178"/>
        <v>1153.3199078071334</v>
      </c>
      <c r="S71" s="43">
        <f>SUM(R71:$R$138)</f>
        <v>78436.477379158212</v>
      </c>
      <c r="T71" s="43">
        <f t="shared" si="112"/>
        <v>2026574.5491171379</v>
      </c>
      <c r="U71" s="153">
        <f>SUM(P71:$P$138)</f>
        <v>3886994.4441078454</v>
      </c>
      <c r="V71" s="129">
        <f t="shared" si="179"/>
        <v>2591159.5511030932</v>
      </c>
      <c r="W71" s="43">
        <f t="shared" si="180"/>
        <v>155981.78985652846</v>
      </c>
      <c r="X71" s="26">
        <f t="shared" si="114"/>
        <v>6.2137507579656415</v>
      </c>
      <c r="Y71" s="26">
        <f t="shared" si="115"/>
        <v>0.74795945855602652</v>
      </c>
      <c r="Z71" s="43">
        <f t="shared" si="181"/>
        <v>69544.014517296338</v>
      </c>
      <c r="AA71" s="149">
        <f t="shared" si="116"/>
        <v>4.264088592332179E-2</v>
      </c>
      <c r="AB71" s="150">
        <f t="shared" si="138"/>
        <v>3678451.3364938861</v>
      </c>
      <c r="AC71" s="150">
        <f t="shared" si="117"/>
        <v>2435177.7612465657</v>
      </c>
      <c r="AD71" s="26">
        <f t="shared" si="118"/>
        <v>5.9617102165216647</v>
      </c>
      <c r="AE71" s="26">
        <f t="shared" si="182"/>
        <v>530180.18584199133</v>
      </c>
      <c r="AF71" s="43">
        <f t="shared" si="183"/>
        <v>85323.696828736385</v>
      </c>
      <c r="AG71" s="43">
        <f t="shared" si="184"/>
        <v>551327.81505064806</v>
      </c>
      <c r="AH71" s="27">
        <f t="shared" si="185"/>
        <v>92569.859795798198</v>
      </c>
      <c r="AI71" s="28">
        <f t="shared" si="186"/>
        <v>592825.60758134199</v>
      </c>
      <c r="AJ71" s="20">
        <f t="shared" si="187"/>
        <v>99537.483651395916</v>
      </c>
      <c r="AK71" s="3">
        <f t="shared" si="188"/>
        <v>8626.5819164543136</v>
      </c>
      <c r="AL71" s="3"/>
      <c r="AM71" s="46">
        <f t="shared" si="121"/>
        <v>3678451.3364938861</v>
      </c>
      <c r="AN71" s="46">
        <f t="shared" si="122"/>
        <v>3478094.06288487</v>
      </c>
      <c r="AO71" s="46">
        <f t="shared" si="122"/>
        <v>3285692.0588459154</v>
      </c>
      <c r="AP71" s="3">
        <f t="shared" si="261"/>
        <v>3101021.3547806852</v>
      </c>
      <c r="AQ71" s="3">
        <f t="shared" si="261"/>
        <v>2923858.6434593615</v>
      </c>
      <c r="AR71" s="16">
        <f t="shared" si="261"/>
        <v>2753979.4019531519</v>
      </c>
      <c r="AS71" s="16">
        <f t="shared" si="261"/>
        <v>2591159.5511030932</v>
      </c>
      <c r="AT71" s="16">
        <f t="shared" si="261"/>
        <v>2435177.7612465657</v>
      </c>
      <c r="AU71" s="16">
        <f t="shared" si="261"/>
        <v>2285815.9243503674</v>
      </c>
      <c r="AV71" s="16">
        <f t="shared" si="261"/>
        <v>2142865.0383407604</v>
      </c>
      <c r="AW71" s="16">
        <f t="shared" si="261"/>
        <v>2006123.0115572365</v>
      </c>
      <c r="AX71" s="16">
        <f t="shared" si="261"/>
        <v>1875393.3577380853</v>
      </c>
      <c r="AY71" s="16">
        <f t="shared" si="261"/>
        <v>1750486.9936345171</v>
      </c>
      <c r="AZ71" s="16">
        <f t="shared" si="261"/>
        <v>1631218.7777198723</v>
      </c>
      <c r="BA71" s="16">
        <f t="shared" si="261"/>
        <v>1517407.6629794927</v>
      </c>
      <c r="BB71" s="16">
        <f t="shared" si="261"/>
        <v>1408901.5734490284</v>
      </c>
      <c r="BC71" s="16">
        <f t="shared" si="144"/>
        <v>1305560.6997197517</v>
      </c>
      <c r="BD71" s="16">
        <f t="shared" si="18"/>
        <v>1207269.1709574449</v>
      </c>
      <c r="BE71" s="16">
        <f t="shared" si="18"/>
        <v>1113907.2760732146</v>
      </c>
      <c r="BF71" s="16">
        <f t="shared" si="18"/>
        <v>1025373.0742617993</v>
      </c>
      <c r="BG71" s="16">
        <f t="shared" si="18"/>
        <v>941559.25973365293</v>
      </c>
      <c r="BH71" s="172">
        <f t="shared" si="123"/>
        <v>200357.2736090158</v>
      </c>
      <c r="BI71" s="16">
        <f t="shared" si="189"/>
        <v>192402.00403895453</v>
      </c>
      <c r="BJ71" s="16">
        <f t="shared" si="189"/>
        <v>184670.70406523009</v>
      </c>
      <c r="BK71" s="16">
        <f t="shared" si="189"/>
        <v>177162.71132132332</v>
      </c>
      <c r="BL71" s="16">
        <f t="shared" si="189"/>
        <v>169879.2415062098</v>
      </c>
      <c r="BM71" s="16">
        <f t="shared" si="189"/>
        <v>162819.85085005857</v>
      </c>
      <c r="BN71" s="16">
        <f t="shared" si="189"/>
        <v>155981.78985652846</v>
      </c>
      <c r="BO71" s="16">
        <f t="shared" si="189"/>
        <v>149361.83689619804</v>
      </c>
      <c r="BP71" s="16">
        <f t="shared" si="189"/>
        <v>142950.88600960682</v>
      </c>
      <c r="BQ71" s="16">
        <f t="shared" si="189"/>
        <v>136742.02678352417</v>
      </c>
      <c r="BR71" s="16">
        <f t="shared" si="189"/>
        <v>130729.65381915121</v>
      </c>
      <c r="BS71" s="16">
        <f t="shared" si="189"/>
        <v>124906.36410356843</v>
      </c>
      <c r="BT71" s="16">
        <f t="shared" si="189"/>
        <v>119268.21591464471</v>
      </c>
      <c r="BU71" s="16">
        <f t="shared" si="189"/>
        <v>113811.11474037961</v>
      </c>
      <c r="BV71" s="16">
        <f t="shared" si="189"/>
        <v>108506.0895304641</v>
      </c>
      <c r="BW71" s="16">
        <f t="shared" si="189"/>
        <v>103340.87372927672</v>
      </c>
      <c r="BX71" s="16">
        <f t="shared" si="168"/>
        <v>98291.528762306916</v>
      </c>
      <c r="BY71" s="16">
        <f t="shared" si="149"/>
        <v>93361.894884230453</v>
      </c>
      <c r="BZ71" s="16">
        <f t="shared" si="149"/>
        <v>88534.201811415609</v>
      </c>
      <c r="CA71" s="16">
        <f t="shared" si="149"/>
        <v>83813.814528146351</v>
      </c>
      <c r="CB71" s="16">
        <f t="shared" si="149"/>
        <v>79206.327645063458</v>
      </c>
      <c r="CC71" s="18">
        <f t="shared" si="124"/>
        <v>5.4267647278559608</v>
      </c>
      <c r="CD71" s="18">
        <f t="shared" si="124"/>
        <v>4.6097987191557745</v>
      </c>
      <c r="CE71" s="18">
        <f t="shared" si="124"/>
        <v>3.7609241338977988</v>
      </c>
      <c r="CF71" s="18">
        <f t="shared" si="124"/>
        <v>2.8779295590754765</v>
      </c>
      <c r="CG71" s="18">
        <f t="shared" si="124"/>
        <v>1.9584446540168168</v>
      </c>
      <c r="CH71" s="18">
        <f t="shared" si="150"/>
        <v>1.0000000000000009</v>
      </c>
      <c r="CI71" s="18">
        <f t="shared" si="150"/>
        <v>0</v>
      </c>
      <c r="CJ71" s="18">
        <f t="shared" si="150"/>
        <v>-1.0443215823927641</v>
      </c>
      <c r="CK71" s="18">
        <f t="shared" si="150"/>
        <v>-2.1360037372010803</v>
      </c>
      <c r="CL71" s="18">
        <f t="shared" si="151"/>
        <v>-3.2783959935889082</v>
      </c>
      <c r="CM71" s="18">
        <f t="shared" si="151"/>
        <v>-4.4751632277339652</v>
      </c>
      <c r="CN71" s="18">
        <f t="shared" si="151"/>
        <v>-5.7304221326266216</v>
      </c>
      <c r="CO71" s="18">
        <f t="shared" si="151"/>
        <v>-7.0485883520737032</v>
      </c>
      <c r="CP71" s="18">
        <f t="shared" si="152"/>
        <v>-8.4345081372148165</v>
      </c>
      <c r="CQ71" s="18">
        <f t="shared" si="153"/>
        <v>-9.8957753686454115</v>
      </c>
      <c r="CR71" s="18">
        <f t="shared" si="154"/>
        <v>-11.440371413456786</v>
      </c>
      <c r="CS71" s="18">
        <f t="shared" si="142"/>
        <v>-13.079447105683295</v>
      </c>
      <c r="CT71" s="18">
        <f t="shared" si="125"/>
        <v>-14.822860888392253</v>
      </c>
      <c r="CU71" s="18">
        <f t="shared" si="125"/>
        <v>-16.685667739757061</v>
      </c>
      <c r="CV71" s="18">
        <f t="shared" si="125"/>
        <v>-18.681723122331718</v>
      </c>
      <c r="CW71" s="18">
        <f t="shared" si="22"/>
        <v>-20.826622574418167</v>
      </c>
      <c r="CX71" s="17">
        <f t="shared" si="190"/>
        <v>1200.3735508163636</v>
      </c>
      <c r="CY71" s="17">
        <f t="shared" si="264"/>
        <v>1246.2043128696612</v>
      </c>
      <c r="CZ71" s="17">
        <f t="shared" si="264"/>
        <v>1285.0036795743104</v>
      </c>
      <c r="DA71" s="17">
        <f t="shared" si="264"/>
        <v>1314.8837894199046</v>
      </c>
      <c r="DB71" s="17">
        <f t="shared" si="264"/>
        <v>1337.4910783213436</v>
      </c>
      <c r="DC71" s="17">
        <f t="shared" si="264"/>
        <v>1355.1865430531943</v>
      </c>
      <c r="DD71" s="17">
        <f t="shared" si="263"/>
        <v>1368.5450992285078</v>
      </c>
      <c r="DE71" s="17">
        <f t="shared" si="263"/>
        <v>1383.6640011690392</v>
      </c>
      <c r="DF71" s="3" t="e">
        <f>#REF!+$AG$35*0.004*(1+$R$28)*#REF!-S71*#REF!</f>
        <v>#REF!</v>
      </c>
      <c r="DG71" s="19">
        <f t="shared" si="191"/>
        <v>2175.4192142890352</v>
      </c>
      <c r="DH71" s="19">
        <f t="shared" si="192"/>
        <v>2074.4628565877583</v>
      </c>
      <c r="DI71" s="19">
        <f t="shared" si="193"/>
        <v>1960.741978782939</v>
      </c>
      <c r="DJ71" s="19">
        <f t="shared" si="194"/>
        <v>1831.9713871099962</v>
      </c>
      <c r="DK71" s="19">
        <f t="shared" si="195"/>
        <v>1689.37163014412</v>
      </c>
      <c r="DL71" s="19">
        <f t="shared" si="196"/>
        <v>1534.8600156228997</v>
      </c>
      <c r="DM71" s="19">
        <f t="shared" si="197"/>
        <v>1368.5450992285078</v>
      </c>
      <c r="DN71" s="19">
        <f t="shared" si="198"/>
        <v>1196.0271159810418</v>
      </c>
      <c r="DO71" s="173">
        <f t="shared" si="127"/>
        <v>77283.157471351093</v>
      </c>
      <c r="DP71" s="25">
        <f t="shared" si="262"/>
        <v>76082.783920534741</v>
      </c>
      <c r="DQ71" s="26">
        <f t="shared" si="262"/>
        <v>74836.579607665073</v>
      </c>
      <c r="DR71" s="26">
        <f t="shared" si="262"/>
        <v>73551.575928090766</v>
      </c>
      <c r="DS71" s="26">
        <f t="shared" si="262"/>
        <v>72236.692138670856</v>
      </c>
      <c r="DT71" s="26">
        <f t="shared" si="262"/>
        <v>70899.201060349529</v>
      </c>
      <c r="DU71" s="26">
        <f t="shared" si="262"/>
        <v>69544.014517296338</v>
      </c>
      <c r="DV71" s="26">
        <f t="shared" si="262"/>
        <v>68175.46941806782</v>
      </c>
      <c r="DW71" s="26">
        <f t="shared" si="262"/>
        <v>66791.805416898773</v>
      </c>
      <c r="DX71" s="26">
        <f t="shared" si="262"/>
        <v>65393.182532433275</v>
      </c>
      <c r="DY71" s="26">
        <f t="shared" si="262"/>
        <v>63980.850699294751</v>
      </c>
      <c r="DZ71" s="26">
        <f t="shared" si="262"/>
        <v>62554.038207059304</v>
      </c>
      <c r="EA71" s="26">
        <f t="shared" si="262"/>
        <v>61115.240000982594</v>
      </c>
      <c r="EB71" s="26">
        <f t="shared" si="262"/>
        <v>59666.659978071591</v>
      </c>
      <c r="EC71" s="26">
        <f t="shared" si="262"/>
        <v>58185.053037586011</v>
      </c>
      <c r="ED71" s="26">
        <f t="shared" si="262"/>
        <v>56663.171693451171</v>
      </c>
      <c r="EE71" s="26">
        <f t="shared" si="145"/>
        <v>55081.471929218045</v>
      </c>
      <c r="EF71" s="26">
        <f t="shared" si="34"/>
        <v>53447.84694462482</v>
      </c>
      <c r="EG71" s="26">
        <f t="shared" si="34"/>
        <v>51748.336585876787</v>
      </c>
      <c r="EH71" s="26">
        <f t="shared" si="34"/>
        <v>49991.905999111841</v>
      </c>
      <c r="EI71" s="26">
        <f t="shared" si="34"/>
        <v>48187.938512941255</v>
      </c>
      <c r="EJ71" s="26">
        <f t="shared" si="128"/>
        <v>3.8626713244048171E-2</v>
      </c>
      <c r="EK71" s="26">
        <f t="shared" si="128"/>
        <v>3.398493397144936E-2</v>
      </c>
      <c r="EL71" s="26">
        <f t="shared" si="169"/>
        <v>2.86594731804308E-2</v>
      </c>
      <c r="EM71" s="26">
        <f t="shared" si="169"/>
        <v>2.2620795205181968E-2</v>
      </c>
      <c r="EN71" s="26">
        <f t="shared" si="169"/>
        <v>1.5850539462622271E-2</v>
      </c>
      <c r="EO71" s="26">
        <f t="shared" si="169"/>
        <v>8.323226780874448E-3</v>
      </c>
      <c r="EP71" s="26">
        <f t="shared" si="169"/>
        <v>0</v>
      </c>
      <c r="EQ71" s="26">
        <f t="shared" si="169"/>
        <v>-9.1626156163278575E-3</v>
      </c>
      <c r="ER71" s="26">
        <f t="shared" si="169"/>
        <v>-1.9252829955965486E-2</v>
      </c>
      <c r="ES71" s="26">
        <f t="shared" si="169"/>
        <v>-3.0355203023531539E-2</v>
      </c>
      <c r="ET71" s="26">
        <f t="shared" si="169"/>
        <v>-4.2554720030832154E-2</v>
      </c>
      <c r="EU71" s="26">
        <f t="shared" si="169"/>
        <v>-5.5961730696453271E-2</v>
      </c>
      <c r="EV71" s="26">
        <f t="shared" si="169"/>
        <v>-7.0670752066467293E-2</v>
      </c>
      <c r="EW71" s="26">
        <f t="shared" si="169"/>
        <v>-8.6787257657184799E-2</v>
      </c>
      <c r="EX71" s="26">
        <f t="shared" si="169"/>
        <v>-0.10468501379843011</v>
      </c>
      <c r="EY71" s="26">
        <f t="shared" si="169"/>
        <v>-0.1246442221650773</v>
      </c>
      <c r="EZ71" s="26">
        <f t="shared" si="146"/>
        <v>-0.14713925777929732</v>
      </c>
      <c r="FA71" s="26">
        <f t="shared" si="146"/>
        <v>-0.17240617912298056</v>
      </c>
      <c r="FB71" s="26">
        <f t="shared" si="146"/>
        <v>-0.20100342655514827</v>
      </c>
      <c r="FC71" s="26">
        <f t="shared" si="146"/>
        <v>-0.23328026087654691</v>
      </c>
      <c r="FD71" s="26">
        <f t="shared" si="146"/>
        <v>-0.26962588267007104</v>
      </c>
      <c r="FE71" s="26">
        <f t="shared" si="130"/>
        <v>5.2052829570514501</v>
      </c>
      <c r="FF71" s="26">
        <f t="shared" si="130"/>
        <v>4.4205064383173003</v>
      </c>
      <c r="FG71" s="26">
        <f t="shared" si="130"/>
        <v>3.6055723992849869</v>
      </c>
      <c r="FH71" s="26">
        <f t="shared" si="130"/>
        <v>2.7583732410059256</v>
      </c>
      <c r="FI71" s="26">
        <f t="shared" si="130"/>
        <v>1.876636826724545</v>
      </c>
      <c r="FJ71" s="26">
        <f t="shared" si="157"/>
        <v>0.95800228929193465</v>
      </c>
      <c r="FK71" s="26">
        <f t="shared" si="157"/>
        <v>0</v>
      </c>
      <c r="FL71" s="26">
        <f t="shared" si="157"/>
        <v>-1.000000000000002</v>
      </c>
      <c r="FM71" s="26">
        <f t="shared" si="157"/>
        <v>-2.044847227362836</v>
      </c>
      <c r="FN71" s="26">
        <f t="shared" si="157"/>
        <v>-3.1376948242003482</v>
      </c>
      <c r="FO71" s="26">
        <f t="shared" si="170"/>
        <v>-4.2820001977736055</v>
      </c>
      <c r="FP71" s="26">
        <f t="shared" si="158"/>
        <v>-5.4816323613769162</v>
      </c>
      <c r="FQ71" s="26">
        <f t="shared" si="158"/>
        <v>-6.7407647323412077</v>
      </c>
      <c r="FR71" s="26">
        <f t="shared" si="158"/>
        <v>-8.0639760041068538</v>
      </c>
      <c r="FS71" s="26">
        <f t="shared" si="158"/>
        <v>-9.4582358671160165</v>
      </c>
      <c r="FT71" s="26">
        <f t="shared" si="159"/>
        <v>-10.930980363936973</v>
      </c>
      <c r="FU71" s="26">
        <f t="shared" si="143"/>
        <v>-12.492516962051793</v>
      </c>
      <c r="FV71" s="26">
        <f t="shared" si="131"/>
        <v>-14.152138694397086</v>
      </c>
      <c r="FW71" s="26">
        <f t="shared" si="131"/>
        <v>-15.923842516677954</v>
      </c>
      <c r="FX71" s="26">
        <f t="shared" si="39"/>
        <v>2285815.9243503674</v>
      </c>
      <c r="FY71" s="26">
        <f t="shared" si="40"/>
        <v>142950.88600960682</v>
      </c>
      <c r="FZ71" s="26">
        <f t="shared" si="132"/>
        <v>0.77851822919549596</v>
      </c>
      <c r="GA71" s="26">
        <f t="shared" si="160"/>
        <v>0.81070771916153073</v>
      </c>
      <c r="GB71" s="26">
        <f t="shared" si="132"/>
        <v>0.84464826538719417</v>
      </c>
      <c r="GC71" s="26">
        <f t="shared" si="132"/>
        <v>0.88044368193045641</v>
      </c>
      <c r="GD71" s="26">
        <f t="shared" si="132"/>
        <v>0.9181921727077329</v>
      </c>
      <c r="GE71" s="26">
        <f t="shared" si="161"/>
        <v>0.95800228929194076</v>
      </c>
      <c r="GF71" s="26">
        <f t="shared" si="161"/>
        <v>1</v>
      </c>
      <c r="GG71" s="26">
        <f t="shared" si="161"/>
        <v>1.0443215823927707</v>
      </c>
      <c r="GH71" s="26">
        <f t="shared" si="161"/>
        <v>1.0911565098382525</v>
      </c>
      <c r="GI71" s="26">
        <f t="shared" si="161"/>
        <v>1.1407011693885647</v>
      </c>
      <c r="GJ71" s="26">
        <f t="shared" si="171"/>
        <v>1.1931630299603679</v>
      </c>
      <c r="GK71" s="26">
        <f t="shared" si="162"/>
        <v>1.248789771249712</v>
      </c>
      <c r="GL71" s="26">
        <f t="shared" si="162"/>
        <v>1.3078236197325037</v>
      </c>
      <c r="GM71" s="26">
        <f t="shared" si="162"/>
        <v>1.3705321331079705</v>
      </c>
      <c r="GN71" s="26">
        <f t="shared" si="162"/>
        <v>1.4375395015294059</v>
      </c>
      <c r="GO71" s="26">
        <f t="shared" si="163"/>
        <v>1.5093910495198226</v>
      </c>
      <c r="GP71" s="26">
        <f t="shared" ref="GP71:GP107" si="265">$W71/BX71</f>
        <v>1.5869301436315104</v>
      </c>
      <c r="GQ71" s="26">
        <f t="shared" si="134"/>
        <v>1.6707221939951755</v>
      </c>
      <c r="GR71" s="26">
        <f t="shared" si="134"/>
        <v>1.7618252230791123</v>
      </c>
      <c r="GS71" s="26">
        <f t="shared" si="134"/>
        <v>1.8610510777330944</v>
      </c>
      <c r="GT71" s="26">
        <f t="shared" si="134"/>
        <v>1.9693097066121843</v>
      </c>
      <c r="GU71" s="26">
        <f t="shared" si="135"/>
        <v>5.4267647278559608</v>
      </c>
      <c r="GV71" s="26">
        <f t="shared" si="164"/>
        <v>4.6097987191557745</v>
      </c>
      <c r="GW71" s="26">
        <f t="shared" si="135"/>
        <v>3.7609241338977988</v>
      </c>
      <c r="GX71" s="26">
        <f t="shared" si="135"/>
        <v>2.8779295590754765</v>
      </c>
      <c r="GY71" s="26">
        <f t="shared" si="135"/>
        <v>1.9584446540168168</v>
      </c>
      <c r="GZ71" s="26">
        <f t="shared" si="165"/>
        <v>1.0000000000000009</v>
      </c>
      <c r="HA71" s="26">
        <f t="shared" si="165"/>
        <v>0</v>
      </c>
      <c r="HB71" s="26">
        <f t="shared" si="165"/>
        <v>-1.0443215823927641</v>
      </c>
      <c r="HC71" s="26">
        <f t="shared" si="165"/>
        <v>-2.1360037372010803</v>
      </c>
      <c r="HD71" s="26">
        <f t="shared" si="165"/>
        <v>-3.2783959935889082</v>
      </c>
      <c r="HE71" s="26">
        <f t="shared" si="172"/>
        <v>-4.4751632277339652</v>
      </c>
      <c r="HF71" s="26">
        <f t="shared" si="166"/>
        <v>-5.7304221326266216</v>
      </c>
      <c r="HG71" s="26">
        <f t="shared" si="166"/>
        <v>-7.0485883520737032</v>
      </c>
      <c r="HH71" s="26">
        <f t="shared" si="166"/>
        <v>-8.4345081372148165</v>
      </c>
      <c r="HI71" s="26">
        <f t="shared" si="166"/>
        <v>-9.8957753686454115</v>
      </c>
      <c r="HJ71" s="26">
        <f t="shared" si="167"/>
        <v>-11.440371413456786</v>
      </c>
      <c r="HK71" s="26">
        <f t="shared" ref="HK71:HK107" si="266">(BC71-$V71)/BX71</f>
        <v>-13.079447105683295</v>
      </c>
      <c r="HL71" s="26">
        <f t="shared" si="137"/>
        <v>-14.822860888392253</v>
      </c>
      <c r="HM71" s="26">
        <f t="shared" si="137"/>
        <v>-16.685667739757061</v>
      </c>
      <c r="HN71" s="26">
        <f t="shared" si="137"/>
        <v>-18.681723122331718</v>
      </c>
      <c r="HO71" s="26">
        <f t="shared" si="137"/>
        <v>-20.826622574418167</v>
      </c>
      <c r="HP71" s="26">
        <f t="shared" si="199"/>
        <v>526642.84814426524</v>
      </c>
      <c r="HQ71" s="26">
        <f t="shared" si="200"/>
        <v>541510.88959041459</v>
      </c>
      <c r="HR71" s="26">
        <f t="shared" si="201"/>
        <v>557249.42455793801</v>
      </c>
      <c r="HS71" s="26">
        <f t="shared" si="202"/>
        <v>574014.07947309862</v>
      </c>
      <c r="HT71" s="26">
        <f t="shared" si="203"/>
        <v>591975.9734194238</v>
      </c>
      <c r="HU71" s="26">
        <f t="shared" si="204"/>
        <v>611313.6909292324</v>
      </c>
      <c r="HV71" s="26">
        <f t="shared" si="205"/>
        <v>632215.9078880985</v>
      </c>
      <c r="HW71" s="26">
        <f t="shared" si="206"/>
        <v>654886.86421800638</v>
      </c>
      <c r="HX71" s="26">
        <f t="shared" si="207"/>
        <v>679555.63963458105</v>
      </c>
      <c r="HY71" s="26">
        <f t="shared" si="208"/>
        <v>706483.12326752068</v>
      </c>
      <c r="HZ71" s="26">
        <f t="shared" si="209"/>
        <v>735962.19129471888</v>
      </c>
      <c r="IA71" s="26">
        <f t="shared" si="210"/>
        <v>768331.77681243361</v>
      </c>
      <c r="IB71" s="26">
        <f t="shared" si="211"/>
        <v>803961.55750340922</v>
      </c>
      <c r="IC71" s="26">
        <f t="shared" si="212"/>
        <v>843265.35739404464</v>
      </c>
      <c r="ID71" s="26">
        <f t="shared" si="213"/>
        <v>886951.8473820989</v>
      </c>
      <c r="IE71" s="26">
        <f t="shared" si="214"/>
        <v>935774.56564572954</v>
      </c>
      <c r="IF71" s="26">
        <f t="shared" si="215"/>
        <v>990834.16451089142</v>
      </c>
      <c r="IG71" s="26">
        <f t="shared" si="216"/>
        <v>1053091.5381974725</v>
      </c>
      <c r="IH71" s="26">
        <f t="shared" si="217"/>
        <v>1124079.356364287</v>
      </c>
      <c r="II71" s="26">
        <f t="shared" si="218"/>
        <v>-262034466994.68689</v>
      </c>
      <c r="IJ71" s="26">
        <f t="shared" si="219"/>
        <v>546718.38755869586</v>
      </c>
      <c r="IK71" s="26">
        <f t="shared" si="220"/>
        <v>561189.77951876353</v>
      </c>
      <c r="IL71" s="26">
        <f t="shared" si="221"/>
        <v>576603.08343003131</v>
      </c>
      <c r="IM71" s="26">
        <f t="shared" si="222"/>
        <v>593123.21495161101</v>
      </c>
      <c r="IN71" s="26">
        <f t="shared" si="223"/>
        <v>610931.54234663246</v>
      </c>
      <c r="IO71" s="26">
        <f t="shared" si="224"/>
        <v>630217.71162102872</v>
      </c>
      <c r="IP71" s="26">
        <f t="shared" si="225"/>
        <v>651182.38512474147</v>
      </c>
      <c r="IQ71" s="26">
        <f t="shared" si="226"/>
        <v>674042.91397354368</v>
      </c>
      <c r="IR71" s="26">
        <f t="shared" si="227"/>
        <v>699042.91877027159</v>
      </c>
      <c r="IS71" s="26">
        <f t="shared" si="228"/>
        <v>726459.55232124857</v>
      </c>
      <c r="IT71" s="26">
        <f t="shared" si="229"/>
        <v>756603.79312514351</v>
      </c>
      <c r="IU71" s="26">
        <f t="shared" si="230"/>
        <v>789835.01897850598</v>
      </c>
      <c r="IV71" s="26">
        <f t="shared" si="231"/>
        <v>826545.42804983293</v>
      </c>
      <c r="IW71" s="26">
        <f t="shared" si="232"/>
        <v>867173.94743504655</v>
      </c>
      <c r="IX71" s="26">
        <f t="shared" si="233"/>
        <v>912464.36569890752</v>
      </c>
      <c r="IY71" s="26">
        <f t="shared" si="234"/>
        <v>963208.79713457474</v>
      </c>
      <c r="IZ71" s="26">
        <f t="shared" si="235"/>
        <v>1020559.1894462182</v>
      </c>
      <c r="JA71" s="26">
        <f t="shared" si="236"/>
        <v>1085526.5840832149</v>
      </c>
      <c r="JB71" s="26">
        <f t="shared" si="237"/>
        <v>1159714.492158998</v>
      </c>
      <c r="JC71" s="26">
        <f t="shared" si="238"/>
        <v>-269895497764.22299</v>
      </c>
      <c r="JD71" s="26">
        <f t="shared" si="239"/>
        <v>152175.90776065167</v>
      </c>
      <c r="JE71" s="26">
        <f t="shared" si="240"/>
        <v>242907.35502395965</v>
      </c>
      <c r="JF71" s="26">
        <f t="shared" si="241"/>
        <v>337772.99614202499</v>
      </c>
      <c r="JG71" s="26">
        <f t="shared" si="242"/>
        <v>437164.51272888534</v>
      </c>
      <c r="JH71" s="26">
        <f t="shared" si="243"/>
        <v>541490.65504511422</v>
      </c>
      <c r="JI71" s="26">
        <f t="shared" si="244"/>
        <v>651182.38512474147</v>
      </c>
      <c r="JJ71" s="26">
        <f t="shared" si="245"/>
        <v>766702.49409795483</v>
      </c>
      <c r="JK71" s="26">
        <f t="shared" si="246"/>
        <v>888564.24320727633</v>
      </c>
      <c r="JL71" s="26">
        <f t="shared" si="247"/>
        <v>1017341.9791226627</v>
      </c>
      <c r="JM71" s="26">
        <f t="shared" si="248"/>
        <v>1153671.8540187464</v>
      </c>
      <c r="JN71" s="26">
        <f t="shared" si="249"/>
        <v>1298278.50774394</v>
      </c>
      <c r="JO71" s="26">
        <f t="shared" si="250"/>
        <v>1451945.9255446075</v>
      </c>
      <c r="JP71" s="26">
        <f t="shared" si="251"/>
        <v>1615543.0281157154</v>
      </c>
      <c r="JQ71" s="26">
        <f t="shared" si="252"/>
        <v>1790487.3866952485</v>
      </c>
      <c r="JR71" s="26">
        <f t="shared" si="253"/>
        <v>1978279.278785828</v>
      </c>
      <c r="JS71" s="26">
        <f t="shared" si="254"/>
        <v>2181060.0327738589</v>
      </c>
      <c r="JT71" s="26">
        <f t="shared" si="255"/>
        <v>2400715.4007445024</v>
      </c>
      <c r="JU71" s="26">
        <f t="shared" si="256"/>
        <v>2640184.6777113318</v>
      </c>
      <c r="JV71" s="26">
        <f t="shared" si="257"/>
        <v>-269893840189.91858</v>
      </c>
      <c r="JW71" s="26">
        <f t="shared" si="258"/>
        <v>2000060.8272062673</v>
      </c>
      <c r="JX71" s="26" t="e">
        <f>AH71+$AG$38*0.004*(1+$R$28)*#REF!-S71*#REF!</f>
        <v>#REF!</v>
      </c>
      <c r="JY71" s="34">
        <f t="shared" si="259"/>
        <v>5.4501052821368037E-2</v>
      </c>
      <c r="JZ71" s="4">
        <f t="shared" si="260"/>
        <v>46170.883266998862</v>
      </c>
      <c r="KA71" s="165"/>
    </row>
    <row r="72" spans="1:287" ht="15.75" x14ac:dyDescent="0.3">
      <c r="A72" s="34">
        <v>71</v>
      </c>
      <c r="B72" s="34">
        <v>44</v>
      </c>
      <c r="C72" s="2">
        <v>927588</v>
      </c>
      <c r="D72" s="1">
        <f t="shared" si="106"/>
        <v>4523</v>
      </c>
      <c r="E72" s="145">
        <f t="shared" si="107"/>
        <v>0.99512391277161838</v>
      </c>
      <c r="F72" s="146">
        <f t="shared" si="108"/>
        <v>4.8760872283816203E-3</v>
      </c>
      <c r="G72" s="158">
        <f t="shared" si="173"/>
        <v>6.0951090354770254E-3</v>
      </c>
      <c r="H72" s="43">
        <f t="shared" si="109"/>
        <v>5548.3261607962131</v>
      </c>
      <c r="I72" s="43">
        <f t="shared" si="139"/>
        <v>910291.53514757112</v>
      </c>
      <c r="J72" s="43">
        <f t="shared" si="110"/>
        <v>925326.5</v>
      </c>
      <c r="K72" s="147">
        <f>SUM(J72:$J$138)</f>
        <v>30642934</v>
      </c>
      <c r="L72" s="147">
        <f t="shared" si="111"/>
        <v>33.035069448936383</v>
      </c>
      <c r="M72" s="43">
        <f t="shared" si="174"/>
        <v>1156658.125</v>
      </c>
      <c r="N72" s="148">
        <f t="shared" si="175"/>
        <v>38303667.5</v>
      </c>
      <c r="O72" s="147">
        <f t="shared" si="6"/>
        <v>41.293836811170479</v>
      </c>
      <c r="P72" s="157">
        <f t="shared" si="176"/>
        <v>200357.2736090158</v>
      </c>
      <c r="Q72" s="43">
        <f t="shared" si="177"/>
        <v>1159485</v>
      </c>
      <c r="R72" s="43">
        <f t="shared" si="178"/>
        <v>1200.3735508163636</v>
      </c>
      <c r="S72" s="43">
        <f>SUM(R72:$R$138)</f>
        <v>77283.157471351093</v>
      </c>
      <c r="T72" s="43">
        <f t="shared" si="112"/>
        <v>1948138.0717379795</v>
      </c>
      <c r="U72" s="153">
        <f>SUM(P72:$P$138)</f>
        <v>3678451.3364938861</v>
      </c>
      <c r="V72" s="129">
        <f t="shared" si="179"/>
        <v>2435177.7612465657</v>
      </c>
      <c r="W72" s="43">
        <f t="shared" si="180"/>
        <v>149361.83689619804</v>
      </c>
      <c r="X72" s="26">
        <f t="shared" si="114"/>
        <v>6.2052829570514518</v>
      </c>
      <c r="Y72" s="26">
        <f t="shared" si="115"/>
        <v>0.74547748731931718</v>
      </c>
      <c r="Z72" s="43">
        <f t="shared" si="181"/>
        <v>68175.46941806782</v>
      </c>
      <c r="AA72" s="149">
        <f t="shared" si="116"/>
        <v>4.5457236910981004E-2</v>
      </c>
      <c r="AB72" s="150">
        <f t="shared" si="138"/>
        <v>3478094.06288487</v>
      </c>
      <c r="AC72" s="150">
        <f t="shared" si="117"/>
        <v>2285815.9243503674</v>
      </c>
      <c r="AD72" s="26">
        <f t="shared" si="118"/>
        <v>5.9507604443707693</v>
      </c>
      <c r="AE72" s="26">
        <f t="shared" si="182"/>
        <v>531312.31459907175</v>
      </c>
      <c r="AF72" s="43">
        <f t="shared" si="183"/>
        <v>85622.576484656238</v>
      </c>
      <c r="AG72" s="43">
        <f t="shared" si="184"/>
        <v>552486.76382000279</v>
      </c>
      <c r="AH72" s="27">
        <f t="shared" si="185"/>
        <v>92877.705841395655</v>
      </c>
      <c r="AI72" s="28">
        <f t="shared" si="186"/>
        <v>594071.78905376652</v>
      </c>
      <c r="AJ72" s="20">
        <f t="shared" si="187"/>
        <v>99868.500904726519</v>
      </c>
      <c r="AK72" s="3">
        <f t="shared" si="188"/>
        <v>8655.2700784096323</v>
      </c>
      <c r="AL72" s="3"/>
      <c r="AM72" s="46">
        <f t="shared" si="121"/>
        <v>3478094.06288487</v>
      </c>
      <c r="AN72" s="46">
        <f t="shared" si="122"/>
        <v>3285692.0588459154</v>
      </c>
      <c r="AO72" s="46">
        <f t="shared" si="122"/>
        <v>3101021.3547806852</v>
      </c>
      <c r="AP72" s="3">
        <f t="shared" si="261"/>
        <v>2923858.6434593615</v>
      </c>
      <c r="AQ72" s="3">
        <f t="shared" si="261"/>
        <v>2753979.4019531519</v>
      </c>
      <c r="AR72" s="16">
        <f t="shared" si="261"/>
        <v>2591159.5511030932</v>
      </c>
      <c r="AS72" s="16">
        <f t="shared" si="261"/>
        <v>2435177.7612465657</v>
      </c>
      <c r="AT72" s="16">
        <f t="shared" si="261"/>
        <v>2285815.9243503674</v>
      </c>
      <c r="AU72" s="16">
        <f t="shared" si="261"/>
        <v>2142865.0383407604</v>
      </c>
      <c r="AV72" s="16">
        <f t="shared" si="261"/>
        <v>2006123.0115572365</v>
      </c>
      <c r="AW72" s="16">
        <f t="shared" si="261"/>
        <v>1875393.3577380853</v>
      </c>
      <c r="AX72" s="16">
        <f t="shared" si="261"/>
        <v>1750486.9936345171</v>
      </c>
      <c r="AY72" s="16">
        <f t="shared" si="261"/>
        <v>1631218.7777198723</v>
      </c>
      <c r="AZ72" s="16">
        <f t="shared" si="261"/>
        <v>1517407.6629794927</v>
      </c>
      <c r="BA72" s="16">
        <f t="shared" si="261"/>
        <v>1408901.5734490284</v>
      </c>
      <c r="BB72" s="16">
        <f t="shared" si="261"/>
        <v>1305560.6997197517</v>
      </c>
      <c r="BC72" s="16">
        <f t="shared" si="144"/>
        <v>1207269.1709574449</v>
      </c>
      <c r="BD72" s="16">
        <f t="shared" si="18"/>
        <v>1113907.2760732146</v>
      </c>
      <c r="BE72" s="16">
        <f t="shared" si="18"/>
        <v>1025373.0742617993</v>
      </c>
      <c r="BF72" s="16">
        <f t="shared" si="18"/>
        <v>941559.25973365293</v>
      </c>
      <c r="BG72" s="16">
        <f t="shared" si="18"/>
        <v>862352.93208858941</v>
      </c>
      <c r="BH72" s="172">
        <f t="shared" si="123"/>
        <v>192402.00403895453</v>
      </c>
      <c r="BI72" s="16">
        <f t="shared" si="189"/>
        <v>184670.70406523009</v>
      </c>
      <c r="BJ72" s="16">
        <f t="shared" si="189"/>
        <v>177162.71132132332</v>
      </c>
      <c r="BK72" s="16">
        <f t="shared" si="189"/>
        <v>169879.2415062098</v>
      </c>
      <c r="BL72" s="16">
        <f t="shared" si="189"/>
        <v>162819.85085005857</v>
      </c>
      <c r="BM72" s="16">
        <f t="shared" si="189"/>
        <v>155981.78985652846</v>
      </c>
      <c r="BN72" s="16">
        <f t="shared" si="189"/>
        <v>149361.83689619804</v>
      </c>
      <c r="BO72" s="16">
        <f t="shared" si="189"/>
        <v>142950.88600960682</v>
      </c>
      <c r="BP72" s="16">
        <f t="shared" si="189"/>
        <v>136742.02678352417</v>
      </c>
      <c r="BQ72" s="16">
        <f t="shared" si="189"/>
        <v>130729.65381915121</v>
      </c>
      <c r="BR72" s="16">
        <f t="shared" si="189"/>
        <v>124906.36410356843</v>
      </c>
      <c r="BS72" s="16">
        <f t="shared" si="189"/>
        <v>119268.21591464471</v>
      </c>
      <c r="BT72" s="16">
        <f t="shared" si="189"/>
        <v>113811.11474037961</v>
      </c>
      <c r="BU72" s="16">
        <f t="shared" si="189"/>
        <v>108506.0895304641</v>
      </c>
      <c r="BV72" s="16">
        <f t="shared" si="189"/>
        <v>103340.87372927672</v>
      </c>
      <c r="BW72" s="16">
        <f t="shared" si="189"/>
        <v>98291.528762306916</v>
      </c>
      <c r="BX72" s="16">
        <f t="shared" si="168"/>
        <v>93361.894884230453</v>
      </c>
      <c r="BY72" s="16">
        <f t="shared" si="149"/>
        <v>88534.201811415609</v>
      </c>
      <c r="BZ72" s="16">
        <f t="shared" si="149"/>
        <v>83813.814528146351</v>
      </c>
      <c r="CA72" s="16">
        <f t="shared" si="149"/>
        <v>79206.327645063458</v>
      </c>
      <c r="CB72" s="16">
        <f t="shared" si="149"/>
        <v>74698.07400248514</v>
      </c>
      <c r="CC72" s="18">
        <f t="shared" si="124"/>
        <v>5.4205064383173003</v>
      </c>
      <c r="CD72" s="18">
        <f t="shared" si="124"/>
        <v>4.6055723992849877</v>
      </c>
      <c r="CE72" s="18">
        <f t="shared" si="124"/>
        <v>3.7583732410059274</v>
      </c>
      <c r="CF72" s="18">
        <f t="shared" si="124"/>
        <v>2.8766368267245439</v>
      </c>
      <c r="CG72" s="18">
        <f t="shared" si="124"/>
        <v>1.9580022892919355</v>
      </c>
      <c r="CH72" s="18">
        <f t="shared" si="150"/>
        <v>0.99999999999999367</v>
      </c>
      <c r="CI72" s="18">
        <f t="shared" si="150"/>
        <v>0</v>
      </c>
      <c r="CJ72" s="18">
        <f t="shared" si="150"/>
        <v>-1.0448472273628349</v>
      </c>
      <c r="CK72" s="18">
        <f t="shared" si="150"/>
        <v>-2.1376948242003508</v>
      </c>
      <c r="CL72" s="18">
        <f t="shared" si="151"/>
        <v>-3.2820001977736051</v>
      </c>
      <c r="CM72" s="18">
        <f t="shared" si="151"/>
        <v>-4.4816323613769171</v>
      </c>
      <c r="CN72" s="18">
        <f t="shared" si="151"/>
        <v>-5.7407647323412077</v>
      </c>
      <c r="CO72" s="18">
        <f t="shared" si="151"/>
        <v>-7.0639760041068547</v>
      </c>
      <c r="CP72" s="18">
        <f t="shared" si="152"/>
        <v>-8.4582358671160147</v>
      </c>
      <c r="CQ72" s="18">
        <f t="shared" si="153"/>
        <v>-9.9309803639369729</v>
      </c>
      <c r="CR72" s="18">
        <f t="shared" si="154"/>
        <v>-11.492516962051795</v>
      </c>
      <c r="CS72" s="18">
        <f t="shared" ref="CS72:CS107" si="267">(BC72-$V72)/BX72</f>
        <v>-13.152138694397086</v>
      </c>
      <c r="CT72" s="18">
        <f t="shared" si="125"/>
        <v>-14.92384251667796</v>
      </c>
      <c r="CU72" s="18">
        <f t="shared" si="125"/>
        <v>-16.820672044598634</v>
      </c>
      <c r="CV72" s="18">
        <f t="shared" si="125"/>
        <v>-18.857312867805994</v>
      </c>
      <c r="CW72" s="18">
        <f t="shared" si="22"/>
        <v>-21.055761479280577</v>
      </c>
      <c r="CX72" s="17">
        <f t="shared" si="190"/>
        <v>1246.2043128696612</v>
      </c>
      <c r="CY72" s="17">
        <f t="shared" si="264"/>
        <v>1285.0036795743104</v>
      </c>
      <c r="CZ72" s="17">
        <f t="shared" si="264"/>
        <v>1314.8837894199046</v>
      </c>
      <c r="DA72" s="17">
        <f t="shared" si="264"/>
        <v>1337.4910783213436</v>
      </c>
      <c r="DB72" s="17">
        <f t="shared" si="264"/>
        <v>1355.1865430531943</v>
      </c>
      <c r="DC72" s="17">
        <f t="shared" si="264"/>
        <v>1368.5450992285078</v>
      </c>
      <c r="DD72" s="17">
        <f t="shared" si="263"/>
        <v>1383.6640011690392</v>
      </c>
      <c r="DE72" s="17">
        <f t="shared" si="263"/>
        <v>1398.6228844655041</v>
      </c>
      <c r="DF72" s="3" t="e">
        <f>#REF!+$AG$35*0.004*(1+$R$28)*#REF!-S72*#REF!</f>
        <v>#REF!</v>
      </c>
      <c r="DG72" s="19">
        <f t="shared" si="191"/>
        <v>2225.8784255913079</v>
      </c>
      <c r="DH72" s="19">
        <f t="shared" si="192"/>
        <v>2117.3908568959714</v>
      </c>
      <c r="DI72" s="19">
        <f t="shared" si="193"/>
        <v>1994.1526016717478</v>
      </c>
      <c r="DJ72" s="19">
        <f t="shared" si="194"/>
        <v>1857.3994416658268</v>
      </c>
      <c r="DK72" s="19">
        <f t="shared" si="195"/>
        <v>1709.0656828157332</v>
      </c>
      <c r="DL72" s="19">
        <f t="shared" si="196"/>
        <v>1549.2798928995146</v>
      </c>
      <c r="DM72" s="19">
        <f t="shared" si="197"/>
        <v>1383.6640011690392</v>
      </c>
      <c r="DN72" s="19">
        <f t="shared" si="198"/>
        <v>1209.7826364103576</v>
      </c>
      <c r="DO72" s="173">
        <f t="shared" si="127"/>
        <v>76082.783920534741</v>
      </c>
      <c r="DP72" s="25">
        <f t="shared" si="262"/>
        <v>74836.579607665073</v>
      </c>
      <c r="DQ72" s="26">
        <f t="shared" si="262"/>
        <v>73551.575928090766</v>
      </c>
      <c r="DR72" s="26">
        <f t="shared" si="262"/>
        <v>72236.692138670856</v>
      </c>
      <c r="DS72" s="26">
        <f t="shared" si="262"/>
        <v>70899.201060349529</v>
      </c>
      <c r="DT72" s="26">
        <f t="shared" si="262"/>
        <v>69544.014517296338</v>
      </c>
      <c r="DU72" s="26">
        <f t="shared" si="262"/>
        <v>68175.46941806782</v>
      </c>
      <c r="DV72" s="26">
        <f t="shared" si="262"/>
        <v>66791.805416898773</v>
      </c>
      <c r="DW72" s="26">
        <f t="shared" si="262"/>
        <v>65393.182532433275</v>
      </c>
      <c r="DX72" s="26">
        <f t="shared" si="262"/>
        <v>63980.850699294751</v>
      </c>
      <c r="DY72" s="26">
        <f t="shared" si="262"/>
        <v>62554.038207059304</v>
      </c>
      <c r="DZ72" s="26">
        <f t="shared" si="262"/>
        <v>61115.240000982594</v>
      </c>
      <c r="EA72" s="26">
        <f t="shared" si="262"/>
        <v>59666.659978071591</v>
      </c>
      <c r="EB72" s="26">
        <f t="shared" si="262"/>
        <v>58185.053037586011</v>
      </c>
      <c r="EC72" s="26">
        <f t="shared" si="262"/>
        <v>56663.171693451171</v>
      </c>
      <c r="ED72" s="26">
        <f t="shared" si="262"/>
        <v>55081.471929218045</v>
      </c>
      <c r="EE72" s="26">
        <f t="shared" si="145"/>
        <v>53447.84694462482</v>
      </c>
      <c r="EF72" s="26">
        <f t="shared" si="34"/>
        <v>51748.336585876787</v>
      </c>
      <c r="EG72" s="26">
        <f t="shared" si="34"/>
        <v>49991.905999111841</v>
      </c>
      <c r="EH72" s="26">
        <f t="shared" si="34"/>
        <v>48187.938512941255</v>
      </c>
      <c r="EI72" s="26">
        <f t="shared" si="34"/>
        <v>0</v>
      </c>
      <c r="EJ72" s="26">
        <f t="shared" si="128"/>
        <v>4.1097880149241962E-2</v>
      </c>
      <c r="EK72" s="26">
        <f t="shared" si="128"/>
        <v>3.6070205197487042E-2</v>
      </c>
      <c r="EL72" s="26">
        <f t="shared" si="169"/>
        <v>3.0345587228410617E-2</v>
      </c>
      <c r="EM72" s="26">
        <f t="shared" si="169"/>
        <v>2.3906527275462209E-2</v>
      </c>
      <c r="EN72" s="26">
        <f t="shared" si="169"/>
        <v>1.6728498571037288E-2</v>
      </c>
      <c r="EO72" s="26">
        <f t="shared" si="169"/>
        <v>8.7737491696133381E-3</v>
      </c>
      <c r="EP72" s="26">
        <f t="shared" si="169"/>
        <v>0</v>
      </c>
      <c r="EQ72" s="26">
        <f t="shared" si="169"/>
        <v>-9.6792964338539306E-3</v>
      </c>
      <c r="ER72" s="26">
        <f t="shared" si="169"/>
        <v>-2.0346977085831656E-2</v>
      </c>
      <c r="ES72" s="26">
        <f t="shared" si="169"/>
        <v>-3.2086206887504042E-2</v>
      </c>
      <c r="ET72" s="26">
        <f t="shared" si="169"/>
        <v>-4.5005162477929482E-2</v>
      </c>
      <c r="EU72" s="26">
        <f t="shared" si="169"/>
        <v>-5.9196235668838526E-2</v>
      </c>
      <c r="EV72" s="26">
        <f t="shared" si="169"/>
        <v>-7.4762552492400339E-2</v>
      </c>
      <c r="EW72" s="26">
        <f t="shared" si="169"/>
        <v>-9.2072402790600111E-2</v>
      </c>
      <c r="EX72" s="26">
        <f t="shared" si="169"/>
        <v>-0.11140120369773095</v>
      </c>
      <c r="EY72" s="26">
        <f t="shared" si="169"/>
        <v>-0.13321593074937596</v>
      </c>
      <c r="EZ72" s="26">
        <f t="shared" si="146"/>
        <v>-0.15774768166076084</v>
      </c>
      <c r="FA72" s="26">
        <f t="shared" si="146"/>
        <v>-0.18554561396715408</v>
      </c>
      <c r="FB72" s="26">
        <f t="shared" si="146"/>
        <v>-0.21695186552867815</v>
      </c>
      <c r="FC72" s="26">
        <f t="shared" si="146"/>
        <v>-0.25234765326697089</v>
      </c>
      <c r="FD72" s="26">
        <f t="shared" si="146"/>
        <v>-0.91268041818320078</v>
      </c>
      <c r="FE72" s="26">
        <f t="shared" si="130"/>
        <v>5.1968072759424517</v>
      </c>
      <c r="FF72" s="26">
        <f t="shared" si="130"/>
        <v>4.4143733276847623</v>
      </c>
      <c r="FG72" s="26">
        <f t="shared" si="130"/>
        <v>3.601450408781361</v>
      </c>
      <c r="FH72" s="26">
        <f t="shared" si="130"/>
        <v>2.7558604185648616</v>
      </c>
      <c r="FI72" s="26">
        <f t="shared" si="130"/>
        <v>1.8753464344708062</v>
      </c>
      <c r="FJ72" s="26">
        <f t="shared" si="157"/>
        <v>0.95755944994336117</v>
      </c>
      <c r="FK72" s="26">
        <f t="shared" si="157"/>
        <v>0</v>
      </c>
      <c r="FL72" s="26">
        <f t="shared" si="157"/>
        <v>-1.0000000000000013</v>
      </c>
      <c r="FM72" s="26">
        <f t="shared" si="157"/>
        <v>-2.0454056398908853</v>
      </c>
      <c r="FN72" s="26">
        <f t="shared" si="157"/>
        <v>-3.1394756631120009</v>
      </c>
      <c r="FO72" s="26">
        <f t="shared" si="170"/>
        <v>-4.2858419149241458</v>
      </c>
      <c r="FP72" s="26">
        <f t="shared" si="158"/>
        <v>-5.4884458664072158</v>
      </c>
      <c r="FQ72" s="26">
        <f t="shared" si="158"/>
        <v>-6.7516100085982842</v>
      </c>
      <c r="FR72" s="26">
        <f t="shared" si="158"/>
        <v>-8.0817063327596657</v>
      </c>
      <c r="FS72" s="26">
        <f t="shared" si="158"/>
        <v>-9.4856487008093389</v>
      </c>
      <c r="FT72" s="26">
        <f t="shared" si="159"/>
        <v>-10.972937006617464</v>
      </c>
      <c r="FU72" s="26">
        <f t="shared" si="143"/>
        <v>-12.5523228693069</v>
      </c>
      <c r="FV72" s="26">
        <f t="shared" si="131"/>
        <v>-14.23679012516998</v>
      </c>
      <c r="FW72" s="26">
        <f t="shared" si="131"/>
        <v>-16.038604998288037</v>
      </c>
      <c r="FX72" s="26">
        <f t="shared" si="39"/>
        <v>2142865.0383407604</v>
      </c>
      <c r="FY72" s="26">
        <f t="shared" si="40"/>
        <v>136742.02678352417</v>
      </c>
      <c r="FZ72" s="26">
        <f t="shared" si="132"/>
        <v>0.77630083762515079</v>
      </c>
      <c r="GA72" s="26">
        <f t="shared" si="160"/>
        <v>0.80880092839977413</v>
      </c>
      <c r="GB72" s="26">
        <f t="shared" si="132"/>
        <v>0.84307716777543373</v>
      </c>
      <c r="GC72" s="26">
        <f t="shared" si="132"/>
        <v>0.87922359184031462</v>
      </c>
      <c r="GD72" s="26">
        <f t="shared" si="132"/>
        <v>0.91734414517886975</v>
      </c>
      <c r="GE72" s="26">
        <f t="shared" si="161"/>
        <v>0.95755944994335929</v>
      </c>
      <c r="GF72" s="26">
        <f t="shared" si="161"/>
        <v>1</v>
      </c>
      <c r="GG72" s="26">
        <f t="shared" si="161"/>
        <v>1.0448472273628326</v>
      </c>
      <c r="GH72" s="26">
        <f t="shared" si="161"/>
        <v>1.0922891843094606</v>
      </c>
      <c r="GI72" s="26">
        <f t="shared" si="161"/>
        <v>1.142524534661602</v>
      </c>
      <c r="GJ72" s="26">
        <f t="shared" si="171"/>
        <v>1.1957904464527678</v>
      </c>
      <c r="GK72" s="26">
        <f t="shared" si="162"/>
        <v>1.2523188659339894</v>
      </c>
      <c r="GL72" s="26">
        <f t="shared" si="162"/>
        <v>1.3123659955085671</v>
      </c>
      <c r="GM72" s="26">
        <f t="shared" si="162"/>
        <v>1.3765295343563488</v>
      </c>
      <c r="GN72" s="26">
        <f t="shared" si="162"/>
        <v>1.4453316631276312</v>
      </c>
      <c r="GO72" s="26">
        <f t="shared" si="163"/>
        <v>1.5195799554343252</v>
      </c>
      <c r="GP72" s="26">
        <f t="shared" si="265"/>
        <v>1.5998158250901826</v>
      </c>
      <c r="GQ72" s="26">
        <f t="shared" si="134"/>
        <v>1.6870523915079711</v>
      </c>
      <c r="GR72" s="26">
        <f t="shared" si="134"/>
        <v>1.7820670463105979</v>
      </c>
      <c r="GS72" s="26">
        <f t="shared" si="134"/>
        <v>1.8857311194316813</v>
      </c>
      <c r="GT72" s="26">
        <f t="shared" si="134"/>
        <v>1.9995406694318372</v>
      </c>
      <c r="GU72" s="26">
        <f t="shared" si="135"/>
        <v>5.4205064383173003</v>
      </c>
      <c r="GV72" s="26">
        <f t="shared" si="164"/>
        <v>4.6055723992849877</v>
      </c>
      <c r="GW72" s="26">
        <f t="shared" si="135"/>
        <v>3.7583732410059274</v>
      </c>
      <c r="GX72" s="26">
        <f t="shared" si="135"/>
        <v>2.8766368267245439</v>
      </c>
      <c r="GY72" s="26">
        <f t="shared" si="135"/>
        <v>1.9580022892919355</v>
      </c>
      <c r="GZ72" s="26">
        <f t="shared" si="165"/>
        <v>0.99999999999999367</v>
      </c>
      <c r="HA72" s="26">
        <f t="shared" si="165"/>
        <v>0</v>
      </c>
      <c r="HB72" s="26">
        <f t="shared" si="165"/>
        <v>-1.0448472273628349</v>
      </c>
      <c r="HC72" s="26">
        <f t="shared" si="165"/>
        <v>-2.1376948242003508</v>
      </c>
      <c r="HD72" s="26">
        <f t="shared" si="165"/>
        <v>-3.2820001977736051</v>
      </c>
      <c r="HE72" s="26">
        <f t="shared" si="172"/>
        <v>-4.4816323613769171</v>
      </c>
      <c r="HF72" s="26">
        <f t="shared" si="166"/>
        <v>-5.7407647323412077</v>
      </c>
      <c r="HG72" s="26">
        <f t="shared" si="166"/>
        <v>-7.0639760041068547</v>
      </c>
      <c r="HH72" s="26">
        <f t="shared" si="166"/>
        <v>-8.4582358671160147</v>
      </c>
      <c r="HI72" s="26">
        <f t="shared" si="166"/>
        <v>-9.9309803639369729</v>
      </c>
      <c r="HJ72" s="26">
        <f t="shared" si="167"/>
        <v>-11.492516962051795</v>
      </c>
      <c r="HK72" s="26">
        <f t="shared" si="266"/>
        <v>-13.152138694397086</v>
      </c>
      <c r="HL72" s="26">
        <f t="shared" si="137"/>
        <v>-14.92384251667796</v>
      </c>
      <c r="HM72" s="26">
        <f t="shared" si="137"/>
        <v>-16.820672044598634</v>
      </c>
      <c r="HN72" s="26">
        <f t="shared" si="137"/>
        <v>-18.857312867805994</v>
      </c>
      <c r="HO72" s="26">
        <f t="shared" si="137"/>
        <v>-21.055761479280577</v>
      </c>
      <c r="HP72" s="26">
        <f t="shared" si="199"/>
        <v>527501.90539235831</v>
      </c>
      <c r="HQ72" s="26">
        <f t="shared" si="200"/>
        <v>542114.89427577856</v>
      </c>
      <c r="HR72" s="26">
        <f t="shared" si="201"/>
        <v>557638.48870117671</v>
      </c>
      <c r="HS72" s="26">
        <f t="shared" si="202"/>
        <v>574235.96604962402</v>
      </c>
      <c r="HT72" s="26">
        <f t="shared" si="203"/>
        <v>592077.00598187791</v>
      </c>
      <c r="HU72" s="26">
        <f t="shared" si="204"/>
        <v>611339.51365960902</v>
      </c>
      <c r="HV72" s="26">
        <f t="shared" si="205"/>
        <v>632215.9078880985</v>
      </c>
      <c r="HW72" s="26">
        <f t="shared" si="206"/>
        <v>654917.50657358125</v>
      </c>
      <c r="HX72" s="26">
        <f t="shared" si="207"/>
        <v>679686.78317461954</v>
      </c>
      <c r="HY72" s="26">
        <f t="shared" si="208"/>
        <v>706797.07334691251</v>
      </c>
      <c r="HZ72" s="26">
        <f t="shared" si="209"/>
        <v>736563.32517802657</v>
      </c>
      <c r="IA72" s="26">
        <f t="shared" si="210"/>
        <v>769332.00363605656</v>
      </c>
      <c r="IB72" s="26">
        <f t="shared" si="211"/>
        <v>805490.98409187188</v>
      </c>
      <c r="IC72" s="26">
        <f t="shared" si="212"/>
        <v>845682.44629540714</v>
      </c>
      <c r="ID72" s="26">
        <f t="shared" si="213"/>
        <v>890602.60455398448</v>
      </c>
      <c r="IE72" s="26">
        <f t="shared" si="214"/>
        <v>941260.94329456147</v>
      </c>
      <c r="IF72" s="26">
        <f t="shared" si="215"/>
        <v>998559.090529048</v>
      </c>
      <c r="IG72" s="26">
        <f t="shared" si="216"/>
        <v>1063914.4112870481</v>
      </c>
      <c r="IH72" s="26">
        <f t="shared" si="217"/>
        <v>1138641.4013412101</v>
      </c>
      <c r="II72" s="26">
        <f t="shared" si="218"/>
        <v>-245647345421.79016</v>
      </c>
      <c r="IJ72" s="26">
        <f t="shared" si="219"/>
        <v>547598.28503432428</v>
      </c>
      <c r="IK72" s="26">
        <f t="shared" si="220"/>
        <v>561808.75641189667</v>
      </c>
      <c r="IL72" s="26">
        <f t="shared" si="221"/>
        <v>577002.0314787915</v>
      </c>
      <c r="IM72" s="26">
        <f t="shared" si="222"/>
        <v>593350.90973756567</v>
      </c>
      <c r="IN72" s="26">
        <f t="shared" si="223"/>
        <v>611035.33567338425</v>
      </c>
      <c r="IO72" s="26">
        <f t="shared" si="224"/>
        <v>630244.30903331668</v>
      </c>
      <c r="IP72" s="26">
        <f t="shared" si="225"/>
        <v>651182.38512474147</v>
      </c>
      <c r="IQ72" s="26">
        <f t="shared" si="226"/>
        <v>674074.22868505353</v>
      </c>
      <c r="IR72" s="26">
        <f t="shared" si="227"/>
        <v>699177.28456399927</v>
      </c>
      <c r="IS72" s="26">
        <f t="shared" si="228"/>
        <v>726781.58178666874</v>
      </c>
      <c r="IT72" s="26">
        <f t="shared" si="229"/>
        <v>757220.88336837548</v>
      </c>
      <c r="IU72" s="26">
        <f t="shared" si="230"/>
        <v>790862.46101246506</v>
      </c>
      <c r="IV72" s="26">
        <f t="shared" si="231"/>
        <v>828117.3864558473</v>
      </c>
      <c r="IW72" s="26">
        <f t="shared" si="232"/>
        <v>869659.64046347211</v>
      </c>
      <c r="IX72" s="26">
        <f t="shared" si="233"/>
        <v>916220.74634817685</v>
      </c>
      <c r="IY72" s="26">
        <f t="shared" si="234"/>
        <v>968856.85350714112</v>
      </c>
      <c r="IZ72" s="26">
        <f t="shared" si="235"/>
        <v>1028515.8632449195</v>
      </c>
      <c r="JA72" s="26">
        <f t="shared" si="236"/>
        <v>1096679.8815829428</v>
      </c>
      <c r="JB72" s="26">
        <f t="shared" si="237"/>
        <v>1174728.8746517897</v>
      </c>
      <c r="JC72" s="26">
        <f t="shared" si="238"/>
        <v>-253016762513.68372</v>
      </c>
      <c r="JD72" s="26">
        <f t="shared" si="239"/>
        <v>151752.0663252353</v>
      </c>
      <c r="JE72" s="26">
        <f t="shared" si="240"/>
        <v>242375.63595053309</v>
      </c>
      <c r="JF72" s="26">
        <f t="shared" si="241"/>
        <v>337229.82999269117</v>
      </c>
      <c r="JG72" s="26">
        <f t="shared" si="242"/>
        <v>436704.7925135796</v>
      </c>
      <c r="JH72" s="26">
        <f t="shared" si="243"/>
        <v>541209.40641180542</v>
      </c>
      <c r="JI72" s="26">
        <f t="shared" si="244"/>
        <v>651182.38512474147</v>
      </c>
      <c r="JJ72" s="26">
        <f t="shared" si="245"/>
        <v>767102.09982766013</v>
      </c>
      <c r="JK72" s="26">
        <f t="shared" si="246"/>
        <v>889506.73507118737</v>
      </c>
      <c r="JL72" s="26">
        <f t="shared" si="247"/>
        <v>1018994.1497992242</v>
      </c>
      <c r="JM72" s="26">
        <f t="shared" si="248"/>
        <v>1156242.5842489852</v>
      </c>
      <c r="JN72" s="26">
        <f t="shared" si="249"/>
        <v>1301990.8899294739</v>
      </c>
      <c r="JO72" s="26">
        <f t="shared" si="250"/>
        <v>1457057.8021021972</v>
      </c>
      <c r="JP72" s="26">
        <f t="shared" si="251"/>
        <v>1622737.8472419248</v>
      </c>
      <c r="JQ72" s="26">
        <f t="shared" si="252"/>
        <v>1800424.615987451</v>
      </c>
      <c r="JR72" s="26">
        <f t="shared" si="253"/>
        <v>1992091.9820994954</v>
      </c>
      <c r="JS72" s="26">
        <f t="shared" si="254"/>
        <v>2199515.2511651814</v>
      </c>
      <c r="JT72" s="26">
        <f t="shared" si="255"/>
        <v>2425422.7467941428</v>
      </c>
      <c r="JU72" s="26">
        <f t="shared" si="256"/>
        <v>2672355.7721710149</v>
      </c>
      <c r="JV72" s="26">
        <f t="shared" si="257"/>
        <v>-253015083554.66882</v>
      </c>
      <c r="JW72" s="26">
        <f t="shared" si="258"/>
        <v>2026449.7392547606</v>
      </c>
      <c r="JX72" s="26" t="e">
        <f>AH72+$AG$38*0.004*(1+$R$28)*#REF!-S72*#REF!</f>
        <v>#REF!</v>
      </c>
      <c r="JY72" s="34">
        <f t="shared" si="259"/>
        <v>5.4876087228381623E-2</v>
      </c>
      <c r="JZ72" s="4">
        <f t="shared" si="260"/>
        <v>45959.343976427976</v>
      </c>
      <c r="KA72" s="165"/>
    </row>
    <row r="73" spans="1:287" ht="15.75" x14ac:dyDescent="0.3">
      <c r="A73" s="34">
        <v>72</v>
      </c>
      <c r="B73" s="34">
        <v>45</v>
      </c>
      <c r="C73" s="2">
        <v>923065</v>
      </c>
      <c r="D73" s="1">
        <f t="shared" si="106"/>
        <v>4866</v>
      </c>
      <c r="E73" s="145">
        <f t="shared" si="107"/>
        <v>0.99472843190891214</v>
      </c>
      <c r="F73" s="146">
        <f t="shared" si="108"/>
        <v>5.2715680910878637E-3</v>
      </c>
      <c r="G73" s="158">
        <f t="shared" si="173"/>
        <v>6.5894601138598297E-3</v>
      </c>
      <c r="H73" s="43">
        <f t="shared" si="109"/>
        <v>5961.7692889039017</v>
      </c>
      <c r="I73" s="43">
        <f t="shared" si="139"/>
        <v>904743.2089867749</v>
      </c>
      <c r="J73" s="43">
        <f t="shared" si="110"/>
        <v>920632</v>
      </c>
      <c r="K73" s="147">
        <f>SUM(J73:$J$138)</f>
        <v>29717607.5</v>
      </c>
      <c r="L73" s="147">
        <f t="shared" si="111"/>
        <v>32.19449063717073</v>
      </c>
      <c r="M73" s="43">
        <f t="shared" si="174"/>
        <v>1150790</v>
      </c>
      <c r="N73" s="148">
        <f t="shared" si="175"/>
        <v>37147009.375</v>
      </c>
      <c r="O73" s="147">
        <f t="shared" si="6"/>
        <v>40.243113296463413</v>
      </c>
      <c r="P73" s="157">
        <f t="shared" si="176"/>
        <v>192402.00403895453</v>
      </c>
      <c r="Q73" s="43">
        <f t="shared" si="177"/>
        <v>1153831.25</v>
      </c>
      <c r="R73" s="43">
        <f t="shared" si="178"/>
        <v>1246.2043128696612</v>
      </c>
      <c r="S73" s="43">
        <f>SUM(R73:$R$138)</f>
        <v>76082.783920534741</v>
      </c>
      <c r="T73" s="43">
        <f t="shared" si="112"/>
        <v>1870854.9142666282</v>
      </c>
      <c r="U73" s="153">
        <f>SUM(P73:$P$138)</f>
        <v>3478094.06288487</v>
      </c>
      <c r="V73" s="129">
        <f t="shared" si="179"/>
        <v>2285815.9243503674</v>
      </c>
      <c r="W73" s="43">
        <f t="shared" si="180"/>
        <v>142950.88600960682</v>
      </c>
      <c r="X73" s="26">
        <f t="shared" si="114"/>
        <v>6.1968072759424526</v>
      </c>
      <c r="Y73" s="26">
        <f t="shared" si="115"/>
        <v>0.74298023413864434</v>
      </c>
      <c r="Z73" s="43">
        <f t="shared" si="181"/>
        <v>66791.805416898773</v>
      </c>
      <c r="AA73" s="149">
        <f t="shared" si="116"/>
        <v>4.8289406079964098E-2</v>
      </c>
      <c r="AB73" s="150">
        <f t="shared" si="138"/>
        <v>3285692.0588459154</v>
      </c>
      <c r="AC73" s="150">
        <f t="shared" si="117"/>
        <v>2142865.0383407604</v>
      </c>
      <c r="AD73" s="26">
        <f t="shared" si="118"/>
        <v>5.9397875100810973</v>
      </c>
      <c r="AE73" s="26">
        <f t="shared" si="182"/>
        <v>532446.25335481972</v>
      </c>
      <c r="AF73" s="43">
        <f t="shared" si="183"/>
        <v>85922.674313578944</v>
      </c>
      <c r="AG73" s="43">
        <f t="shared" si="184"/>
        <v>553647.57023986778</v>
      </c>
      <c r="AH73" s="27">
        <f t="shared" si="185"/>
        <v>93186.806605186037</v>
      </c>
      <c r="AI73" s="28">
        <f t="shared" si="186"/>
        <v>595319.96799985785</v>
      </c>
      <c r="AJ73" s="20">
        <f t="shared" si="187"/>
        <v>100200.86731740435</v>
      </c>
      <c r="AK73" s="3">
        <f t="shared" si="188"/>
        <v>8684.0751675083775</v>
      </c>
      <c r="AL73" s="3"/>
      <c r="AM73" s="46">
        <f t="shared" si="121"/>
        <v>3285692.0588459154</v>
      </c>
      <c r="AN73" s="46">
        <f t="shared" si="122"/>
        <v>3101021.3547806852</v>
      </c>
      <c r="AO73" s="46">
        <f t="shared" si="122"/>
        <v>2923858.6434593615</v>
      </c>
      <c r="AP73" s="3">
        <f t="shared" si="261"/>
        <v>2753979.4019531519</v>
      </c>
      <c r="AQ73" s="3">
        <f t="shared" si="261"/>
        <v>2591159.5511030932</v>
      </c>
      <c r="AR73" s="16">
        <f t="shared" si="261"/>
        <v>2435177.7612465657</v>
      </c>
      <c r="AS73" s="16">
        <f t="shared" si="261"/>
        <v>2285815.9243503674</v>
      </c>
      <c r="AT73" s="16">
        <f t="shared" si="261"/>
        <v>2142865.0383407604</v>
      </c>
      <c r="AU73" s="16">
        <f t="shared" si="261"/>
        <v>2006123.0115572365</v>
      </c>
      <c r="AV73" s="16">
        <f t="shared" si="261"/>
        <v>1875393.3577380853</v>
      </c>
      <c r="AW73" s="16">
        <f t="shared" si="261"/>
        <v>1750486.9936345171</v>
      </c>
      <c r="AX73" s="16">
        <f t="shared" si="261"/>
        <v>1631218.7777198723</v>
      </c>
      <c r="AY73" s="16">
        <f t="shared" si="261"/>
        <v>1517407.6629794927</v>
      </c>
      <c r="AZ73" s="16">
        <f t="shared" si="261"/>
        <v>1408901.5734490284</v>
      </c>
      <c r="BA73" s="16">
        <f t="shared" si="261"/>
        <v>1305560.6997197517</v>
      </c>
      <c r="BB73" s="16">
        <f t="shared" si="261"/>
        <v>1207269.1709574449</v>
      </c>
      <c r="BC73" s="16">
        <f t="shared" si="144"/>
        <v>1113907.2760732146</v>
      </c>
      <c r="BD73" s="16">
        <f t="shared" si="18"/>
        <v>1025373.0742617993</v>
      </c>
      <c r="BE73" s="16">
        <f t="shared" si="18"/>
        <v>941559.25973365293</v>
      </c>
      <c r="BF73" s="16">
        <f t="shared" si="18"/>
        <v>862352.93208858941</v>
      </c>
      <c r="BG73" s="16">
        <f t="shared" si="18"/>
        <v>787654.85808610427</v>
      </c>
      <c r="BH73" s="172">
        <f t="shared" si="123"/>
        <v>184670.70406523009</v>
      </c>
      <c r="BI73" s="16">
        <f t="shared" si="189"/>
        <v>177162.71132132332</v>
      </c>
      <c r="BJ73" s="16">
        <f t="shared" si="189"/>
        <v>169879.2415062098</v>
      </c>
      <c r="BK73" s="16">
        <f t="shared" si="189"/>
        <v>162819.85085005857</v>
      </c>
      <c r="BL73" s="16">
        <f t="shared" si="189"/>
        <v>155981.78985652846</v>
      </c>
      <c r="BM73" s="16">
        <f t="shared" si="189"/>
        <v>149361.83689619804</v>
      </c>
      <c r="BN73" s="16">
        <f t="shared" si="189"/>
        <v>142950.88600960682</v>
      </c>
      <c r="BO73" s="16">
        <f t="shared" si="189"/>
        <v>136742.02678352417</v>
      </c>
      <c r="BP73" s="16">
        <f t="shared" si="189"/>
        <v>130729.65381915121</v>
      </c>
      <c r="BQ73" s="16">
        <f t="shared" si="189"/>
        <v>124906.36410356843</v>
      </c>
      <c r="BR73" s="16">
        <f t="shared" si="189"/>
        <v>119268.21591464471</v>
      </c>
      <c r="BS73" s="16">
        <f t="shared" si="189"/>
        <v>113811.11474037961</v>
      </c>
      <c r="BT73" s="16">
        <f t="shared" si="189"/>
        <v>108506.0895304641</v>
      </c>
      <c r="BU73" s="16">
        <f t="shared" si="189"/>
        <v>103340.87372927672</v>
      </c>
      <c r="BV73" s="16">
        <f t="shared" si="189"/>
        <v>98291.528762306916</v>
      </c>
      <c r="BW73" s="16">
        <f t="shared" si="189"/>
        <v>93361.894884230453</v>
      </c>
      <c r="BX73" s="16">
        <f t="shared" si="168"/>
        <v>88534.201811415609</v>
      </c>
      <c r="BY73" s="16">
        <f t="shared" si="149"/>
        <v>83813.814528146351</v>
      </c>
      <c r="BZ73" s="16">
        <f t="shared" si="149"/>
        <v>79206.327645063458</v>
      </c>
      <c r="CA73" s="16">
        <f t="shared" si="149"/>
        <v>74698.07400248514</v>
      </c>
      <c r="CB73" s="16">
        <f t="shared" si="149"/>
        <v>70296.980769218397</v>
      </c>
      <c r="CC73" s="18">
        <f t="shared" si="124"/>
        <v>5.4143733276847632</v>
      </c>
      <c r="CD73" s="18">
        <f t="shared" si="124"/>
        <v>4.6014504087813624</v>
      </c>
      <c r="CE73" s="18">
        <f t="shared" si="124"/>
        <v>3.7558604185648603</v>
      </c>
      <c r="CF73" s="18">
        <f t="shared" si="124"/>
        <v>2.8753464344708068</v>
      </c>
      <c r="CG73" s="18">
        <f t="shared" si="124"/>
        <v>1.9575594499433548</v>
      </c>
      <c r="CH73" s="18">
        <f t="shared" si="150"/>
        <v>1.000000000000002</v>
      </c>
      <c r="CI73" s="18">
        <f t="shared" si="150"/>
        <v>0</v>
      </c>
      <c r="CJ73" s="18">
        <f t="shared" si="150"/>
        <v>-1.0454056398908878</v>
      </c>
      <c r="CK73" s="18">
        <f t="shared" si="150"/>
        <v>-2.1394756631120009</v>
      </c>
      <c r="CL73" s="18">
        <f t="shared" si="151"/>
        <v>-3.2858419149241476</v>
      </c>
      <c r="CM73" s="18">
        <f t="shared" si="151"/>
        <v>-4.4884458664072158</v>
      </c>
      <c r="CN73" s="18">
        <f t="shared" si="151"/>
        <v>-5.7516100085982842</v>
      </c>
      <c r="CO73" s="18">
        <f t="shared" si="151"/>
        <v>-7.0817063327596639</v>
      </c>
      <c r="CP73" s="18">
        <f t="shared" si="152"/>
        <v>-8.4856487008093389</v>
      </c>
      <c r="CQ73" s="18">
        <f t="shared" si="153"/>
        <v>-9.9729370066174656</v>
      </c>
      <c r="CR73" s="18">
        <f t="shared" si="154"/>
        <v>-11.552322869306902</v>
      </c>
      <c r="CS73" s="18">
        <f t="shared" si="267"/>
        <v>-13.236790125169986</v>
      </c>
      <c r="CT73" s="18">
        <f t="shared" si="125"/>
        <v>-15.038604998288033</v>
      </c>
      <c r="CU73" s="18">
        <f t="shared" si="125"/>
        <v>-16.971581748374309</v>
      </c>
      <c r="CV73" s="18">
        <f t="shared" si="125"/>
        <v>-19.056220809848735</v>
      </c>
      <c r="CW73" s="18">
        <f t="shared" si="22"/>
        <v>-21.311883524310293</v>
      </c>
      <c r="CX73" s="17">
        <f t="shared" si="190"/>
        <v>1285.0036795743104</v>
      </c>
      <c r="CY73" s="17">
        <f t="shared" si="264"/>
        <v>1314.8837894199046</v>
      </c>
      <c r="CZ73" s="17">
        <f t="shared" si="264"/>
        <v>1337.4910783213436</v>
      </c>
      <c r="DA73" s="17">
        <f t="shared" si="264"/>
        <v>1355.1865430531943</v>
      </c>
      <c r="DB73" s="17">
        <f t="shared" si="264"/>
        <v>1368.5450992285078</v>
      </c>
      <c r="DC73" s="17">
        <f t="shared" si="264"/>
        <v>1383.6640011690392</v>
      </c>
      <c r="DD73" s="17">
        <f t="shared" si="263"/>
        <v>1398.6228844655041</v>
      </c>
      <c r="DE73" s="17">
        <f t="shared" si="263"/>
        <v>1412.3318331385378</v>
      </c>
      <c r="DF73" s="3" t="e">
        <f>#REF!+$AG$35*0.004*(1+$R$28)*#REF!-S73*#REF!</f>
        <v>#REF!</v>
      </c>
      <c r="DG73" s="19">
        <f t="shared" si="191"/>
        <v>2269.2583351840253</v>
      </c>
      <c r="DH73" s="19">
        <f t="shared" si="192"/>
        <v>2151.3608317846438</v>
      </c>
      <c r="DI73" s="19">
        <f t="shared" si="193"/>
        <v>2020.2521069875124</v>
      </c>
      <c r="DJ73" s="19">
        <f t="shared" si="194"/>
        <v>1877.8828817315714</v>
      </c>
      <c r="DK73" s="19">
        <f t="shared" si="195"/>
        <v>1724.4010562582441</v>
      </c>
      <c r="DL73" s="19">
        <f t="shared" si="196"/>
        <v>1565.4495183547547</v>
      </c>
      <c r="DM73" s="19">
        <f t="shared" si="197"/>
        <v>1398.6228844655041</v>
      </c>
      <c r="DN73" s="19">
        <f t="shared" si="198"/>
        <v>1222.2922282221095</v>
      </c>
      <c r="DO73" s="173">
        <f t="shared" si="127"/>
        <v>74836.579607665073</v>
      </c>
      <c r="DP73" s="25">
        <f t="shared" si="262"/>
        <v>73551.575928090766</v>
      </c>
      <c r="DQ73" s="26">
        <f t="shared" si="262"/>
        <v>72236.692138670856</v>
      </c>
      <c r="DR73" s="26">
        <f t="shared" si="262"/>
        <v>70899.201060349529</v>
      </c>
      <c r="DS73" s="26">
        <f t="shared" si="262"/>
        <v>69544.014517296338</v>
      </c>
      <c r="DT73" s="26">
        <f t="shared" si="262"/>
        <v>68175.46941806782</v>
      </c>
      <c r="DU73" s="26">
        <f t="shared" si="262"/>
        <v>66791.805416898773</v>
      </c>
      <c r="DV73" s="26">
        <f t="shared" si="262"/>
        <v>65393.182532433275</v>
      </c>
      <c r="DW73" s="26">
        <f t="shared" si="262"/>
        <v>63980.850699294751</v>
      </c>
      <c r="DX73" s="26">
        <f t="shared" si="262"/>
        <v>62554.038207059304</v>
      </c>
      <c r="DY73" s="26">
        <f t="shared" si="262"/>
        <v>61115.240000982594</v>
      </c>
      <c r="DZ73" s="26">
        <f t="shared" si="262"/>
        <v>59666.659978071591</v>
      </c>
      <c r="EA73" s="26">
        <f t="shared" si="262"/>
        <v>58185.053037586011</v>
      </c>
      <c r="EB73" s="26">
        <f t="shared" si="262"/>
        <v>56663.171693451171</v>
      </c>
      <c r="EC73" s="26">
        <f t="shared" si="262"/>
        <v>55081.471929218045</v>
      </c>
      <c r="ED73" s="26">
        <f t="shared" si="262"/>
        <v>53447.84694462482</v>
      </c>
      <c r="EE73" s="26">
        <f t="shared" si="145"/>
        <v>51748.336585876787</v>
      </c>
      <c r="EF73" s="26">
        <f t="shared" si="34"/>
        <v>49991.905999111841</v>
      </c>
      <c r="EG73" s="26">
        <f t="shared" si="34"/>
        <v>48187.938512941255</v>
      </c>
      <c r="EH73" s="26">
        <f t="shared" si="34"/>
        <v>0</v>
      </c>
      <c r="EI73" s="26">
        <f t="shared" si="34"/>
        <v>0</v>
      </c>
      <c r="EJ73" s="26">
        <f t="shared" si="128"/>
        <v>4.3562806734763378E-2</v>
      </c>
      <c r="EK73" s="26">
        <f t="shared" si="128"/>
        <v>3.8155718326819188E-2</v>
      </c>
      <c r="EL73" s="26">
        <f t="shared" si="169"/>
        <v>3.2051513024756763E-2</v>
      </c>
      <c r="EM73" s="26">
        <f t="shared" si="169"/>
        <v>2.5226626986860911E-2</v>
      </c>
      <c r="EN73" s="26">
        <f t="shared" si="169"/>
        <v>1.7644425691800553E-2</v>
      </c>
      <c r="EO73" s="26">
        <f t="shared" si="169"/>
        <v>9.2638389425449517E-3</v>
      </c>
      <c r="EP73" s="26">
        <f t="shared" si="169"/>
        <v>0</v>
      </c>
      <c r="EQ73" s="26">
        <f t="shared" si="169"/>
        <v>-1.0228186003705012E-2</v>
      </c>
      <c r="ER73" s="26">
        <f t="shared" si="169"/>
        <v>-2.1502043610492842E-2</v>
      </c>
      <c r="ES73" s="26">
        <f t="shared" si="169"/>
        <v>-3.3927552372957116E-2</v>
      </c>
      <c r="ET73" s="26">
        <f t="shared" si="169"/>
        <v>-4.7594955390115504E-2</v>
      </c>
      <c r="EU73" s="26">
        <f t="shared" si="169"/>
        <v>-6.2605005276336306E-2</v>
      </c>
      <c r="EV73" s="26">
        <f t="shared" si="169"/>
        <v>-7.9320454884666505E-2</v>
      </c>
      <c r="EW73" s="26">
        <f t="shared" si="169"/>
        <v>-9.8011883951955939E-2</v>
      </c>
      <c r="EX73" s="26">
        <f t="shared" si="169"/>
        <v>-0.11913878678191274</v>
      </c>
      <c r="EY73" s="26">
        <f t="shared" si="169"/>
        <v>-0.14292724551939071</v>
      </c>
      <c r="EZ73" s="26">
        <f t="shared" si="146"/>
        <v>-0.16991703232458893</v>
      </c>
      <c r="FA73" s="26">
        <f t="shared" si="146"/>
        <v>-0.20044308342683997</v>
      </c>
      <c r="FB73" s="26">
        <f t="shared" si="146"/>
        <v>-0.23487854388761079</v>
      </c>
      <c r="FC73" s="26">
        <f t="shared" si="146"/>
        <v>-0.89415699546251581</v>
      </c>
      <c r="FD73" s="26">
        <f t="shared" si="146"/>
        <v>-0.95013761168737887</v>
      </c>
      <c r="FE73" s="26">
        <f t="shared" si="130"/>
        <v>5.1884586745360606</v>
      </c>
      <c r="FF73" s="26">
        <f t="shared" si="130"/>
        <v>4.4083407805951804</v>
      </c>
      <c r="FG73" s="26">
        <f t="shared" si="130"/>
        <v>3.5973457274357603</v>
      </c>
      <c r="FH73" s="26">
        <f t="shared" si="130"/>
        <v>2.753316075539026</v>
      </c>
      <c r="FI73" s="26">
        <f t="shared" si="130"/>
        <v>1.8740182631233662</v>
      </c>
      <c r="FJ73" s="26">
        <f t="shared" si="157"/>
        <v>0.95707771797794328</v>
      </c>
      <c r="FK73" s="26">
        <f t="shared" si="157"/>
        <v>0</v>
      </c>
      <c r="FL73" s="26">
        <f t="shared" si="157"/>
        <v>-0.99999999999999767</v>
      </c>
      <c r="FM73" s="26">
        <f t="shared" si="157"/>
        <v>-2.0459908887442633</v>
      </c>
      <c r="FN73" s="26">
        <f t="shared" si="157"/>
        <v>-3.141377523253305</v>
      </c>
      <c r="FO73" s="26">
        <f t="shared" si="170"/>
        <v>-4.2898793840183878</v>
      </c>
      <c r="FP73" s="26">
        <f t="shared" si="158"/>
        <v>-5.4955737564650935</v>
      </c>
      <c r="FQ73" s="26">
        <f t="shared" si="158"/>
        <v>-6.7642605872886499</v>
      </c>
      <c r="FR73" s="26">
        <f t="shared" si="158"/>
        <v>-8.1023539709418806</v>
      </c>
      <c r="FS73" s="26">
        <f t="shared" si="158"/>
        <v>-9.5185808905853548</v>
      </c>
      <c r="FT73" s="26">
        <f t="shared" si="159"/>
        <v>-11.021174790244588</v>
      </c>
      <c r="FU73" s="26">
        <f t="shared" ref="FU73:FU107" si="268">(BD73-$AC73)/BX73</f>
        <v>-12.622149872196299</v>
      </c>
      <c r="FV73" s="26">
        <f t="shared" si="131"/>
        <v>-14.333028336321394</v>
      </c>
      <c r="FW73" s="26">
        <f t="shared" si="131"/>
        <v>-16.166790511868644</v>
      </c>
      <c r="FX73" s="26">
        <f t="shared" si="39"/>
        <v>2006123.0115572365</v>
      </c>
      <c r="FY73" s="26">
        <f t="shared" si="40"/>
        <v>130729.65381915121</v>
      </c>
      <c r="FZ73" s="26">
        <f t="shared" si="132"/>
        <v>0.77408534685129682</v>
      </c>
      <c r="GA73" s="26">
        <f t="shared" si="160"/>
        <v>0.80689037181381884</v>
      </c>
      <c r="GB73" s="26">
        <f t="shared" si="132"/>
        <v>0.84148530887089801</v>
      </c>
      <c r="GC73" s="26">
        <f t="shared" si="132"/>
        <v>0.87796964106821862</v>
      </c>
      <c r="GD73" s="26">
        <f t="shared" si="132"/>
        <v>0.91645881318000377</v>
      </c>
      <c r="GE73" s="26">
        <f t="shared" si="161"/>
        <v>0.95707771797794217</v>
      </c>
      <c r="GF73" s="26">
        <f t="shared" si="161"/>
        <v>1</v>
      </c>
      <c r="GG73" s="26">
        <f t="shared" si="161"/>
        <v>1.0454056398908864</v>
      </c>
      <c r="GH73" s="26">
        <f t="shared" si="161"/>
        <v>1.0934847743677363</v>
      </c>
      <c r="GI73" s="26">
        <f t="shared" si="161"/>
        <v>1.1444643916708395</v>
      </c>
      <c r="GJ73" s="26">
        <f t="shared" si="171"/>
        <v>1.1985664823888269</v>
      </c>
      <c r="GK73" s="26">
        <f t="shared" si="162"/>
        <v>1.2560362521331898</v>
      </c>
      <c r="GL73" s="26">
        <f t="shared" si="162"/>
        <v>1.3174457454710136</v>
      </c>
      <c r="GM73" s="26">
        <f t="shared" si="162"/>
        <v>1.3832947298674569</v>
      </c>
      <c r="GN73" s="26">
        <f t="shared" si="162"/>
        <v>1.454356116032107</v>
      </c>
      <c r="GO73" s="26">
        <f t="shared" si="163"/>
        <v>1.5311480790623107</v>
      </c>
      <c r="GP73" s="26">
        <f t="shared" si="265"/>
        <v>1.6146402529736787</v>
      </c>
      <c r="GQ73" s="26">
        <f t="shared" si="134"/>
        <v>1.7055766619666388</v>
      </c>
      <c r="GR73" s="26">
        <f t="shared" si="134"/>
        <v>1.8047912365056638</v>
      </c>
      <c r="GS73" s="26">
        <f t="shared" si="134"/>
        <v>1.9137158209039093</v>
      </c>
      <c r="GT73" s="26">
        <f t="shared" si="134"/>
        <v>2.0335281038442847</v>
      </c>
      <c r="GU73" s="26">
        <f t="shared" si="135"/>
        <v>5.4143733276847632</v>
      </c>
      <c r="GV73" s="26">
        <f t="shared" si="164"/>
        <v>4.6014504087813624</v>
      </c>
      <c r="GW73" s="26">
        <f t="shared" si="135"/>
        <v>3.7558604185648603</v>
      </c>
      <c r="GX73" s="26">
        <f t="shared" si="135"/>
        <v>2.8753464344708068</v>
      </c>
      <c r="GY73" s="26">
        <f t="shared" si="135"/>
        <v>1.9575594499433548</v>
      </c>
      <c r="GZ73" s="26">
        <f t="shared" si="165"/>
        <v>1.000000000000002</v>
      </c>
      <c r="HA73" s="26">
        <f t="shared" si="165"/>
        <v>0</v>
      </c>
      <c r="HB73" s="26">
        <f t="shared" si="165"/>
        <v>-1.0454056398908878</v>
      </c>
      <c r="HC73" s="26">
        <f t="shared" si="165"/>
        <v>-2.1394756631120009</v>
      </c>
      <c r="HD73" s="26">
        <f t="shared" si="165"/>
        <v>-3.2858419149241476</v>
      </c>
      <c r="HE73" s="26">
        <f t="shared" si="172"/>
        <v>-4.4884458664072158</v>
      </c>
      <c r="HF73" s="26">
        <f t="shared" si="166"/>
        <v>-5.7516100085982842</v>
      </c>
      <c r="HG73" s="26">
        <f t="shared" si="166"/>
        <v>-7.0817063327596639</v>
      </c>
      <c r="HH73" s="26">
        <f t="shared" si="166"/>
        <v>-8.4856487008093389</v>
      </c>
      <c r="HI73" s="26">
        <f t="shared" si="166"/>
        <v>-9.9729370066174656</v>
      </c>
      <c r="HJ73" s="26">
        <f t="shared" si="167"/>
        <v>-11.552322869306902</v>
      </c>
      <c r="HK73" s="26">
        <f t="shared" si="266"/>
        <v>-13.236790125169986</v>
      </c>
      <c r="HL73" s="26">
        <f t="shared" si="137"/>
        <v>-15.038604998288033</v>
      </c>
      <c r="HM73" s="26">
        <f t="shared" si="137"/>
        <v>-16.971581748374309</v>
      </c>
      <c r="HN73" s="26">
        <f t="shared" si="137"/>
        <v>-19.056220809848735</v>
      </c>
      <c r="HO73" s="26">
        <f t="shared" si="137"/>
        <v>-21.311883524310293</v>
      </c>
      <c r="HP73" s="26">
        <f t="shared" si="199"/>
        <v>528346.25512637175</v>
      </c>
      <c r="HQ73" s="26">
        <f t="shared" si="200"/>
        <v>542706.95306951122</v>
      </c>
      <c r="HR73" s="26">
        <f t="shared" si="201"/>
        <v>558024.32420900743</v>
      </c>
      <c r="HS73" s="26">
        <f t="shared" si="202"/>
        <v>574459.5542306694</v>
      </c>
      <c r="HT73" s="26">
        <f t="shared" si="203"/>
        <v>592180.26917688339</v>
      </c>
      <c r="HU73" s="26">
        <f t="shared" si="204"/>
        <v>611367.6042859212</v>
      </c>
      <c r="HV73" s="26">
        <f t="shared" si="205"/>
        <v>632215.9078880985</v>
      </c>
      <c r="HW73" s="26">
        <f t="shared" si="206"/>
        <v>654950.05910659593</v>
      </c>
      <c r="HX73" s="26">
        <f t="shared" si="207"/>
        <v>679824.72365492</v>
      </c>
      <c r="HY73" s="26">
        <f t="shared" si="208"/>
        <v>707131.9261491237</v>
      </c>
      <c r="HZ73" s="26">
        <f t="shared" si="209"/>
        <v>737195.94874938915</v>
      </c>
      <c r="IA73" s="26">
        <f t="shared" si="210"/>
        <v>770379.86621208151</v>
      </c>
      <c r="IB73" s="26">
        <f t="shared" si="211"/>
        <v>807262.24680378078</v>
      </c>
      <c r="IC73" s="26">
        <f t="shared" si="212"/>
        <v>848484.47087318543</v>
      </c>
      <c r="ID73" s="26">
        <f t="shared" si="213"/>
        <v>894968.79072006152</v>
      </c>
      <c r="IE73" s="26">
        <f t="shared" si="214"/>
        <v>947560.14405370911</v>
      </c>
      <c r="IF73" s="26">
        <f t="shared" si="215"/>
        <v>1007565.560321042</v>
      </c>
      <c r="IG73" s="26">
        <f t="shared" si="216"/>
        <v>1076216.2813861461</v>
      </c>
      <c r="IH73" s="26">
        <f t="shared" si="217"/>
        <v>1154913.3682519405</v>
      </c>
      <c r="II73" s="26">
        <f t="shared" si="218"/>
        <v>-229972009353.31616</v>
      </c>
      <c r="IJ73" s="26">
        <f t="shared" si="219"/>
        <v>548463.13241058355</v>
      </c>
      <c r="IK73" s="26">
        <f t="shared" si="220"/>
        <v>562415.50674535264</v>
      </c>
      <c r="IL73" s="26">
        <f t="shared" si="221"/>
        <v>577397.68071812217</v>
      </c>
      <c r="IM73" s="26">
        <f t="shared" si="222"/>
        <v>593580.35871192312</v>
      </c>
      <c r="IN73" s="26">
        <f t="shared" si="223"/>
        <v>611141.42626174632</v>
      </c>
      <c r="IO73" s="26">
        <f t="shared" si="224"/>
        <v>630273.24237841822</v>
      </c>
      <c r="IP73" s="26">
        <f t="shared" si="225"/>
        <v>651182.38512474147</v>
      </c>
      <c r="IQ73" s="26">
        <f t="shared" si="226"/>
        <v>674107.49548720208</v>
      </c>
      <c r="IR73" s="26">
        <f t="shared" si="227"/>
        <v>699318.61341507512</v>
      </c>
      <c r="IS73" s="26">
        <f t="shared" si="228"/>
        <v>727125.05281034473</v>
      </c>
      <c r="IT73" s="26">
        <f t="shared" si="229"/>
        <v>757870.29739041289</v>
      </c>
      <c r="IU73" s="26">
        <f t="shared" si="230"/>
        <v>791938.8321928411</v>
      </c>
      <c r="IV73" s="26">
        <f t="shared" si="231"/>
        <v>829937.9259026309</v>
      </c>
      <c r="IW73" s="26">
        <f t="shared" si="232"/>
        <v>872541.21021148819</v>
      </c>
      <c r="IX73" s="26">
        <f t="shared" si="233"/>
        <v>920713.27106194489</v>
      </c>
      <c r="IY73" s="26">
        <f t="shared" si="234"/>
        <v>975341.68981163274</v>
      </c>
      <c r="IZ73" s="26">
        <f t="shared" si="235"/>
        <v>1037792.5271306733</v>
      </c>
      <c r="JA73" s="26">
        <f t="shared" si="236"/>
        <v>1109357.3290907948</v>
      </c>
      <c r="JB73" s="26">
        <f t="shared" si="237"/>
        <v>1191506.3000456921</v>
      </c>
      <c r="JC73" s="26">
        <f t="shared" si="238"/>
        <v>-236871166328.65533</v>
      </c>
      <c r="JD73" s="26">
        <f t="shared" si="239"/>
        <v>151303.50584589056</v>
      </c>
      <c r="JE73" s="26">
        <f t="shared" si="240"/>
        <v>241834.07476714085</v>
      </c>
      <c r="JF73" s="26">
        <f t="shared" si="241"/>
        <v>336685.39713664685</v>
      </c>
      <c r="JG73" s="26">
        <f t="shared" si="242"/>
        <v>436245.22813907696</v>
      </c>
      <c r="JH73" s="26">
        <f t="shared" si="243"/>
        <v>540929.23899311584</v>
      </c>
      <c r="JI73" s="26">
        <f t="shared" si="244"/>
        <v>651182.38512474147</v>
      </c>
      <c r="JJ73" s="26">
        <f t="shared" si="245"/>
        <v>767508.22051662754</v>
      </c>
      <c r="JK73" s="26">
        <f t="shared" si="246"/>
        <v>890467.93430292537</v>
      </c>
      <c r="JL73" s="26">
        <f t="shared" si="247"/>
        <v>1020695.3239808956</v>
      </c>
      <c r="JM73" s="26">
        <f t="shared" si="248"/>
        <v>1158886.0200734448</v>
      </c>
      <c r="JN73" s="26">
        <f t="shared" si="249"/>
        <v>1305810.6962719841</v>
      </c>
      <c r="JO73" s="26">
        <f t="shared" si="250"/>
        <v>1462645.9204704263</v>
      </c>
      <c r="JP73" s="26">
        <f t="shared" si="251"/>
        <v>1630683.0364630828</v>
      </c>
      <c r="JQ73" s="26">
        <f t="shared" si="252"/>
        <v>1811735.388742581</v>
      </c>
      <c r="JR73" s="26">
        <f t="shared" si="253"/>
        <v>2007472.4633550926</v>
      </c>
      <c r="JS73" s="26">
        <f t="shared" si="254"/>
        <v>2220420.3488843949</v>
      </c>
      <c r="JT73" s="26">
        <f t="shared" si="255"/>
        <v>2452966.504968063</v>
      </c>
      <c r="JU73" s="26">
        <f t="shared" si="256"/>
        <v>2707815.3572263792</v>
      </c>
      <c r="JV73" s="26">
        <f t="shared" si="257"/>
        <v>-236869463769.59882</v>
      </c>
      <c r="JW73" s="26">
        <f t="shared" si="258"/>
        <v>2055392.4995890353</v>
      </c>
      <c r="JX73" s="26" t="e">
        <f>AH73+$AG$38*0.004*(1+$R$28)*#REF!-S73*#REF!</f>
        <v>#REF!</v>
      </c>
      <c r="JY73" s="34">
        <f t="shared" si="259"/>
        <v>5.5271568091087867E-2</v>
      </c>
      <c r="JZ73" s="4">
        <f t="shared" si="260"/>
        <v>45718.191077643656</v>
      </c>
      <c r="KA73" s="165"/>
    </row>
    <row r="74" spans="1:287" ht="15.75" x14ac:dyDescent="0.3">
      <c r="A74" s="34">
        <v>73</v>
      </c>
      <c r="B74" s="34">
        <v>46</v>
      </c>
      <c r="C74" s="2">
        <v>918199</v>
      </c>
      <c r="D74" s="1">
        <f t="shared" si="106"/>
        <v>5200</v>
      </c>
      <c r="E74" s="145">
        <f t="shared" si="107"/>
        <v>0.99433673963922853</v>
      </c>
      <c r="F74" s="146">
        <f t="shared" si="108"/>
        <v>5.6632603607714715E-3</v>
      </c>
      <c r="G74" s="158">
        <f t="shared" si="173"/>
        <v>7.0790754509643394E-3</v>
      </c>
      <c r="H74" s="43">
        <f t="shared" si="109"/>
        <v>6362.5416255475839</v>
      </c>
      <c r="I74" s="43">
        <f t="shared" si="139"/>
        <v>898781.43969787098</v>
      </c>
      <c r="J74" s="43">
        <f t="shared" si="110"/>
        <v>915599</v>
      </c>
      <c r="K74" s="147">
        <f>SUM(J74:$J$138)</f>
        <v>28796975.5</v>
      </c>
      <c r="L74" s="147">
        <f t="shared" si="111"/>
        <v>31.362455742164826</v>
      </c>
      <c r="M74" s="43">
        <f t="shared" si="174"/>
        <v>1144498.75</v>
      </c>
      <c r="N74" s="148">
        <f t="shared" si="175"/>
        <v>35996219.375</v>
      </c>
      <c r="O74" s="147">
        <f t="shared" si="6"/>
        <v>39.203069677706033</v>
      </c>
      <c r="P74" s="157">
        <f t="shared" si="176"/>
        <v>184670.70406523009</v>
      </c>
      <c r="Q74" s="43">
        <f t="shared" si="177"/>
        <v>1147748.75</v>
      </c>
      <c r="R74" s="43">
        <f t="shared" si="178"/>
        <v>1285.0036795743104</v>
      </c>
      <c r="S74" s="43">
        <f>SUM(R74:$R$138)</f>
        <v>74836.579607665073</v>
      </c>
      <c r="T74" s="43">
        <f t="shared" si="112"/>
        <v>1794772.1303460936</v>
      </c>
      <c r="U74" s="153">
        <f>SUM(P74:$P$138)</f>
        <v>3285692.0588459154</v>
      </c>
      <c r="V74" s="129">
        <f t="shared" si="179"/>
        <v>2142865.0383407604</v>
      </c>
      <c r="W74" s="43">
        <f t="shared" si="180"/>
        <v>136742.02678352417</v>
      </c>
      <c r="X74" s="26">
        <f t="shared" si="114"/>
        <v>6.1884586745360606</v>
      </c>
      <c r="Y74" s="26">
        <f t="shared" si="115"/>
        <v>0.74046410054961198</v>
      </c>
      <c r="Z74" s="43">
        <f t="shared" si="181"/>
        <v>65393.182532433275</v>
      </c>
      <c r="AA74" s="149">
        <f t="shared" si="116"/>
        <v>5.1136411284250942E-2</v>
      </c>
      <c r="AB74" s="150">
        <f t="shared" si="138"/>
        <v>3101021.3547806852</v>
      </c>
      <c r="AC74" s="150">
        <f t="shared" si="117"/>
        <v>2006123.0115572365</v>
      </c>
      <c r="AD74" s="26">
        <f t="shared" si="118"/>
        <v>5.9289227750856703</v>
      </c>
      <c r="AE74" s="26">
        <f t="shared" si="182"/>
        <v>533566.47473933699</v>
      </c>
      <c r="AF74" s="43">
        <f t="shared" si="183"/>
        <v>86219.606981432691</v>
      </c>
      <c r="AG74" s="43">
        <f t="shared" si="184"/>
        <v>554794.35497800913</v>
      </c>
      <c r="AH74" s="27">
        <f t="shared" si="185"/>
        <v>93492.647253075396</v>
      </c>
      <c r="AI74" s="28">
        <f t="shared" si="186"/>
        <v>596553.06986882701</v>
      </c>
      <c r="AJ74" s="20">
        <f t="shared" si="187"/>
        <v>100529.72822911333</v>
      </c>
      <c r="AK74" s="3">
        <f t="shared" si="188"/>
        <v>8712.576446523155</v>
      </c>
      <c r="AL74" s="3"/>
      <c r="AM74" s="46">
        <f t="shared" si="121"/>
        <v>3101021.3547806852</v>
      </c>
      <c r="AN74" s="46">
        <f t="shared" si="122"/>
        <v>2923858.6434593615</v>
      </c>
      <c r="AO74" s="46">
        <f t="shared" si="122"/>
        <v>2753979.4019531519</v>
      </c>
      <c r="AP74" s="3">
        <f t="shared" si="261"/>
        <v>2591159.5511030932</v>
      </c>
      <c r="AQ74" s="3">
        <f t="shared" si="261"/>
        <v>2435177.7612465657</v>
      </c>
      <c r="AR74" s="16">
        <f t="shared" si="261"/>
        <v>2285815.9243503674</v>
      </c>
      <c r="AS74" s="16">
        <f t="shared" si="261"/>
        <v>2142865.0383407604</v>
      </c>
      <c r="AT74" s="16">
        <f t="shared" si="261"/>
        <v>2006123.0115572365</v>
      </c>
      <c r="AU74" s="16">
        <f t="shared" si="261"/>
        <v>1875393.3577380853</v>
      </c>
      <c r="AV74" s="16">
        <f t="shared" si="261"/>
        <v>1750486.9936345171</v>
      </c>
      <c r="AW74" s="16">
        <f t="shared" si="261"/>
        <v>1631218.7777198723</v>
      </c>
      <c r="AX74" s="16">
        <f t="shared" si="261"/>
        <v>1517407.6629794927</v>
      </c>
      <c r="AY74" s="16">
        <f t="shared" si="261"/>
        <v>1408901.5734490284</v>
      </c>
      <c r="AZ74" s="16">
        <f t="shared" si="261"/>
        <v>1305560.6997197517</v>
      </c>
      <c r="BA74" s="16">
        <f t="shared" si="261"/>
        <v>1207269.1709574449</v>
      </c>
      <c r="BB74" s="16">
        <f t="shared" si="261"/>
        <v>1113907.2760732146</v>
      </c>
      <c r="BC74" s="16">
        <f t="shared" si="144"/>
        <v>1025373.0742617993</v>
      </c>
      <c r="BD74" s="16">
        <f t="shared" si="18"/>
        <v>941559.25973365293</v>
      </c>
      <c r="BE74" s="16">
        <f t="shared" si="18"/>
        <v>862352.93208858941</v>
      </c>
      <c r="BF74" s="16">
        <f t="shared" si="18"/>
        <v>787654.85808610427</v>
      </c>
      <c r="BG74" s="16">
        <f t="shared" si="18"/>
        <v>717357.87731688586</v>
      </c>
      <c r="BH74" s="172">
        <f t="shared" si="123"/>
        <v>177162.71132132332</v>
      </c>
      <c r="BI74" s="16">
        <f t="shared" si="189"/>
        <v>169879.2415062098</v>
      </c>
      <c r="BJ74" s="16">
        <f t="shared" si="189"/>
        <v>162819.85085005857</v>
      </c>
      <c r="BK74" s="16">
        <f t="shared" si="189"/>
        <v>155981.78985652846</v>
      </c>
      <c r="BL74" s="16">
        <f t="shared" si="189"/>
        <v>149361.83689619804</v>
      </c>
      <c r="BM74" s="16">
        <f t="shared" si="189"/>
        <v>142950.88600960682</v>
      </c>
      <c r="BN74" s="16">
        <f t="shared" si="189"/>
        <v>136742.02678352417</v>
      </c>
      <c r="BO74" s="16">
        <f t="shared" si="189"/>
        <v>130729.65381915121</v>
      </c>
      <c r="BP74" s="16">
        <f t="shared" si="189"/>
        <v>124906.36410356843</v>
      </c>
      <c r="BQ74" s="16">
        <f t="shared" si="189"/>
        <v>119268.21591464471</v>
      </c>
      <c r="BR74" s="16">
        <f t="shared" si="189"/>
        <v>113811.11474037961</v>
      </c>
      <c r="BS74" s="16">
        <f t="shared" si="189"/>
        <v>108506.0895304641</v>
      </c>
      <c r="BT74" s="16">
        <f t="shared" si="189"/>
        <v>103340.87372927672</v>
      </c>
      <c r="BU74" s="16">
        <f t="shared" si="189"/>
        <v>98291.528762306916</v>
      </c>
      <c r="BV74" s="16">
        <f t="shared" si="189"/>
        <v>93361.894884230453</v>
      </c>
      <c r="BW74" s="16">
        <f t="shared" si="189"/>
        <v>88534.201811415609</v>
      </c>
      <c r="BX74" s="16">
        <f t="shared" si="168"/>
        <v>83813.814528146351</v>
      </c>
      <c r="BY74" s="16">
        <f t="shared" si="149"/>
        <v>79206.327645063458</v>
      </c>
      <c r="BZ74" s="16">
        <f t="shared" si="149"/>
        <v>74698.07400248514</v>
      </c>
      <c r="CA74" s="16">
        <f t="shared" si="149"/>
        <v>70296.980769218397</v>
      </c>
      <c r="CB74" s="16">
        <f t="shared" si="149"/>
        <v>66006.113134832645</v>
      </c>
      <c r="CC74" s="18">
        <f t="shared" si="124"/>
        <v>5.4083407805951822</v>
      </c>
      <c r="CD74" s="18">
        <f t="shared" si="124"/>
        <v>4.5973457274357594</v>
      </c>
      <c r="CE74" s="18">
        <f t="shared" si="124"/>
        <v>3.7533160755390269</v>
      </c>
      <c r="CF74" s="18">
        <f t="shared" si="124"/>
        <v>2.8740182631233595</v>
      </c>
      <c r="CG74" s="18">
        <f t="shared" si="124"/>
        <v>1.9570777179779453</v>
      </c>
      <c r="CH74" s="18">
        <f t="shared" si="150"/>
        <v>1.0000000000000013</v>
      </c>
      <c r="CI74" s="18">
        <f t="shared" si="150"/>
        <v>0</v>
      </c>
      <c r="CJ74" s="18">
        <f t="shared" si="150"/>
        <v>-1.0459908887442633</v>
      </c>
      <c r="CK74" s="18">
        <f t="shared" si="150"/>
        <v>-2.1413775232533063</v>
      </c>
      <c r="CL74" s="18">
        <f t="shared" si="151"/>
        <v>-3.2898793840183869</v>
      </c>
      <c r="CM74" s="18">
        <f t="shared" si="151"/>
        <v>-4.4955737564650935</v>
      </c>
      <c r="CN74" s="18">
        <f t="shared" si="151"/>
        <v>-5.764260587288649</v>
      </c>
      <c r="CO74" s="18">
        <f t="shared" si="151"/>
        <v>-7.1023539709418806</v>
      </c>
      <c r="CP74" s="18">
        <f t="shared" si="152"/>
        <v>-8.5185808905853566</v>
      </c>
      <c r="CQ74" s="18">
        <f t="shared" si="153"/>
        <v>-10.021174790244588</v>
      </c>
      <c r="CR74" s="18">
        <f t="shared" si="154"/>
        <v>-11.622149872196305</v>
      </c>
      <c r="CS74" s="18">
        <f t="shared" si="267"/>
        <v>-13.333028336321393</v>
      </c>
      <c r="CT74" s="18">
        <f t="shared" si="125"/>
        <v>-15.166790511868642</v>
      </c>
      <c r="CU74" s="18">
        <f t="shared" si="125"/>
        <v>-17.142504988944822</v>
      </c>
      <c r="CV74" s="18">
        <f t="shared" si="125"/>
        <v>-19.278355420466006</v>
      </c>
      <c r="CW74" s="18">
        <f t="shared" si="22"/>
        <v>-21.596593002104953</v>
      </c>
      <c r="CX74" s="17">
        <f t="shared" si="190"/>
        <v>1314.8837894199046</v>
      </c>
      <c r="CY74" s="17">
        <f t="shared" si="264"/>
        <v>1337.4910783213436</v>
      </c>
      <c r="CZ74" s="17">
        <f t="shared" si="264"/>
        <v>1355.1865430531943</v>
      </c>
      <c r="DA74" s="17">
        <f t="shared" si="264"/>
        <v>1368.5450992285078</v>
      </c>
      <c r="DB74" s="17">
        <f t="shared" si="264"/>
        <v>1383.6640011690392</v>
      </c>
      <c r="DC74" s="17">
        <f t="shared" si="264"/>
        <v>1398.6228844655041</v>
      </c>
      <c r="DD74" s="17">
        <f t="shared" si="263"/>
        <v>1412.3318331385378</v>
      </c>
      <c r="DE74" s="17">
        <f t="shared" si="263"/>
        <v>1426.812492235438</v>
      </c>
      <c r="DF74" s="3" t="e">
        <f>#REF!+$AG$35*0.004*(1+$R$28)*#REF!-S74*#REF!</f>
        <v>#REF!</v>
      </c>
      <c r="DG74" s="19">
        <f t="shared" si="191"/>
        <v>2303.6667256539163</v>
      </c>
      <c r="DH74" s="19">
        <f t="shared" si="192"/>
        <v>2178.003389151831</v>
      </c>
      <c r="DI74" s="19">
        <f t="shared" si="193"/>
        <v>2041.3886594400581</v>
      </c>
      <c r="DJ74" s="19">
        <f t="shared" si="194"/>
        <v>1893.9890999463314</v>
      </c>
      <c r="DK74" s="19">
        <f t="shared" si="195"/>
        <v>1741.467832496294</v>
      </c>
      <c r="DL74" s="19">
        <f t="shared" si="196"/>
        <v>1581.4484452699767</v>
      </c>
      <c r="DM74" s="19">
        <f t="shared" si="197"/>
        <v>1412.3318331385378</v>
      </c>
      <c r="DN74" s="19">
        <f t="shared" si="198"/>
        <v>1235.5786214043994</v>
      </c>
      <c r="DO74" s="173">
        <f t="shared" si="127"/>
        <v>73551.575928090766</v>
      </c>
      <c r="DP74" s="25">
        <f t="shared" si="262"/>
        <v>72236.692138670856</v>
      </c>
      <c r="DQ74" s="26">
        <f t="shared" si="262"/>
        <v>70899.201060349529</v>
      </c>
      <c r="DR74" s="26">
        <f t="shared" si="262"/>
        <v>69544.014517296338</v>
      </c>
      <c r="DS74" s="26">
        <f t="shared" si="262"/>
        <v>68175.46941806782</v>
      </c>
      <c r="DT74" s="26">
        <f t="shared" si="262"/>
        <v>66791.805416898773</v>
      </c>
      <c r="DU74" s="26">
        <f t="shared" si="262"/>
        <v>65393.182532433275</v>
      </c>
      <c r="DV74" s="26">
        <f t="shared" si="262"/>
        <v>63980.850699294751</v>
      </c>
      <c r="DW74" s="26">
        <f t="shared" si="262"/>
        <v>62554.038207059304</v>
      </c>
      <c r="DX74" s="26">
        <f t="shared" si="262"/>
        <v>61115.240000982594</v>
      </c>
      <c r="DY74" s="26">
        <f t="shared" si="262"/>
        <v>59666.659978071591</v>
      </c>
      <c r="DZ74" s="26">
        <f t="shared" si="262"/>
        <v>58185.053037586011</v>
      </c>
      <c r="EA74" s="26">
        <f t="shared" si="262"/>
        <v>56663.171693451171</v>
      </c>
      <c r="EB74" s="26">
        <f t="shared" si="262"/>
        <v>55081.471929218045</v>
      </c>
      <c r="EC74" s="26">
        <f t="shared" si="262"/>
        <v>53447.84694462482</v>
      </c>
      <c r="ED74" s="26">
        <f t="shared" si="262"/>
        <v>51748.336585876787</v>
      </c>
      <c r="EE74" s="26">
        <f t="shared" si="145"/>
        <v>49991.905999111841</v>
      </c>
      <c r="EF74" s="26">
        <f t="shared" si="34"/>
        <v>48187.938512941255</v>
      </c>
      <c r="EG74" s="26">
        <f t="shared" si="34"/>
        <v>0</v>
      </c>
      <c r="EH74" s="26">
        <f t="shared" si="34"/>
        <v>0</v>
      </c>
      <c r="EI74" s="26">
        <f t="shared" si="34"/>
        <v>0</v>
      </c>
      <c r="EJ74" s="26">
        <f t="shared" si="128"/>
        <v>4.6050285270586432E-2</v>
      </c>
      <c r="EK74" s="26">
        <f t="shared" si="128"/>
        <v>4.0284554755251965E-2</v>
      </c>
      <c r="EL74" s="26">
        <f t="shared" si="169"/>
        <v>3.3816629232677337E-2</v>
      </c>
      <c r="EM74" s="26">
        <f t="shared" si="169"/>
        <v>2.6611003686269952E-2</v>
      </c>
      <c r="EN74" s="26">
        <f t="shared" si="169"/>
        <v>1.8627829862377428E-2</v>
      </c>
      <c r="EO74" s="26">
        <f t="shared" si="169"/>
        <v>9.7839399496377055E-3</v>
      </c>
      <c r="EP74" s="26">
        <f t="shared" si="169"/>
        <v>0</v>
      </c>
      <c r="EQ74" s="26">
        <f t="shared" si="169"/>
        <v>-1.0803454242235775E-2</v>
      </c>
      <c r="ER74" s="26">
        <f t="shared" si="169"/>
        <v>-2.2730181490350977E-2</v>
      </c>
      <c r="ES74" s="26">
        <f t="shared" si="169"/>
        <v>-3.5868252900774722E-2</v>
      </c>
      <c r="ET74" s="26">
        <f t="shared" si="169"/>
        <v>-5.0316022010897167E-2</v>
      </c>
      <c r="EU74" s="26">
        <f t="shared" si="169"/>
        <v>-6.6430644824072418E-2</v>
      </c>
      <c r="EV74" s="26">
        <f t="shared" si="169"/>
        <v>-8.4477811382282428E-2</v>
      </c>
      <c r="EW74" s="26">
        <f t="shared" si="169"/>
        <v>-0.10490945387726629</v>
      </c>
      <c r="EX74" s="26">
        <f t="shared" si="169"/>
        <v>-0.12794658465984193</v>
      </c>
      <c r="EY74" s="26">
        <f t="shared" ref="EY74:FD105" si="269">(ED74-$Z74)/BW74</f>
        <v>-0.15411948904922662</v>
      </c>
      <c r="EZ74" s="26">
        <f t="shared" si="146"/>
        <v>-0.18375582378665486</v>
      </c>
      <c r="FA74" s="26">
        <f t="shared" si="146"/>
        <v>-0.21722057480800699</v>
      </c>
      <c r="FB74" s="26">
        <f t="shared" si="146"/>
        <v>-0.87543331479012032</v>
      </c>
      <c r="FC74" s="26">
        <f t="shared" si="146"/>
        <v>-0.93024169483346586</v>
      </c>
      <c r="FD74" s="26">
        <f t="shared" si="146"/>
        <v>-0.99071403278742809</v>
      </c>
      <c r="FE74" s="26">
        <f t="shared" si="130"/>
        <v>5.1801850686153177</v>
      </c>
      <c r="FF74" s="26">
        <f t="shared" si="130"/>
        <v>4.4022823728499993</v>
      </c>
      <c r="FG74" s="26">
        <f t="shared" si="130"/>
        <v>3.5931524104184263</v>
      </c>
      <c r="FH74" s="26">
        <f t="shared" si="130"/>
        <v>2.7506720501410604</v>
      </c>
      <c r="FI74" s="26">
        <f t="shared" si="130"/>
        <v>1.8725861880468768</v>
      </c>
      <c r="FJ74" s="26">
        <f t="shared" si="157"/>
        <v>0.95656648657871401</v>
      </c>
      <c r="FK74" s="26">
        <f t="shared" si="157"/>
        <v>0</v>
      </c>
      <c r="FL74" s="26">
        <f t="shared" si="157"/>
        <v>-1.0000000000000002</v>
      </c>
      <c r="FM74" s="26">
        <f t="shared" si="157"/>
        <v>-2.0466212410982849</v>
      </c>
      <c r="FN74" s="26">
        <f t="shared" si="157"/>
        <v>-3.143370855028699</v>
      </c>
      <c r="FO74" s="26">
        <f t="shared" si="170"/>
        <v>-4.2940915717465522</v>
      </c>
      <c r="FP74" s="26">
        <f t="shared" si="158"/>
        <v>-5.5040361392853683</v>
      </c>
      <c r="FQ74" s="26">
        <f t="shared" si="158"/>
        <v>-6.7791405912897158</v>
      </c>
      <c r="FR74" s="26">
        <f t="shared" si="158"/>
        <v>-8.1273925704382588</v>
      </c>
      <c r="FS74" s="26">
        <f t="shared" si="158"/>
        <v>-9.5565298518242052</v>
      </c>
      <c r="FT74" s="26">
        <f t="shared" si="159"/>
        <v>-11.077639118320704</v>
      </c>
      <c r="FU74" s="26">
        <f t="shared" si="268"/>
        <v>-12.701530861193316</v>
      </c>
      <c r="FV74" s="26">
        <f t="shared" si="131"/>
        <v>-14.440387699756366</v>
      </c>
      <c r="FW74" s="26">
        <f t="shared" si="131"/>
        <v>-16.311908569832671</v>
      </c>
      <c r="FX74" s="26">
        <f t="shared" si="39"/>
        <v>1875393.3577380853</v>
      </c>
      <c r="FY74" s="26">
        <f t="shared" si="40"/>
        <v>124906.36410356843</v>
      </c>
      <c r="FZ74" s="26">
        <f t="shared" si="132"/>
        <v>0.77184428802013871</v>
      </c>
      <c r="GA74" s="26">
        <f t="shared" si="160"/>
        <v>0.8049366454142407</v>
      </c>
      <c r="GB74" s="26">
        <f t="shared" si="132"/>
        <v>0.83983633487940257</v>
      </c>
      <c r="GC74" s="26">
        <f t="shared" si="132"/>
        <v>0.87665378701769636</v>
      </c>
      <c r="GD74" s="26">
        <f t="shared" si="132"/>
        <v>0.91550847006893554</v>
      </c>
      <c r="GE74" s="26">
        <f t="shared" si="161"/>
        <v>0.95656648657871635</v>
      </c>
      <c r="GF74" s="26">
        <f t="shared" si="161"/>
        <v>1</v>
      </c>
      <c r="GG74" s="26">
        <f t="shared" si="161"/>
        <v>1.0459908887442657</v>
      </c>
      <c r="GH74" s="26">
        <f t="shared" si="161"/>
        <v>1.0947562821550227</v>
      </c>
      <c r="GI74" s="26">
        <f t="shared" si="161"/>
        <v>1.146508528989691</v>
      </c>
      <c r="GJ74" s="26">
        <f t="shared" si="171"/>
        <v>1.201482184718544</v>
      </c>
      <c r="GK74" s="26">
        <f t="shared" si="162"/>
        <v>1.2602244480032851</v>
      </c>
      <c r="GL74" s="26">
        <f t="shared" si="162"/>
        <v>1.3232133796521679</v>
      </c>
      <c r="GM74" s="26">
        <f t="shared" si="162"/>
        <v>1.3911883201471005</v>
      </c>
      <c r="GN74" s="26">
        <f t="shared" si="162"/>
        <v>1.464644938420385</v>
      </c>
      <c r="GO74" s="26">
        <f t="shared" si="163"/>
        <v>1.5445107538756015</v>
      </c>
      <c r="GP74" s="26">
        <f t="shared" si="265"/>
        <v>1.6314974751280824</v>
      </c>
      <c r="GQ74" s="26">
        <f t="shared" si="134"/>
        <v>1.7264028121122799</v>
      </c>
      <c r="GR74" s="26">
        <f t="shared" si="134"/>
        <v>1.8305964191121564</v>
      </c>
      <c r="GS74" s="26">
        <f t="shared" si="134"/>
        <v>1.9452048336534062</v>
      </c>
      <c r="GT74" s="26">
        <f t="shared" si="134"/>
        <v>2.0716570070441382</v>
      </c>
      <c r="GU74" s="26">
        <f t="shared" si="135"/>
        <v>5.4083407805951822</v>
      </c>
      <c r="GV74" s="26">
        <f t="shared" si="164"/>
        <v>4.5973457274357594</v>
      </c>
      <c r="GW74" s="26">
        <f t="shared" si="135"/>
        <v>3.7533160755390269</v>
      </c>
      <c r="GX74" s="26">
        <f t="shared" si="135"/>
        <v>2.8740182631233595</v>
      </c>
      <c r="GY74" s="26">
        <f t="shared" si="135"/>
        <v>1.9570777179779453</v>
      </c>
      <c r="GZ74" s="26">
        <f t="shared" si="165"/>
        <v>1.0000000000000013</v>
      </c>
      <c r="HA74" s="26">
        <f t="shared" si="165"/>
        <v>0</v>
      </c>
      <c r="HB74" s="26">
        <f t="shared" si="165"/>
        <v>-1.0459908887442633</v>
      </c>
      <c r="HC74" s="26">
        <f t="shared" si="165"/>
        <v>-2.1413775232533063</v>
      </c>
      <c r="HD74" s="26">
        <f t="shared" si="165"/>
        <v>-3.2898793840183869</v>
      </c>
      <c r="HE74" s="26">
        <f t="shared" si="172"/>
        <v>-4.4955737564650935</v>
      </c>
      <c r="HF74" s="26">
        <f t="shared" si="166"/>
        <v>-5.764260587288649</v>
      </c>
      <c r="HG74" s="26">
        <f t="shared" si="166"/>
        <v>-7.1023539709418806</v>
      </c>
      <c r="HH74" s="26">
        <f t="shared" si="166"/>
        <v>-8.5185808905853566</v>
      </c>
      <c r="HI74" s="26">
        <f t="shared" si="166"/>
        <v>-10.021174790244588</v>
      </c>
      <c r="HJ74" s="26">
        <f t="shared" si="167"/>
        <v>-11.622149872196305</v>
      </c>
      <c r="HK74" s="26">
        <f t="shared" si="266"/>
        <v>-13.333028336321393</v>
      </c>
      <c r="HL74" s="26">
        <f t="shared" si="137"/>
        <v>-15.166790511868642</v>
      </c>
      <c r="HM74" s="26">
        <f t="shared" si="137"/>
        <v>-17.142504988944822</v>
      </c>
      <c r="HN74" s="26">
        <f t="shared" si="137"/>
        <v>-19.278355420466006</v>
      </c>
      <c r="HO74" s="26">
        <f t="shared" si="137"/>
        <v>-21.596593002104953</v>
      </c>
      <c r="HP74" s="26">
        <f t="shared" si="199"/>
        <v>529180.36941439158</v>
      </c>
      <c r="HQ74" s="26">
        <f t="shared" si="200"/>
        <v>543299.51080943597</v>
      </c>
      <c r="HR74" s="26">
        <f t="shared" si="201"/>
        <v>558417.16570198291</v>
      </c>
      <c r="HS74" s="26">
        <f t="shared" si="202"/>
        <v>574691.1573874905</v>
      </c>
      <c r="HT74" s="26">
        <f t="shared" si="203"/>
        <v>592291.85841488873</v>
      </c>
      <c r="HU74" s="26">
        <f t="shared" si="204"/>
        <v>611397.41507537616</v>
      </c>
      <c r="HV74" s="26">
        <f t="shared" si="205"/>
        <v>632215.9078880985</v>
      </c>
      <c r="HW74" s="26">
        <f t="shared" si="206"/>
        <v>654984.1760571741</v>
      </c>
      <c r="HX74" s="26">
        <f t="shared" si="207"/>
        <v>679972.34910398582</v>
      </c>
      <c r="HY74" s="26">
        <f t="shared" si="208"/>
        <v>707483.5241365782</v>
      </c>
      <c r="HZ74" s="26">
        <f t="shared" si="209"/>
        <v>737857.08747192356</v>
      </c>
      <c r="IA74" s="26">
        <f t="shared" si="210"/>
        <v>771610.78507556755</v>
      </c>
      <c r="IB74" s="26">
        <f t="shared" si="211"/>
        <v>809333.57507614745</v>
      </c>
      <c r="IC74" s="26">
        <f t="shared" si="212"/>
        <v>851864.28964419465</v>
      </c>
      <c r="ID74" s="26">
        <f t="shared" si="213"/>
        <v>899993.67123210279</v>
      </c>
      <c r="IE74" s="26">
        <f t="shared" si="214"/>
        <v>954923.22640722978</v>
      </c>
      <c r="IF74" s="26">
        <f t="shared" si="215"/>
        <v>1017804.5883733676</v>
      </c>
      <c r="IG74" s="26">
        <f t="shared" si="216"/>
        <v>1089949.1377975398</v>
      </c>
      <c r="IH74" s="26">
        <f t="shared" si="217"/>
        <v>1137792.2132974393</v>
      </c>
      <c r="II74" s="26">
        <f t="shared" si="218"/>
        <v>-214985864226.94083</v>
      </c>
      <c r="IJ74" s="26">
        <f t="shared" si="219"/>
        <v>549317.51652086247</v>
      </c>
      <c r="IK74" s="26">
        <f t="shared" si="220"/>
        <v>563022.78388594266</v>
      </c>
      <c r="IL74" s="26">
        <f t="shared" si="221"/>
        <v>577800.52402816387</v>
      </c>
      <c r="IM74" s="26">
        <f t="shared" si="222"/>
        <v>593818.0383178565</v>
      </c>
      <c r="IN74" s="26">
        <f t="shared" si="223"/>
        <v>611256.06891736342</v>
      </c>
      <c r="IO74" s="26">
        <f t="shared" si="224"/>
        <v>630303.94749155687</v>
      </c>
      <c r="IP74" s="26">
        <f t="shared" si="225"/>
        <v>651182.38512474147</v>
      </c>
      <c r="IQ74" s="26">
        <f t="shared" si="226"/>
        <v>674142.36103343405</v>
      </c>
      <c r="IR74" s="26">
        <f t="shared" si="227"/>
        <v>699469.86682653567</v>
      </c>
      <c r="IS74" s="26">
        <f t="shared" si="228"/>
        <v>727485.698644583</v>
      </c>
      <c r="IT74" s="26">
        <f t="shared" si="229"/>
        <v>758548.98104882264</v>
      </c>
      <c r="IU74" s="26">
        <f t="shared" si="230"/>
        <v>793203.26407605805</v>
      </c>
      <c r="IV74" s="26">
        <f t="shared" si="231"/>
        <v>832066.89757208189</v>
      </c>
      <c r="IW74" s="26">
        <f t="shared" si="232"/>
        <v>876016.99880500429</v>
      </c>
      <c r="IX74" s="26">
        <f t="shared" si="233"/>
        <v>925883.55526492908</v>
      </c>
      <c r="IY74" s="26">
        <f t="shared" si="234"/>
        <v>982921.76442693523</v>
      </c>
      <c r="IZ74" s="26">
        <f t="shared" si="235"/>
        <v>1048338.7260245687</v>
      </c>
      <c r="JA74" s="26">
        <f t="shared" si="236"/>
        <v>1123509.4552556539</v>
      </c>
      <c r="JB74" s="26">
        <f t="shared" si="237"/>
        <v>1173891.1041624991</v>
      </c>
      <c r="JC74" s="26">
        <f t="shared" si="238"/>
        <v>-221435436809.95996</v>
      </c>
      <c r="JD74" s="26">
        <f t="shared" si="239"/>
        <v>150871.45645466732</v>
      </c>
      <c r="JE74" s="26">
        <f t="shared" si="240"/>
        <v>241316.32324881956</v>
      </c>
      <c r="JF74" s="26">
        <f t="shared" si="241"/>
        <v>336162.74928030325</v>
      </c>
      <c r="JG74" s="26">
        <f t="shared" si="242"/>
        <v>435804.35673980624</v>
      </c>
      <c r="JH74" s="26">
        <f t="shared" si="243"/>
        <v>540654.10345836519</v>
      </c>
      <c r="JI74" s="26">
        <f t="shared" si="244"/>
        <v>651182.38512474147</v>
      </c>
      <c r="JJ74" s="26">
        <f t="shared" si="245"/>
        <v>767915.28106949665</v>
      </c>
      <c r="JK74" s="26">
        <f t="shared" si="246"/>
        <v>891444.02780237654</v>
      </c>
      <c r="JL74" s="26">
        <f t="shared" si="247"/>
        <v>1022422.8723098438</v>
      </c>
      <c r="JM74" s="26">
        <f t="shared" si="248"/>
        <v>1161576.4671556274</v>
      </c>
      <c r="JN74" s="26">
        <f t="shared" si="249"/>
        <v>1309968.3266931586</v>
      </c>
      <c r="JO74" s="26">
        <f t="shared" si="250"/>
        <v>1468791.82333554</v>
      </c>
      <c r="JP74" s="26">
        <f t="shared" si="251"/>
        <v>1639706.4470301075</v>
      </c>
      <c r="JQ74" s="26">
        <f t="shared" si="252"/>
        <v>1824280.3122397074</v>
      </c>
      <c r="JR74" s="26">
        <f t="shared" si="253"/>
        <v>2024845.6877997108</v>
      </c>
      <c r="JS74" s="26">
        <f t="shared" si="254"/>
        <v>2243642.6368659046</v>
      </c>
      <c r="JT74" s="26">
        <f t="shared" si="255"/>
        <v>2483209.8591287667</v>
      </c>
      <c r="JU74" s="26">
        <f t="shared" si="256"/>
        <v>2710714.0027596103</v>
      </c>
      <c r="JV74" s="26">
        <f t="shared" si="257"/>
        <v>-221433708508.40329</v>
      </c>
      <c r="JW74" s="26">
        <f t="shared" si="258"/>
        <v>2087002.6507416922</v>
      </c>
      <c r="JX74" s="26" t="e">
        <f>AH74+$AG$38*0.004*(1+$R$28)*#REF!-S74*#REF!</f>
        <v>#REF!</v>
      </c>
      <c r="JY74" s="34">
        <f t="shared" si="259"/>
        <v>5.5663260360771474E-2</v>
      </c>
      <c r="JZ74" s="4">
        <f t="shared" si="260"/>
        <v>45478.629441299359</v>
      </c>
      <c r="KA74" s="165"/>
    </row>
    <row r="75" spans="1:287" ht="15.75" x14ac:dyDescent="0.3">
      <c r="A75" s="34">
        <v>74</v>
      </c>
      <c r="B75" s="34">
        <v>47</v>
      </c>
      <c r="C75" s="2">
        <v>912999</v>
      </c>
      <c r="D75" s="1">
        <f t="shared" si="106"/>
        <v>5515</v>
      </c>
      <c r="E75" s="145">
        <f t="shared" si="107"/>
        <v>0.9939594676445429</v>
      </c>
      <c r="F75" s="146">
        <f t="shared" si="108"/>
        <v>6.0405323554570955E-3</v>
      </c>
      <c r="G75" s="158">
        <f t="shared" si="173"/>
        <v>7.5506654443213694E-3</v>
      </c>
      <c r="H75" s="43">
        <f t="shared" si="109"/>
        <v>6738.356535534047</v>
      </c>
      <c r="I75" s="43">
        <f t="shared" si="139"/>
        <v>892418.89807232341</v>
      </c>
      <c r="J75" s="43">
        <f t="shared" si="110"/>
        <v>910241.5</v>
      </c>
      <c r="K75" s="147">
        <f>SUM(J75:$J$138)</f>
        <v>27881376.5</v>
      </c>
      <c r="L75" s="147">
        <f t="shared" si="111"/>
        <v>30.538233338700262</v>
      </c>
      <c r="M75" s="43">
        <f t="shared" si="174"/>
        <v>1137801.875</v>
      </c>
      <c r="N75" s="148">
        <f t="shared" si="175"/>
        <v>34851720.625</v>
      </c>
      <c r="O75" s="147">
        <f t="shared" si="6"/>
        <v>38.172791673375329</v>
      </c>
      <c r="P75" s="157">
        <f t="shared" si="176"/>
        <v>177162.71132132332</v>
      </c>
      <c r="Q75" s="43">
        <f t="shared" si="177"/>
        <v>1141248.75</v>
      </c>
      <c r="R75" s="43">
        <f t="shared" si="178"/>
        <v>1314.8837894199046</v>
      </c>
      <c r="S75" s="43">
        <f>SUM(R75:$R$138)</f>
        <v>73551.575928090766</v>
      </c>
      <c r="T75" s="43">
        <f t="shared" si="112"/>
        <v>1719935.5507384285</v>
      </c>
      <c r="U75" s="153">
        <f>SUM(P75:$P$138)</f>
        <v>3101021.3547806852</v>
      </c>
      <c r="V75" s="129">
        <f t="shared" si="179"/>
        <v>2006123.0115572365</v>
      </c>
      <c r="W75" s="43">
        <f t="shared" si="180"/>
        <v>130729.65381915121</v>
      </c>
      <c r="X75" s="26">
        <f t="shared" si="114"/>
        <v>6.1801850686153195</v>
      </c>
      <c r="Y75" s="26">
        <f t="shared" si="115"/>
        <v>0.73790727656027111</v>
      </c>
      <c r="Z75" s="43">
        <f t="shared" si="181"/>
        <v>63980.850699294751</v>
      </c>
      <c r="AA75" s="149">
        <f t="shared" si="116"/>
        <v>5.4022232767918135E-2</v>
      </c>
      <c r="AB75" s="150">
        <f t="shared" si="138"/>
        <v>2923858.6434593615</v>
      </c>
      <c r="AC75" s="150">
        <f t="shared" si="117"/>
        <v>1875393.3577380853</v>
      </c>
      <c r="AD75" s="26">
        <f t="shared" si="118"/>
        <v>5.9180923451755891</v>
      </c>
      <c r="AE75" s="26">
        <f t="shared" si="182"/>
        <v>534680.32388982933</v>
      </c>
      <c r="AF75" s="43">
        <f t="shared" si="183"/>
        <v>86515.260943411413</v>
      </c>
      <c r="AG75" s="43">
        <f t="shared" si="184"/>
        <v>555934.63958495937</v>
      </c>
      <c r="AH75" s="27">
        <f t="shared" si="185"/>
        <v>93797.170833913478</v>
      </c>
      <c r="AI75" s="28">
        <f t="shared" si="186"/>
        <v>597779.18234941876</v>
      </c>
      <c r="AJ75" s="20">
        <f t="shared" si="187"/>
        <v>100857.17293969193</v>
      </c>
      <c r="AK75" s="3">
        <f t="shared" si="188"/>
        <v>8740.9549881066341</v>
      </c>
      <c r="AL75" s="3"/>
      <c r="AM75" s="46">
        <f t="shared" si="121"/>
        <v>2923858.6434593615</v>
      </c>
      <c r="AN75" s="46">
        <f t="shared" si="122"/>
        <v>2753979.4019531519</v>
      </c>
      <c r="AO75" s="46">
        <f t="shared" si="122"/>
        <v>2591159.5511030932</v>
      </c>
      <c r="AP75" s="3">
        <f t="shared" si="261"/>
        <v>2435177.7612465657</v>
      </c>
      <c r="AQ75" s="3">
        <f t="shared" si="261"/>
        <v>2285815.9243503674</v>
      </c>
      <c r="AR75" s="16">
        <f t="shared" si="261"/>
        <v>2142865.0383407604</v>
      </c>
      <c r="AS75" s="16">
        <f t="shared" si="261"/>
        <v>2006123.0115572365</v>
      </c>
      <c r="AT75" s="16">
        <f t="shared" si="261"/>
        <v>1875393.3577380853</v>
      </c>
      <c r="AU75" s="16">
        <f t="shared" si="261"/>
        <v>1750486.9936345171</v>
      </c>
      <c r="AV75" s="16">
        <f t="shared" si="261"/>
        <v>1631218.7777198723</v>
      </c>
      <c r="AW75" s="16">
        <f t="shared" si="261"/>
        <v>1517407.6629794927</v>
      </c>
      <c r="AX75" s="16">
        <f t="shared" si="261"/>
        <v>1408901.5734490284</v>
      </c>
      <c r="AY75" s="16">
        <f t="shared" si="261"/>
        <v>1305560.6997197517</v>
      </c>
      <c r="AZ75" s="16">
        <f t="shared" si="261"/>
        <v>1207269.1709574449</v>
      </c>
      <c r="BA75" s="16">
        <f t="shared" si="261"/>
        <v>1113907.2760732146</v>
      </c>
      <c r="BB75" s="16">
        <f t="shared" si="261"/>
        <v>1025373.0742617993</v>
      </c>
      <c r="BC75" s="16">
        <f t="shared" si="144"/>
        <v>941559.25973365293</v>
      </c>
      <c r="BD75" s="16">
        <f t="shared" si="18"/>
        <v>862352.93208858941</v>
      </c>
      <c r="BE75" s="16">
        <f t="shared" si="18"/>
        <v>787654.85808610427</v>
      </c>
      <c r="BF75" s="16">
        <f t="shared" si="18"/>
        <v>717357.87731688586</v>
      </c>
      <c r="BG75" s="16">
        <f t="shared" si="18"/>
        <v>651351.76418205327</v>
      </c>
      <c r="BH75" s="172">
        <f t="shared" si="123"/>
        <v>169879.2415062098</v>
      </c>
      <c r="BI75" s="16">
        <f t="shared" si="189"/>
        <v>162819.85085005857</v>
      </c>
      <c r="BJ75" s="16">
        <f t="shared" si="189"/>
        <v>155981.78985652846</v>
      </c>
      <c r="BK75" s="16">
        <f t="shared" si="189"/>
        <v>149361.83689619804</v>
      </c>
      <c r="BL75" s="16">
        <f t="shared" si="189"/>
        <v>142950.88600960682</v>
      </c>
      <c r="BM75" s="16">
        <f t="shared" si="189"/>
        <v>136742.02678352417</v>
      </c>
      <c r="BN75" s="16">
        <f t="shared" si="189"/>
        <v>130729.65381915121</v>
      </c>
      <c r="BO75" s="16">
        <f t="shared" si="189"/>
        <v>124906.36410356843</v>
      </c>
      <c r="BP75" s="16">
        <f t="shared" si="189"/>
        <v>119268.21591464471</v>
      </c>
      <c r="BQ75" s="16">
        <f t="shared" si="189"/>
        <v>113811.11474037961</v>
      </c>
      <c r="BR75" s="16">
        <f t="shared" si="189"/>
        <v>108506.0895304641</v>
      </c>
      <c r="BS75" s="16">
        <f t="shared" si="189"/>
        <v>103340.87372927672</v>
      </c>
      <c r="BT75" s="16">
        <f t="shared" si="189"/>
        <v>98291.528762306916</v>
      </c>
      <c r="BU75" s="16">
        <f t="shared" si="189"/>
        <v>93361.894884230453</v>
      </c>
      <c r="BV75" s="16">
        <f t="shared" si="189"/>
        <v>88534.201811415609</v>
      </c>
      <c r="BW75" s="16">
        <f t="shared" si="189"/>
        <v>83813.814528146351</v>
      </c>
      <c r="BX75" s="16">
        <f t="shared" si="168"/>
        <v>79206.327645063458</v>
      </c>
      <c r="BY75" s="16">
        <f t="shared" si="149"/>
        <v>74698.07400248514</v>
      </c>
      <c r="BZ75" s="16">
        <f t="shared" si="149"/>
        <v>70296.980769218397</v>
      </c>
      <c r="CA75" s="16">
        <f t="shared" si="149"/>
        <v>66006.113134832645</v>
      </c>
      <c r="CB75" s="16">
        <f t="shared" si="149"/>
        <v>61847.786086505286</v>
      </c>
      <c r="CC75" s="18">
        <f t="shared" si="124"/>
        <v>5.4022823728499985</v>
      </c>
      <c r="CD75" s="18">
        <f t="shared" si="124"/>
        <v>4.5931524104184271</v>
      </c>
      <c r="CE75" s="18">
        <f t="shared" si="124"/>
        <v>3.7506720501410542</v>
      </c>
      <c r="CF75" s="18">
        <f t="shared" si="124"/>
        <v>2.8725861880468786</v>
      </c>
      <c r="CG75" s="18">
        <f t="shared" si="124"/>
        <v>1.9565664865787153</v>
      </c>
      <c r="CH75" s="18">
        <f t="shared" si="150"/>
        <v>0.99999999999999767</v>
      </c>
      <c r="CI75" s="18">
        <f t="shared" si="150"/>
        <v>0</v>
      </c>
      <c r="CJ75" s="18">
        <f t="shared" si="150"/>
        <v>-1.0466212410982862</v>
      </c>
      <c r="CK75" s="18">
        <f t="shared" si="150"/>
        <v>-2.1433708550286985</v>
      </c>
      <c r="CL75" s="18">
        <f t="shared" si="151"/>
        <v>-3.2940915717465522</v>
      </c>
      <c r="CM75" s="18">
        <f t="shared" si="151"/>
        <v>-4.5040361392853665</v>
      </c>
      <c r="CN75" s="18">
        <f t="shared" si="151"/>
        <v>-5.7791405912897158</v>
      </c>
      <c r="CO75" s="18">
        <f t="shared" si="151"/>
        <v>-7.1273925704382597</v>
      </c>
      <c r="CP75" s="18">
        <f t="shared" si="152"/>
        <v>-8.556529851824207</v>
      </c>
      <c r="CQ75" s="18">
        <f t="shared" si="153"/>
        <v>-10.077639118320707</v>
      </c>
      <c r="CR75" s="18">
        <f t="shared" si="154"/>
        <v>-11.701530861193316</v>
      </c>
      <c r="CS75" s="18">
        <f t="shared" si="267"/>
        <v>-13.440387699756368</v>
      </c>
      <c r="CT75" s="18">
        <f t="shared" si="125"/>
        <v>-15.311908569832667</v>
      </c>
      <c r="CU75" s="18">
        <f t="shared" si="125"/>
        <v>-17.333150586812604</v>
      </c>
      <c r="CV75" s="18">
        <f t="shared" si="125"/>
        <v>-19.524935995060819</v>
      </c>
      <c r="CW75" s="18">
        <f t="shared" si="22"/>
        <v>-21.904927129975054</v>
      </c>
      <c r="CX75" s="17">
        <f t="shared" si="190"/>
        <v>1337.4910783213436</v>
      </c>
      <c r="CY75" s="17">
        <f t="shared" si="264"/>
        <v>1355.1865430531943</v>
      </c>
      <c r="CZ75" s="17">
        <f t="shared" si="264"/>
        <v>1368.5450992285078</v>
      </c>
      <c r="DA75" s="17">
        <f t="shared" si="264"/>
        <v>1383.6640011690392</v>
      </c>
      <c r="DB75" s="17">
        <f t="shared" si="264"/>
        <v>1398.6228844655041</v>
      </c>
      <c r="DC75" s="17">
        <f t="shared" si="264"/>
        <v>1412.3318331385378</v>
      </c>
      <c r="DD75" s="17">
        <f t="shared" si="263"/>
        <v>1426.812492235438</v>
      </c>
      <c r="DE75" s="17">
        <f t="shared" si="263"/>
        <v>1438.7982060767181</v>
      </c>
      <c r="DF75" s="3" t="e">
        <f>#REF!+$AG$35*0.004*(1+$R$28)*#REF!-S75*#REF!</f>
        <v>#REF!</v>
      </c>
      <c r="DG75" s="19">
        <f t="shared" si="191"/>
        <v>2330.7322354636904</v>
      </c>
      <c r="DH75" s="19">
        <f t="shared" si="192"/>
        <v>2199.6644322473499</v>
      </c>
      <c r="DI75" s="19">
        <f t="shared" si="193"/>
        <v>2058.1280551039245</v>
      </c>
      <c r="DJ75" s="19">
        <f t="shared" si="194"/>
        <v>1911.80574432298</v>
      </c>
      <c r="DK75" s="19">
        <f t="shared" si="195"/>
        <v>1758.3490570406263</v>
      </c>
      <c r="DL75" s="19">
        <f t="shared" si="196"/>
        <v>1596.1876719473403</v>
      </c>
      <c r="DM75" s="19">
        <f t="shared" si="197"/>
        <v>1426.812492235438</v>
      </c>
      <c r="DN75" s="19">
        <f t="shared" si="198"/>
        <v>1246.3707798794821</v>
      </c>
      <c r="DO75" s="173">
        <f t="shared" si="127"/>
        <v>72236.692138670856</v>
      </c>
      <c r="DP75" s="25">
        <f t="shared" si="262"/>
        <v>70899.201060349529</v>
      </c>
      <c r="DQ75" s="26">
        <f t="shared" si="262"/>
        <v>69544.014517296338</v>
      </c>
      <c r="DR75" s="26">
        <f t="shared" si="262"/>
        <v>68175.46941806782</v>
      </c>
      <c r="DS75" s="26">
        <f t="shared" si="262"/>
        <v>66791.805416898773</v>
      </c>
      <c r="DT75" s="26">
        <f t="shared" si="262"/>
        <v>65393.182532433275</v>
      </c>
      <c r="DU75" s="26">
        <f t="shared" si="262"/>
        <v>63980.850699294751</v>
      </c>
      <c r="DV75" s="26">
        <f t="shared" si="262"/>
        <v>62554.038207059304</v>
      </c>
      <c r="DW75" s="26">
        <f t="shared" si="262"/>
        <v>61115.240000982594</v>
      </c>
      <c r="DX75" s="26">
        <f t="shared" si="262"/>
        <v>59666.659978071591</v>
      </c>
      <c r="DY75" s="26">
        <f t="shared" si="262"/>
        <v>58185.053037586011</v>
      </c>
      <c r="DZ75" s="26">
        <f t="shared" si="262"/>
        <v>56663.171693451171</v>
      </c>
      <c r="EA75" s="26">
        <f t="shared" si="262"/>
        <v>55081.471929218045</v>
      </c>
      <c r="EB75" s="26">
        <f t="shared" si="262"/>
        <v>53447.84694462482</v>
      </c>
      <c r="EC75" s="26">
        <f t="shared" si="262"/>
        <v>51748.336585876787</v>
      </c>
      <c r="ED75" s="26">
        <f t="shared" si="262"/>
        <v>49991.905999111841</v>
      </c>
      <c r="EE75" s="26">
        <f t="shared" si="145"/>
        <v>48187.938512941255</v>
      </c>
      <c r="EF75" s="26">
        <f t="shared" si="34"/>
        <v>0</v>
      </c>
      <c r="EG75" s="26">
        <f t="shared" si="34"/>
        <v>0</v>
      </c>
      <c r="EH75" s="26">
        <f t="shared" si="34"/>
        <v>0</v>
      </c>
      <c r="EI75" s="26">
        <f t="shared" si="34"/>
        <v>0</v>
      </c>
      <c r="EJ75" s="26">
        <f t="shared" si="128"/>
        <v>4.8598294683781712E-2</v>
      </c>
      <c r="EK75" s="26">
        <f t="shared" si="128"/>
        <v>4.2490828513446516E-2</v>
      </c>
      <c r="EL75" s="26">
        <f t="shared" ref="EL75:EX91" si="270">(DQ75-$Z75)/BJ75</f>
        <v>3.566546981617897E-2</v>
      </c>
      <c r="EM75" s="26">
        <f t="shared" si="270"/>
        <v>2.8083604258885765E-2</v>
      </c>
      <c r="EN75" s="26">
        <f t="shared" si="270"/>
        <v>1.9663779610397902E-2</v>
      </c>
      <c r="EO75" s="26">
        <f t="shared" si="270"/>
        <v>1.0328440102576372E-2</v>
      </c>
      <c r="EP75" s="26">
        <f t="shared" si="270"/>
        <v>0</v>
      </c>
      <c r="EQ75" s="26">
        <f t="shared" si="270"/>
        <v>-1.1423056803193625E-2</v>
      </c>
      <c r="ER75" s="26">
        <f t="shared" si="270"/>
        <v>-2.4026608232011748E-2</v>
      </c>
      <c r="ES75" s="26">
        <f t="shared" si="270"/>
        <v>-3.7906585231719088E-2</v>
      </c>
      <c r="ET75" s="26">
        <f t="shared" si="270"/>
        <v>-5.3414492097068118E-2</v>
      </c>
      <c r="EU75" s="26">
        <f t="shared" si="270"/>
        <v>-7.0811081247617355E-2</v>
      </c>
      <c r="EV75" s="26">
        <f t="shared" si="270"/>
        <v>-9.0540648641223118E-2</v>
      </c>
      <c r="EW75" s="26">
        <f t="shared" si="270"/>
        <v>-0.11281908714182533</v>
      </c>
      <c r="EX75" s="26">
        <f t="shared" si="270"/>
        <v>-0.13816710224003739</v>
      </c>
      <c r="EY75" s="26">
        <f t="shared" si="269"/>
        <v>-0.16690499983728987</v>
      </c>
      <c r="EZ75" s="26">
        <f t="shared" si="269"/>
        <v>-0.1993895267701859</v>
      </c>
      <c r="FA75" s="26">
        <f t="shared" si="269"/>
        <v>-0.85652610932332962</v>
      </c>
      <c r="FB75" s="26">
        <f t="shared" si="269"/>
        <v>-0.91015076322183452</v>
      </c>
      <c r="FC75" s="26">
        <f t="shared" si="269"/>
        <v>-0.96931704747709002</v>
      </c>
      <c r="FD75" s="26">
        <f t="shared" si="269"/>
        <v>-1.0344889404740534</v>
      </c>
      <c r="FE75" s="26">
        <f t="shared" si="130"/>
        <v>5.1718269779474531</v>
      </c>
      <c r="FF75" s="26">
        <f t="shared" si="130"/>
        <v>4.3960622100321149</v>
      </c>
      <c r="FG75" s="26">
        <f t="shared" si="130"/>
        <v>3.5887804853590173</v>
      </c>
      <c r="FH75" s="26">
        <f t="shared" si="130"/>
        <v>2.7478409153304222</v>
      </c>
      <c r="FI75" s="26">
        <f t="shared" si="130"/>
        <v>1.8710739616171388</v>
      </c>
      <c r="FJ75" s="26">
        <f t="shared" si="157"/>
        <v>0.95603127212754335</v>
      </c>
      <c r="FK75" s="26">
        <f t="shared" si="157"/>
        <v>0</v>
      </c>
      <c r="FL75" s="26">
        <f t="shared" si="157"/>
        <v>-0.99999999999999856</v>
      </c>
      <c r="FM75" s="26">
        <f t="shared" si="157"/>
        <v>-2.0472728475536064</v>
      </c>
      <c r="FN75" s="26">
        <f t="shared" si="157"/>
        <v>-3.1454370302515025</v>
      </c>
      <c r="FO75" s="26">
        <f t="shared" si="170"/>
        <v>-4.2992221570945564</v>
      </c>
      <c r="FP75" s="26">
        <f t="shared" si="158"/>
        <v>-5.514107220644668</v>
      </c>
      <c r="FQ75" s="26">
        <f t="shared" si="158"/>
        <v>-6.7973730309590454</v>
      </c>
      <c r="FR75" s="26">
        <f t="shared" si="158"/>
        <v>-8.1562834881309971</v>
      </c>
      <c r="FS75" s="26">
        <f t="shared" si="158"/>
        <v>-9.60103853747834</v>
      </c>
      <c r="FT75" s="26">
        <f t="shared" si="159"/>
        <v>-11.141768254573741</v>
      </c>
      <c r="FU75" s="26">
        <f t="shared" si="268"/>
        <v>-12.789892623088097</v>
      </c>
      <c r="FV75" s="26">
        <f t="shared" si="131"/>
        <v>-14.561801146516748</v>
      </c>
      <c r="FW75" s="26">
        <f t="shared" si="131"/>
        <v>-16.473473935146291</v>
      </c>
      <c r="FX75" s="26">
        <f t="shared" si="39"/>
        <v>1750486.9936345171</v>
      </c>
      <c r="FY75" s="26">
        <f t="shared" si="40"/>
        <v>119268.21591464471</v>
      </c>
      <c r="FZ75" s="26">
        <f t="shared" si="132"/>
        <v>0.76954460509745382</v>
      </c>
      <c r="GA75" s="26">
        <f t="shared" si="160"/>
        <v>0.80290979961368869</v>
      </c>
      <c r="GB75" s="26">
        <f t="shared" si="132"/>
        <v>0.83810843521795664</v>
      </c>
      <c r="GC75" s="26">
        <f t="shared" si="132"/>
        <v>0.87525472728354536</v>
      </c>
      <c r="GD75" s="26">
        <f t="shared" si="132"/>
        <v>0.91450747503842467</v>
      </c>
      <c r="GE75" s="26">
        <f t="shared" si="161"/>
        <v>0.95603127212754324</v>
      </c>
      <c r="GF75" s="26">
        <f t="shared" si="161"/>
        <v>1</v>
      </c>
      <c r="GG75" s="26">
        <f t="shared" si="161"/>
        <v>1.0466212410982862</v>
      </c>
      <c r="GH75" s="26">
        <f t="shared" si="161"/>
        <v>1.0960980074750928</v>
      </c>
      <c r="GI75" s="26">
        <f t="shared" si="161"/>
        <v>1.1486545414950495</v>
      </c>
      <c r="GJ75" s="26">
        <f t="shared" si="171"/>
        <v>1.2048139821908117</v>
      </c>
      <c r="GK75" s="26">
        <f t="shared" si="162"/>
        <v>1.2650333706450478</v>
      </c>
      <c r="GL75" s="26">
        <f t="shared" si="162"/>
        <v>1.3300195394792125</v>
      </c>
      <c r="GM75" s="26">
        <f t="shared" si="162"/>
        <v>1.4002463636932079</v>
      </c>
      <c r="GN75" s="26">
        <f t="shared" si="162"/>
        <v>1.4766005808423623</v>
      </c>
      <c r="GO75" s="26">
        <f t="shared" si="163"/>
        <v>1.5597626066195756</v>
      </c>
      <c r="GP75" s="26">
        <f t="shared" si="265"/>
        <v>1.6504950766682711</v>
      </c>
      <c r="GQ75" s="26">
        <f t="shared" si="134"/>
        <v>1.7501074233159204</v>
      </c>
      <c r="GR75" s="26">
        <f t="shared" si="134"/>
        <v>1.8596766516663121</v>
      </c>
      <c r="GS75" s="26">
        <f t="shared" si="134"/>
        <v>1.9805688838563462</v>
      </c>
      <c r="GT75" s="26">
        <f t="shared" si="134"/>
        <v>2.1137321493820687</v>
      </c>
      <c r="GU75" s="26">
        <f t="shared" si="135"/>
        <v>5.4022823728499985</v>
      </c>
      <c r="GV75" s="26">
        <f t="shared" si="164"/>
        <v>4.5931524104184271</v>
      </c>
      <c r="GW75" s="26">
        <f t="shared" si="135"/>
        <v>3.7506720501410542</v>
      </c>
      <c r="GX75" s="26">
        <f t="shared" si="135"/>
        <v>2.8725861880468786</v>
      </c>
      <c r="GY75" s="26">
        <f t="shared" si="135"/>
        <v>1.9565664865787153</v>
      </c>
      <c r="GZ75" s="26">
        <f t="shared" si="165"/>
        <v>0.99999999999999767</v>
      </c>
      <c r="HA75" s="26">
        <f t="shared" si="165"/>
        <v>0</v>
      </c>
      <c r="HB75" s="26">
        <f t="shared" si="165"/>
        <v>-1.0466212410982862</v>
      </c>
      <c r="HC75" s="26">
        <f t="shared" si="165"/>
        <v>-2.1433708550286985</v>
      </c>
      <c r="HD75" s="26">
        <f t="shared" si="165"/>
        <v>-3.2940915717465522</v>
      </c>
      <c r="HE75" s="26">
        <f t="shared" si="172"/>
        <v>-4.5040361392853665</v>
      </c>
      <c r="HF75" s="26">
        <f t="shared" si="166"/>
        <v>-5.7791405912897158</v>
      </c>
      <c r="HG75" s="26">
        <f t="shared" si="166"/>
        <v>-7.1273925704382597</v>
      </c>
      <c r="HH75" s="26">
        <f t="shared" si="166"/>
        <v>-8.556529851824207</v>
      </c>
      <c r="HI75" s="26">
        <f t="shared" si="166"/>
        <v>-10.077639118320707</v>
      </c>
      <c r="HJ75" s="26">
        <f t="shared" si="167"/>
        <v>-11.701530861193316</v>
      </c>
      <c r="HK75" s="26">
        <f t="shared" si="266"/>
        <v>-13.440387699756368</v>
      </c>
      <c r="HL75" s="26">
        <f t="shared" si="137"/>
        <v>-15.311908569832667</v>
      </c>
      <c r="HM75" s="26">
        <f t="shared" si="137"/>
        <v>-17.333150586812604</v>
      </c>
      <c r="HN75" s="26">
        <f t="shared" si="137"/>
        <v>-19.524935995060819</v>
      </c>
      <c r="HO75" s="26">
        <f t="shared" si="137"/>
        <v>-21.904927129975054</v>
      </c>
      <c r="HP75" s="26">
        <f t="shared" si="199"/>
        <v>530020.91769564257</v>
      </c>
      <c r="HQ75" s="26">
        <f t="shared" si="200"/>
        <v>543906.66776475555</v>
      </c>
      <c r="HR75" s="26">
        <f t="shared" si="201"/>
        <v>558826.2331011442</v>
      </c>
      <c r="HS75" s="26">
        <f t="shared" si="202"/>
        <v>574939.72826321411</v>
      </c>
      <c r="HT75" s="26">
        <f t="shared" si="203"/>
        <v>592409.8410801728</v>
      </c>
      <c r="HU75" s="26">
        <f t="shared" si="204"/>
        <v>611428.62435818044</v>
      </c>
      <c r="HV75" s="26">
        <f t="shared" si="205"/>
        <v>632215.9078880985</v>
      </c>
      <c r="HW75" s="26">
        <f t="shared" si="206"/>
        <v>655020.92230620061</v>
      </c>
      <c r="HX75" s="26">
        <f t="shared" si="207"/>
        <v>680126.54623493936</v>
      </c>
      <c r="HY75" s="26">
        <f t="shared" si="208"/>
        <v>707849.55493533204</v>
      </c>
      <c r="HZ75" s="26">
        <f t="shared" si="209"/>
        <v>738649.57350845844</v>
      </c>
      <c r="IA75" s="26">
        <f t="shared" si="210"/>
        <v>773065.47378883592</v>
      </c>
      <c r="IB75" s="26">
        <f t="shared" si="211"/>
        <v>811856.3597905247</v>
      </c>
      <c r="IC75" s="26">
        <f t="shared" si="212"/>
        <v>855761.19533649739</v>
      </c>
      <c r="ID75" s="26">
        <f t="shared" si="213"/>
        <v>905880.62521313981</v>
      </c>
      <c r="IE75" s="26">
        <f t="shared" si="214"/>
        <v>963290.20449390984</v>
      </c>
      <c r="IF75" s="26">
        <f t="shared" si="215"/>
        <v>1029215.6059443952</v>
      </c>
      <c r="IG75" s="26">
        <f t="shared" si="216"/>
        <v>1069941.4185263978</v>
      </c>
      <c r="IH75" s="26">
        <f t="shared" si="217"/>
        <v>1157656.8874097297</v>
      </c>
      <c r="II75" s="26">
        <f t="shared" si="218"/>
        <v>-200667269404.58728</v>
      </c>
      <c r="IJ75" s="26">
        <f t="shared" si="219"/>
        <v>550178.50726614741</v>
      </c>
      <c r="IK75" s="26">
        <f t="shared" si="220"/>
        <v>563645.0321989808</v>
      </c>
      <c r="IL75" s="26">
        <f t="shared" si="221"/>
        <v>578220.01015037473</v>
      </c>
      <c r="IM75" s="26">
        <f t="shared" si="222"/>
        <v>594073.12648484414</v>
      </c>
      <c r="IN75" s="26">
        <f t="shared" si="223"/>
        <v>611377.27878374304</v>
      </c>
      <c r="IO75" s="26">
        <f t="shared" si="224"/>
        <v>630336.09305284522</v>
      </c>
      <c r="IP75" s="26">
        <f t="shared" si="225"/>
        <v>651182.38512474147</v>
      </c>
      <c r="IQ75" s="26">
        <f t="shared" si="226"/>
        <v>674179.91357029846</v>
      </c>
      <c r="IR75" s="26">
        <f t="shared" si="227"/>
        <v>699627.85055510921</v>
      </c>
      <c r="IS75" s="26">
        <f t="shared" si="228"/>
        <v>727861.14535899763</v>
      </c>
      <c r="IT75" s="26">
        <f t="shared" si="229"/>
        <v>759362.5238488483</v>
      </c>
      <c r="IU75" s="26">
        <f t="shared" si="230"/>
        <v>794697.57715534628</v>
      </c>
      <c r="IV75" s="26">
        <f t="shared" si="231"/>
        <v>834659.9131539854</v>
      </c>
      <c r="IW75" s="26">
        <f t="shared" si="232"/>
        <v>880024.56054195773</v>
      </c>
      <c r="IX75" s="26">
        <f t="shared" si="233"/>
        <v>931940.86398468993</v>
      </c>
      <c r="IY75" s="26">
        <f t="shared" si="234"/>
        <v>991535.31800654542</v>
      </c>
      <c r="IZ75" s="26">
        <f t="shared" si="235"/>
        <v>1060092.0741227272</v>
      </c>
      <c r="JA75" s="26">
        <f t="shared" si="236"/>
        <v>1102909.7506486776</v>
      </c>
      <c r="JB75" s="26">
        <f t="shared" si="237"/>
        <v>1194373.5730829444</v>
      </c>
      <c r="JC75" s="26">
        <f t="shared" si="238"/>
        <v>-206687284100.16696</v>
      </c>
      <c r="JD75" s="26">
        <f t="shared" si="239"/>
        <v>150470.9117649353</v>
      </c>
      <c r="JE75" s="26">
        <f t="shared" si="240"/>
        <v>240830.67775232019</v>
      </c>
      <c r="JF75" s="26">
        <f t="shared" si="241"/>
        <v>335671.45252229116</v>
      </c>
      <c r="JG75" s="26">
        <f t="shared" si="242"/>
        <v>435375.57778875087</v>
      </c>
      <c r="JH75" s="26">
        <f t="shared" si="243"/>
        <v>540381.72543881577</v>
      </c>
      <c r="JI75" s="26">
        <f t="shared" si="244"/>
        <v>651182.38512474147</v>
      </c>
      <c r="JJ75" s="26">
        <f t="shared" si="245"/>
        <v>768328.06544470566</v>
      </c>
      <c r="JK75" s="26">
        <f t="shared" si="246"/>
        <v>892433.42038155766</v>
      </c>
      <c r="JL75" s="26">
        <f t="shared" si="247"/>
        <v>1024179.0695581636</v>
      </c>
      <c r="JM75" s="26">
        <f t="shared" si="248"/>
        <v>1164520.246468999</v>
      </c>
      <c r="JN75" s="26">
        <f t="shared" si="249"/>
        <v>1314556.5143973818</v>
      </c>
      <c r="JO75" s="26">
        <f t="shared" si="250"/>
        <v>1475800.0045646923</v>
      </c>
      <c r="JP75" s="26">
        <f t="shared" si="251"/>
        <v>1649721.792333371</v>
      </c>
      <c r="JQ75" s="26">
        <f t="shared" si="252"/>
        <v>1838468.5179156363</v>
      </c>
      <c r="JR75" s="26">
        <f t="shared" si="253"/>
        <v>2044139.1267412417</v>
      </c>
      <c r="JS75" s="26">
        <f t="shared" si="254"/>
        <v>2269113.6501416937</v>
      </c>
      <c r="JT75" s="26">
        <f t="shared" si="255"/>
        <v>2480282.803011816</v>
      </c>
      <c r="JU75" s="26">
        <f t="shared" si="256"/>
        <v>2753566.1728784186</v>
      </c>
      <c r="JV75" s="26">
        <f t="shared" si="257"/>
        <v>-206685527746.89682</v>
      </c>
      <c r="JW75" s="26">
        <f t="shared" si="258"/>
        <v>2120914.7793732421</v>
      </c>
      <c r="JX75" s="26" t="e">
        <f>AH75+$AG$38*0.004*(1+$R$28)*#REF!-S75*#REF!</f>
        <v>#REF!</v>
      </c>
      <c r="JY75" s="34">
        <f t="shared" si="259"/>
        <v>5.6040532355457098E-2</v>
      </c>
      <c r="JZ75" s="4">
        <f t="shared" si="260"/>
        <v>45258.896681979473</v>
      </c>
      <c r="KA75" s="165"/>
    </row>
    <row r="76" spans="1:287" ht="15.75" x14ac:dyDescent="0.3">
      <c r="A76" s="34">
        <v>75</v>
      </c>
      <c r="B76" s="34">
        <v>48</v>
      </c>
      <c r="C76" s="2">
        <v>907484</v>
      </c>
      <c r="D76" s="1">
        <f t="shared" si="106"/>
        <v>5815</v>
      </c>
      <c r="E76" s="145">
        <f t="shared" si="107"/>
        <v>0.99359217352592444</v>
      </c>
      <c r="F76" s="146">
        <f t="shared" si="108"/>
        <v>6.4078264740755619E-3</v>
      </c>
      <c r="G76" s="158">
        <f t="shared" si="173"/>
        <v>8.0097830925944524E-3</v>
      </c>
      <c r="H76" s="43">
        <f t="shared" si="109"/>
        <v>7094.1090270412742</v>
      </c>
      <c r="I76" s="43">
        <f t="shared" si="139"/>
        <v>885680.54153678939</v>
      </c>
      <c r="J76" s="43">
        <f t="shared" si="110"/>
        <v>904576.5</v>
      </c>
      <c r="K76" s="147">
        <f>SUM(J76:$J$138)</f>
        <v>26971135</v>
      </c>
      <c r="L76" s="147">
        <f t="shared" si="111"/>
        <v>29.720782955952942</v>
      </c>
      <c r="M76" s="43">
        <f t="shared" si="174"/>
        <v>1130720.625</v>
      </c>
      <c r="N76" s="148">
        <f t="shared" si="175"/>
        <v>33713918.75</v>
      </c>
      <c r="O76" s="147">
        <f t="shared" si="6"/>
        <v>37.150978694941173</v>
      </c>
      <c r="P76" s="157">
        <f t="shared" si="176"/>
        <v>169879.2415062098</v>
      </c>
      <c r="Q76" s="43">
        <f t="shared" si="177"/>
        <v>1134355</v>
      </c>
      <c r="R76" s="43">
        <f t="shared" si="178"/>
        <v>1337.4910783213436</v>
      </c>
      <c r="S76" s="43">
        <f>SUM(R76:$R$138)</f>
        <v>72236.692138670856</v>
      </c>
      <c r="T76" s="43">
        <f t="shared" si="112"/>
        <v>1646383.9748103374</v>
      </c>
      <c r="U76" s="153">
        <f>SUM(P76:$P$138)</f>
        <v>2923858.6434593615</v>
      </c>
      <c r="V76" s="129">
        <f t="shared" si="179"/>
        <v>1875393.3577380853</v>
      </c>
      <c r="W76" s="43">
        <f t="shared" si="180"/>
        <v>124906.36410356843</v>
      </c>
      <c r="X76" s="26">
        <f t="shared" si="114"/>
        <v>6.1718269779474522</v>
      </c>
      <c r="Y76" s="26">
        <f t="shared" si="115"/>
        <v>0.735265609830278</v>
      </c>
      <c r="Z76" s="43">
        <f t="shared" si="181"/>
        <v>62554.038207059304</v>
      </c>
      <c r="AA76" s="149">
        <f t="shared" si="116"/>
        <v>5.6997275510307775E-2</v>
      </c>
      <c r="AB76" s="150">
        <f t="shared" si="138"/>
        <v>2753979.4019531519</v>
      </c>
      <c r="AC76" s="150">
        <f t="shared" si="117"/>
        <v>1750486.9936345171</v>
      </c>
      <c r="AD76" s="26">
        <f t="shared" si="118"/>
        <v>5.9070925877777301</v>
      </c>
      <c r="AE76" s="26">
        <f t="shared" si="182"/>
        <v>535808.97183915332</v>
      </c>
      <c r="AF76" s="43">
        <f t="shared" si="183"/>
        <v>86815.293713458232</v>
      </c>
      <c r="AG76" s="43">
        <f t="shared" si="184"/>
        <v>557090.09567924717</v>
      </c>
      <c r="AH76" s="27">
        <f t="shared" si="185"/>
        <v>94106.2045870617</v>
      </c>
      <c r="AI76" s="28">
        <f t="shared" si="186"/>
        <v>599021.60825725505</v>
      </c>
      <c r="AJ76" s="20">
        <f t="shared" si="187"/>
        <v>101189.46729791582</v>
      </c>
      <c r="AK76" s="3">
        <f t="shared" si="188"/>
        <v>8769.7538324860379</v>
      </c>
      <c r="AL76" s="3"/>
      <c r="AM76" s="46">
        <f t="shared" si="121"/>
        <v>2753979.4019531519</v>
      </c>
      <c r="AN76" s="46">
        <f t="shared" si="122"/>
        <v>2591159.5511030932</v>
      </c>
      <c r="AO76" s="46">
        <f t="shared" si="122"/>
        <v>2435177.7612465657</v>
      </c>
      <c r="AP76" s="3">
        <f t="shared" si="261"/>
        <v>2285815.9243503674</v>
      </c>
      <c r="AQ76" s="3">
        <f t="shared" si="261"/>
        <v>2142865.0383407604</v>
      </c>
      <c r="AR76" s="16">
        <f t="shared" si="261"/>
        <v>2006123.0115572365</v>
      </c>
      <c r="AS76" s="16">
        <f t="shared" si="261"/>
        <v>1875393.3577380853</v>
      </c>
      <c r="AT76" s="16">
        <f t="shared" si="261"/>
        <v>1750486.9936345171</v>
      </c>
      <c r="AU76" s="16">
        <f t="shared" si="261"/>
        <v>1631218.7777198723</v>
      </c>
      <c r="AV76" s="16">
        <f t="shared" si="261"/>
        <v>1517407.6629794927</v>
      </c>
      <c r="AW76" s="16">
        <f t="shared" si="261"/>
        <v>1408901.5734490284</v>
      </c>
      <c r="AX76" s="16">
        <f t="shared" si="261"/>
        <v>1305560.6997197517</v>
      </c>
      <c r="AY76" s="16">
        <f t="shared" si="261"/>
        <v>1207269.1709574449</v>
      </c>
      <c r="AZ76" s="16">
        <f t="shared" si="261"/>
        <v>1113907.2760732146</v>
      </c>
      <c r="BA76" s="16">
        <f t="shared" si="261"/>
        <v>1025373.0742617993</v>
      </c>
      <c r="BB76" s="16">
        <f t="shared" si="261"/>
        <v>941559.25973365293</v>
      </c>
      <c r="BC76" s="16">
        <f t="shared" si="144"/>
        <v>862352.93208858941</v>
      </c>
      <c r="BD76" s="16">
        <f t="shared" si="18"/>
        <v>787654.85808610427</v>
      </c>
      <c r="BE76" s="16">
        <f t="shared" si="18"/>
        <v>717357.87731688586</v>
      </c>
      <c r="BF76" s="16">
        <f t="shared" si="18"/>
        <v>651351.76418205327</v>
      </c>
      <c r="BG76" s="16">
        <f t="shared" si="18"/>
        <v>589503.97809554788</v>
      </c>
      <c r="BH76" s="172">
        <f t="shared" si="123"/>
        <v>162819.85085005857</v>
      </c>
      <c r="BI76" s="16">
        <f t="shared" si="189"/>
        <v>155981.78985652846</v>
      </c>
      <c r="BJ76" s="16">
        <f t="shared" si="189"/>
        <v>149361.83689619804</v>
      </c>
      <c r="BK76" s="16">
        <f t="shared" si="189"/>
        <v>142950.88600960682</v>
      </c>
      <c r="BL76" s="16">
        <f t="shared" si="189"/>
        <v>136742.02678352417</v>
      </c>
      <c r="BM76" s="16">
        <f t="shared" si="189"/>
        <v>130729.65381915121</v>
      </c>
      <c r="BN76" s="16">
        <f t="shared" si="189"/>
        <v>124906.36410356843</v>
      </c>
      <c r="BO76" s="16">
        <f t="shared" si="189"/>
        <v>119268.21591464471</v>
      </c>
      <c r="BP76" s="16">
        <f t="shared" si="189"/>
        <v>113811.11474037961</v>
      </c>
      <c r="BQ76" s="16">
        <f t="shared" si="189"/>
        <v>108506.0895304641</v>
      </c>
      <c r="BR76" s="16">
        <f t="shared" si="189"/>
        <v>103340.87372927672</v>
      </c>
      <c r="BS76" s="16">
        <f t="shared" si="189"/>
        <v>98291.528762306916</v>
      </c>
      <c r="BT76" s="16">
        <f t="shared" si="189"/>
        <v>93361.894884230453</v>
      </c>
      <c r="BU76" s="16">
        <f t="shared" si="189"/>
        <v>88534.201811415609</v>
      </c>
      <c r="BV76" s="16">
        <f t="shared" si="189"/>
        <v>83813.814528146351</v>
      </c>
      <c r="BW76" s="16">
        <f t="shared" si="189"/>
        <v>79206.327645063458</v>
      </c>
      <c r="BX76" s="16">
        <f t="shared" si="168"/>
        <v>74698.07400248514</v>
      </c>
      <c r="BY76" s="16">
        <f t="shared" si="149"/>
        <v>70296.980769218397</v>
      </c>
      <c r="BZ76" s="16">
        <f t="shared" si="149"/>
        <v>66006.113134832645</v>
      </c>
      <c r="CA76" s="16">
        <f t="shared" si="149"/>
        <v>61847.786086505286</v>
      </c>
      <c r="CB76" s="16">
        <f t="shared" si="149"/>
        <v>57820.812844355773</v>
      </c>
      <c r="CC76" s="18">
        <f t="shared" si="124"/>
        <v>5.3960622100321158</v>
      </c>
      <c r="CD76" s="18">
        <f t="shared" si="124"/>
        <v>4.5887804853590106</v>
      </c>
      <c r="CE76" s="18">
        <f t="shared" si="124"/>
        <v>3.7478409153304244</v>
      </c>
      <c r="CF76" s="18">
        <f t="shared" si="124"/>
        <v>2.8710739616171401</v>
      </c>
      <c r="CG76" s="18">
        <f t="shared" si="124"/>
        <v>1.956031272127541</v>
      </c>
      <c r="CH76" s="18">
        <f t="shared" si="150"/>
        <v>1.0000000000000002</v>
      </c>
      <c r="CI76" s="18">
        <f t="shared" si="150"/>
        <v>0</v>
      </c>
      <c r="CJ76" s="18">
        <f t="shared" si="150"/>
        <v>-1.0472728475536057</v>
      </c>
      <c r="CK76" s="18">
        <f t="shared" si="150"/>
        <v>-2.1454370302515025</v>
      </c>
      <c r="CL76" s="18">
        <f t="shared" si="151"/>
        <v>-3.2992221570945546</v>
      </c>
      <c r="CM76" s="18">
        <f t="shared" si="151"/>
        <v>-4.514107220644668</v>
      </c>
      <c r="CN76" s="18">
        <f t="shared" si="151"/>
        <v>-5.7973730309590472</v>
      </c>
      <c r="CO76" s="18">
        <f t="shared" si="151"/>
        <v>-7.1562834881309989</v>
      </c>
      <c r="CP76" s="18">
        <f t="shared" ref="CP76:CP107" si="271">(AZ76-$V76)/BU76</f>
        <v>-8.6010385374783453</v>
      </c>
      <c r="CQ76" s="18">
        <f t="shared" ref="CQ76:CQ107" si="272">(BA76-$V76)/BV76</f>
        <v>-10.141768254573741</v>
      </c>
      <c r="CR76" s="18">
        <f t="shared" ref="CR76:CR107" si="273">(BB76-$V76)/BW76</f>
        <v>-11.789892623088097</v>
      </c>
      <c r="CS76" s="18">
        <f t="shared" si="267"/>
        <v>-13.561801146516748</v>
      </c>
      <c r="CT76" s="18">
        <f t="shared" si="125"/>
        <v>-15.473473935146293</v>
      </c>
      <c r="CU76" s="18">
        <f t="shared" si="125"/>
        <v>-17.544367111204473</v>
      </c>
      <c r="CV76" s="18">
        <f t="shared" si="125"/>
        <v>-19.791194980592984</v>
      </c>
      <c r="CW76" s="18">
        <f t="shared" si="22"/>
        <v>-22.239213120437142</v>
      </c>
      <c r="CX76" s="17">
        <f t="shared" si="190"/>
        <v>1355.1865430531943</v>
      </c>
      <c r="CY76" s="17">
        <f t="shared" si="264"/>
        <v>1368.5450992285078</v>
      </c>
      <c r="CZ76" s="17">
        <f t="shared" si="264"/>
        <v>1383.6640011690392</v>
      </c>
      <c r="DA76" s="17">
        <f t="shared" si="264"/>
        <v>1398.6228844655041</v>
      </c>
      <c r="DB76" s="17">
        <f t="shared" si="264"/>
        <v>1412.3318331385378</v>
      </c>
      <c r="DC76" s="17">
        <f t="shared" si="264"/>
        <v>1426.812492235438</v>
      </c>
      <c r="DD76" s="17">
        <f t="shared" si="263"/>
        <v>1438.7982060767181</v>
      </c>
      <c r="DE76" s="17">
        <f t="shared" si="263"/>
        <v>1448.5800229109952</v>
      </c>
      <c r="DF76" s="3" t="e">
        <f>#REF!+$AG$35*0.004*(1+$R$28)*#REF!-S76*#REF!</f>
        <v>#REF!</v>
      </c>
      <c r="DG76" s="19">
        <f t="shared" si="191"/>
        <v>2352.7978533417809</v>
      </c>
      <c r="DH76" s="19">
        <f t="shared" si="192"/>
        <v>2216.9080599287799</v>
      </c>
      <c r="DI76" s="19">
        <f t="shared" si="193"/>
        <v>2076.5560288674574</v>
      </c>
      <c r="DJ76" s="19">
        <f t="shared" si="194"/>
        <v>1929.4202965967611</v>
      </c>
      <c r="DK76" s="19">
        <f t="shared" si="195"/>
        <v>1773.9583015518799</v>
      </c>
      <c r="DL76" s="19">
        <f t="shared" si="196"/>
        <v>1611.6901440226752</v>
      </c>
      <c r="DM76" s="19">
        <f t="shared" si="197"/>
        <v>1438.7982060767181</v>
      </c>
      <c r="DN76" s="19">
        <f t="shared" si="198"/>
        <v>1254.9626780747512</v>
      </c>
      <c r="DO76" s="173">
        <f t="shared" si="127"/>
        <v>70899.201060349529</v>
      </c>
      <c r="DP76" s="25">
        <f t="shared" si="262"/>
        <v>69544.014517296338</v>
      </c>
      <c r="DQ76" s="26">
        <f t="shared" si="262"/>
        <v>68175.46941806782</v>
      </c>
      <c r="DR76" s="26">
        <f t="shared" si="262"/>
        <v>66791.805416898773</v>
      </c>
      <c r="DS76" s="26">
        <f t="shared" si="262"/>
        <v>65393.182532433275</v>
      </c>
      <c r="DT76" s="26">
        <f t="shared" si="262"/>
        <v>63980.850699294751</v>
      </c>
      <c r="DU76" s="26">
        <f t="shared" si="262"/>
        <v>62554.038207059304</v>
      </c>
      <c r="DV76" s="26">
        <f t="shared" si="262"/>
        <v>61115.240000982594</v>
      </c>
      <c r="DW76" s="26">
        <f t="shared" si="262"/>
        <v>59666.659978071591</v>
      </c>
      <c r="DX76" s="26">
        <f t="shared" si="262"/>
        <v>58185.053037586011</v>
      </c>
      <c r="DY76" s="26">
        <f t="shared" si="262"/>
        <v>56663.171693451171</v>
      </c>
      <c r="DZ76" s="26">
        <f t="shared" si="262"/>
        <v>55081.471929218045</v>
      </c>
      <c r="EA76" s="26">
        <f t="shared" si="262"/>
        <v>53447.84694462482</v>
      </c>
      <c r="EB76" s="26">
        <f t="shared" si="262"/>
        <v>51748.336585876787</v>
      </c>
      <c r="EC76" s="26">
        <f t="shared" si="262"/>
        <v>49991.905999111841</v>
      </c>
      <c r="ED76" s="26">
        <f t="shared" si="262"/>
        <v>48187.938512941255</v>
      </c>
      <c r="EE76" s="26">
        <f t="shared" si="145"/>
        <v>0</v>
      </c>
      <c r="EF76" s="26">
        <f t="shared" si="34"/>
        <v>0</v>
      </c>
      <c r="EG76" s="26">
        <f t="shared" si="34"/>
        <v>0</v>
      </c>
      <c r="EH76" s="26">
        <f t="shared" si="34"/>
        <v>0</v>
      </c>
      <c r="EI76" s="26">
        <f t="shared" si="34"/>
        <v>0</v>
      </c>
      <c r="EJ76" s="26">
        <f t="shared" si="128"/>
        <v>5.1253964487262167E-2</v>
      </c>
      <c r="EK76" s="26">
        <f t="shared" si="128"/>
        <v>4.4812771520742208E-2</v>
      </c>
      <c r="EL76" s="26">
        <f t="shared" si="270"/>
        <v>3.763632884961933E-2</v>
      </c>
      <c r="EM76" s="26">
        <f t="shared" si="270"/>
        <v>2.9644917412786621E-2</v>
      </c>
      <c r="EN76" s="26">
        <f t="shared" si="270"/>
        <v>2.0762777853721669E-2</v>
      </c>
      <c r="EO76" s="26">
        <f t="shared" si="270"/>
        <v>1.091422221777831E-2</v>
      </c>
      <c r="EP76" s="26">
        <f t="shared" si="270"/>
        <v>0</v>
      </c>
      <c r="EQ76" s="26">
        <f t="shared" si="270"/>
        <v>-1.2063551005964556E-2</v>
      </c>
      <c r="ER76" s="26">
        <f t="shared" si="270"/>
        <v>-2.5369914314381858E-2</v>
      </c>
      <c r="ES76" s="26">
        <f t="shared" si="270"/>
        <v>-4.0264884564351199E-2</v>
      </c>
      <c r="ET76" s="26">
        <f t="shared" si="270"/>
        <v>-5.7004225927492193E-2</v>
      </c>
      <c r="EU76" s="26">
        <f t="shared" si="270"/>
        <v>-7.602451983335981E-2</v>
      </c>
      <c r="EV76" s="26">
        <f t="shared" si="270"/>
        <v>-9.7536487168841626E-2</v>
      </c>
      <c r="EW76" s="26">
        <f t="shared" si="270"/>
        <v>-0.12205115537382333</v>
      </c>
      <c r="EX76" s="26">
        <f t="shared" si="270"/>
        <v>-0.14988140414166268</v>
      </c>
      <c r="EY76" s="26">
        <f t="shared" si="269"/>
        <v>-0.18137565673407935</v>
      </c>
      <c r="EZ76" s="26">
        <f t="shared" si="269"/>
        <v>-0.83742504800027617</v>
      </c>
      <c r="FA76" s="26">
        <f t="shared" si="269"/>
        <v>-0.8898538389923345</v>
      </c>
      <c r="FB76" s="26">
        <f t="shared" si="269"/>
        <v>-0.94770067856106466</v>
      </c>
      <c r="FC76" s="26">
        <f t="shared" si="269"/>
        <v>-1.0114191980868352</v>
      </c>
      <c r="FD76" s="26">
        <f t="shared" si="269"/>
        <v>-1.0818602356117788</v>
      </c>
      <c r="FE76" s="26">
        <f t="shared" si="130"/>
        <v>5.163206777794894</v>
      </c>
      <c r="FF76" s="26">
        <f t="shared" si="130"/>
        <v>4.3895557823886042</v>
      </c>
      <c r="FG76" s="26">
        <f t="shared" si="130"/>
        <v>3.5841078406654017</v>
      </c>
      <c r="FH76" s="26">
        <f t="shared" si="130"/>
        <v>2.7448451398886333</v>
      </c>
      <c r="FI76" s="26">
        <f t="shared" si="130"/>
        <v>1.869476589866669</v>
      </c>
      <c r="FJ76" s="26">
        <f t="shared" si="157"/>
        <v>0.95545547972123612</v>
      </c>
      <c r="FK76" s="26">
        <f t="shared" si="157"/>
        <v>0</v>
      </c>
      <c r="FL76" s="26">
        <f t="shared" si="157"/>
        <v>-1.0000000000000004</v>
      </c>
      <c r="FM76" s="26">
        <f t="shared" si="157"/>
        <v>-2.0479487542733734</v>
      </c>
      <c r="FN76" s="26">
        <f t="shared" si="157"/>
        <v>-3.1480760357655813</v>
      </c>
      <c r="FO76" s="26">
        <f t="shared" si="170"/>
        <v>-4.3054241546316314</v>
      </c>
      <c r="FP76" s="26">
        <f t="shared" si="158"/>
        <v>-5.5265985738273171</v>
      </c>
      <c r="FQ76" s="26">
        <f t="shared" si="158"/>
        <v>-6.818410426980587</v>
      </c>
      <c r="FR76" s="26">
        <f t="shared" si="158"/>
        <v>-8.1902124211529461</v>
      </c>
      <c r="FS76" s="26">
        <f t="shared" si="158"/>
        <v>-9.6514845250147889</v>
      </c>
      <c r="FT76" s="26">
        <f t="shared" ref="FT76:FT107" si="274">(BC76-$AC76)/BW76</f>
        <v>-11.212918057832475</v>
      </c>
      <c r="FU76" s="26">
        <f t="shared" si="268"/>
        <v>-12.889651418808739</v>
      </c>
      <c r="FV76" s="26">
        <f t="shared" si="131"/>
        <v>-14.696635687802074</v>
      </c>
      <c r="FW76" s="26">
        <f t="shared" si="131"/>
        <v>-16.652021718158554</v>
      </c>
      <c r="FX76" s="26">
        <f t="shared" si="39"/>
        <v>1631218.7777198723</v>
      </c>
      <c r="FY76" s="26">
        <f t="shared" si="40"/>
        <v>113811.11474037961</v>
      </c>
      <c r="FZ76" s="26">
        <f t="shared" si="132"/>
        <v>0.76714456776277962</v>
      </c>
      <c r="GA76" s="26">
        <f t="shared" si="160"/>
        <v>0.8007752970295885</v>
      </c>
      <c r="GB76" s="26">
        <f t="shared" si="132"/>
        <v>0.83626692533498082</v>
      </c>
      <c r="GC76" s="26">
        <f t="shared" si="132"/>
        <v>0.87377117827149575</v>
      </c>
      <c r="GD76" s="26">
        <f t="shared" si="132"/>
        <v>0.91344531773912685</v>
      </c>
      <c r="GE76" s="26">
        <f t="shared" si="161"/>
        <v>0.95545547972123746</v>
      </c>
      <c r="GF76" s="26">
        <f t="shared" si="161"/>
        <v>1</v>
      </c>
      <c r="GG76" s="26">
        <f t="shared" si="161"/>
        <v>1.0472728475536073</v>
      </c>
      <c r="GH76" s="26">
        <f t="shared" si="161"/>
        <v>1.0974882759781306</v>
      </c>
      <c r="GI76" s="26">
        <f t="shared" si="161"/>
        <v>1.1511461213289766</v>
      </c>
      <c r="GJ76" s="26">
        <f t="shared" si="171"/>
        <v>1.2086830660130383</v>
      </c>
      <c r="GK76" s="26">
        <f t="shared" si="162"/>
        <v>1.2707744571317303</v>
      </c>
      <c r="GL76" s="26">
        <f t="shared" si="162"/>
        <v>1.3378730611504124</v>
      </c>
      <c r="GM76" s="26">
        <f t="shared" si="162"/>
        <v>1.4108261163253972</v>
      </c>
      <c r="GN76" s="26">
        <f t="shared" si="162"/>
        <v>1.4902837295589544</v>
      </c>
      <c r="GO76" s="26">
        <f t="shared" ref="GO76:GO107" si="275">$W76/BW76</f>
        <v>1.5769745652556235</v>
      </c>
      <c r="GP76" s="26">
        <f t="shared" si="265"/>
        <v>1.6721497277080115</v>
      </c>
      <c r="GQ76" s="26">
        <f t="shared" si="134"/>
        <v>1.776838247344221</v>
      </c>
      <c r="GR76" s="26">
        <f t="shared" si="134"/>
        <v>1.8923453930459213</v>
      </c>
      <c r="GS76" s="26">
        <f t="shared" si="134"/>
        <v>2.0195769647900468</v>
      </c>
      <c r="GT76" s="26">
        <f t="shared" si="134"/>
        <v>2.1602318950409094</v>
      </c>
      <c r="GU76" s="26">
        <f t="shared" si="135"/>
        <v>5.3960622100321158</v>
      </c>
      <c r="GV76" s="26">
        <f t="shared" si="164"/>
        <v>4.5887804853590106</v>
      </c>
      <c r="GW76" s="26">
        <f t="shared" si="135"/>
        <v>3.7478409153304244</v>
      </c>
      <c r="GX76" s="26">
        <f t="shared" si="135"/>
        <v>2.8710739616171401</v>
      </c>
      <c r="GY76" s="26">
        <f t="shared" si="135"/>
        <v>1.956031272127541</v>
      </c>
      <c r="GZ76" s="26">
        <f t="shared" si="165"/>
        <v>1.0000000000000002</v>
      </c>
      <c r="HA76" s="26">
        <f t="shared" si="165"/>
        <v>0</v>
      </c>
      <c r="HB76" s="26">
        <f t="shared" si="165"/>
        <v>-1.0472728475536057</v>
      </c>
      <c r="HC76" s="26">
        <f t="shared" si="165"/>
        <v>-2.1454370302515025</v>
      </c>
      <c r="HD76" s="26">
        <f t="shared" si="165"/>
        <v>-3.2992221570945546</v>
      </c>
      <c r="HE76" s="26">
        <f t="shared" si="172"/>
        <v>-4.514107220644668</v>
      </c>
      <c r="HF76" s="26">
        <f t="shared" si="166"/>
        <v>-5.7973730309590472</v>
      </c>
      <c r="HG76" s="26">
        <f t="shared" si="166"/>
        <v>-7.1562834881309989</v>
      </c>
      <c r="HH76" s="26">
        <f t="shared" si="166"/>
        <v>-8.6010385374783453</v>
      </c>
      <c r="HI76" s="26">
        <f t="shared" si="166"/>
        <v>-10.141768254573741</v>
      </c>
      <c r="HJ76" s="26">
        <f t="shared" ref="HJ76:HJ107" si="276">(BB76-$V76)/BW76</f>
        <v>-11.789892623088097</v>
      </c>
      <c r="HK76" s="26">
        <f t="shared" si="266"/>
        <v>-13.561801146516748</v>
      </c>
      <c r="HL76" s="26">
        <f t="shared" si="137"/>
        <v>-15.473473935146293</v>
      </c>
      <c r="HM76" s="26">
        <f t="shared" si="137"/>
        <v>-17.544367111204473</v>
      </c>
      <c r="HN76" s="26">
        <f t="shared" si="137"/>
        <v>-19.791194980592984</v>
      </c>
      <c r="HO76" s="26">
        <f t="shared" si="137"/>
        <v>-22.239213120437142</v>
      </c>
      <c r="HP76" s="26">
        <f t="shared" si="199"/>
        <v>530886.17951115582</v>
      </c>
      <c r="HQ76" s="26">
        <f t="shared" si="200"/>
        <v>544540.9292342246</v>
      </c>
      <c r="HR76" s="26">
        <f t="shared" si="201"/>
        <v>559263.74348490185</v>
      </c>
      <c r="HS76" s="26">
        <f t="shared" si="202"/>
        <v>575202.57202480792</v>
      </c>
      <c r="HT76" s="26">
        <f t="shared" si="203"/>
        <v>592534.18680339714</v>
      </c>
      <c r="HU76" s="26">
        <f t="shared" si="204"/>
        <v>611462.1998119182</v>
      </c>
      <c r="HV76" s="26">
        <f t="shared" si="205"/>
        <v>632215.9078880985</v>
      </c>
      <c r="HW76" s="26">
        <f t="shared" si="206"/>
        <v>655058.90755829331</v>
      </c>
      <c r="HX76" s="26">
        <f t="shared" si="207"/>
        <v>680286.4067488747</v>
      </c>
      <c r="HY76" s="26">
        <f t="shared" si="208"/>
        <v>708302.52624491951</v>
      </c>
      <c r="HZ76" s="26">
        <f t="shared" si="209"/>
        <v>739598.3141680971</v>
      </c>
      <c r="IA76" s="26">
        <f t="shared" si="210"/>
        <v>774856.72223429906</v>
      </c>
      <c r="IB76" s="26">
        <f t="shared" si="211"/>
        <v>814767.27639888739</v>
      </c>
      <c r="IC76" s="26">
        <f t="shared" si="212"/>
        <v>860334.27410224453</v>
      </c>
      <c r="ID76" s="26">
        <f t="shared" si="213"/>
        <v>912560.61183595879</v>
      </c>
      <c r="IE76" s="26">
        <f t="shared" si="214"/>
        <v>972590.10198956204</v>
      </c>
      <c r="IF76" s="26">
        <f t="shared" si="215"/>
        <v>1006563.3114273252</v>
      </c>
      <c r="IG76" s="26">
        <f t="shared" si="216"/>
        <v>1086552.1463024758</v>
      </c>
      <c r="IH76" s="26">
        <f t="shared" si="217"/>
        <v>1179717.3523949482</v>
      </c>
      <c r="II76" s="26">
        <f t="shared" si="218"/>
        <v>-186995001287.10828</v>
      </c>
      <c r="IJ76" s="26">
        <f t="shared" si="219"/>
        <v>551064.82548981707</v>
      </c>
      <c r="IK76" s="26">
        <f t="shared" si="220"/>
        <v>564295.06512714934</v>
      </c>
      <c r="IL76" s="26">
        <f t="shared" si="221"/>
        <v>578668.6613945479</v>
      </c>
      <c r="IM76" s="26">
        <f t="shared" si="222"/>
        <v>594342.8631229524</v>
      </c>
      <c r="IN76" s="26">
        <f t="shared" si="223"/>
        <v>611505.02795007452</v>
      </c>
      <c r="IO76" s="26">
        <f t="shared" si="224"/>
        <v>630370.67577019508</v>
      </c>
      <c r="IP76" s="26">
        <f t="shared" si="225"/>
        <v>651182.38512474147</v>
      </c>
      <c r="IQ76" s="26">
        <f t="shared" si="226"/>
        <v>674218.73229648976</v>
      </c>
      <c r="IR76" s="26">
        <f t="shared" si="227"/>
        <v>699791.63689654472</v>
      </c>
      <c r="IS76" s="26">
        <f t="shared" si="228"/>
        <v>728325.79957548669</v>
      </c>
      <c r="IT76" s="26">
        <f t="shared" si="229"/>
        <v>760336.49225368386</v>
      </c>
      <c r="IU76" s="26">
        <f t="shared" si="230"/>
        <v>796537.64189533668</v>
      </c>
      <c r="IV76" s="26">
        <f t="shared" si="231"/>
        <v>837651.86566457676</v>
      </c>
      <c r="IW76" s="26">
        <f t="shared" si="232"/>
        <v>884727.49999681034</v>
      </c>
      <c r="IX76" s="26">
        <f t="shared" si="233"/>
        <v>938814.14738602994</v>
      </c>
      <c r="IY76" s="26">
        <f t="shared" si="234"/>
        <v>1001109.2769535516</v>
      </c>
      <c r="IZ76" s="26">
        <f t="shared" si="235"/>
        <v>1036760.2107701451</v>
      </c>
      <c r="JA76" s="26">
        <f t="shared" si="236"/>
        <v>1120027.9811082254</v>
      </c>
      <c r="JB76" s="26">
        <f t="shared" si="237"/>
        <v>1217120.0647427561</v>
      </c>
      <c r="JC76" s="26">
        <f t="shared" si="238"/>
        <v>-192604847892.98154</v>
      </c>
      <c r="JD76" s="26">
        <f t="shared" si="239"/>
        <v>150096.13039131579</v>
      </c>
      <c r="JE76" s="26">
        <f t="shared" si="240"/>
        <v>240375.79259374662</v>
      </c>
      <c r="JF76" s="26">
        <f t="shared" si="241"/>
        <v>335189.96177065105</v>
      </c>
      <c r="JG76" s="26">
        <f t="shared" si="242"/>
        <v>434946.9921472749</v>
      </c>
      <c r="JH76" s="26">
        <f t="shared" si="243"/>
        <v>540107.27440301725</v>
      </c>
      <c r="JI76" s="26">
        <f t="shared" si="244"/>
        <v>651182.38512474147</v>
      </c>
      <c r="JJ76" s="26">
        <f t="shared" si="245"/>
        <v>768749.14167616807</v>
      </c>
      <c r="JK76" s="26">
        <f t="shared" si="246"/>
        <v>893446.08066614217</v>
      </c>
      <c r="JL76" s="26">
        <f t="shared" si="247"/>
        <v>1026124.8133407987</v>
      </c>
      <c r="JM76" s="26">
        <f t="shared" si="248"/>
        <v>1167795.1641252092</v>
      </c>
      <c r="JN76" s="26">
        <f t="shared" si="249"/>
        <v>1319828.2506640456</v>
      </c>
      <c r="JO76" s="26">
        <f t="shared" si="250"/>
        <v>1483602.3544510524</v>
      </c>
      <c r="JP76" s="26">
        <f t="shared" si="251"/>
        <v>1661086.4936797826</v>
      </c>
      <c r="JQ76" s="26">
        <f t="shared" si="252"/>
        <v>1854244.6459215223</v>
      </c>
      <c r="JR76" s="26">
        <f t="shared" si="253"/>
        <v>2065305.0868672817</v>
      </c>
      <c r="JS76" s="26">
        <f t="shared" si="254"/>
        <v>2260894.5109200389</v>
      </c>
      <c r="JT76" s="26">
        <f t="shared" si="255"/>
        <v>2516716.3694609003</v>
      </c>
      <c r="JU76" s="26">
        <f t="shared" si="256"/>
        <v>2800734.3150345199</v>
      </c>
      <c r="JV76" s="26">
        <f t="shared" si="257"/>
        <v>-192603061472.40546</v>
      </c>
      <c r="JW76" s="26">
        <f t="shared" si="258"/>
        <v>2157483.1503715413</v>
      </c>
      <c r="JX76" s="26" t="e">
        <f>AH76+$AG$38*0.004*(1+$R$28)*#REF!-S76*#REF!</f>
        <v>#REF!</v>
      </c>
      <c r="JY76" s="34">
        <f t="shared" si="259"/>
        <v>5.6407826474075565E-2</v>
      </c>
      <c r="JZ76" s="4">
        <f t="shared" si="260"/>
        <v>45059.011641757563</v>
      </c>
      <c r="KA76" s="165"/>
    </row>
    <row r="77" spans="1:287" ht="15.75" x14ac:dyDescent="0.3">
      <c r="A77" s="34">
        <v>76</v>
      </c>
      <c r="B77" s="34">
        <v>49</v>
      </c>
      <c r="C77" s="2">
        <v>901669</v>
      </c>
      <c r="D77" s="1">
        <f t="shared" si="106"/>
        <v>6108</v>
      </c>
      <c r="E77" s="145">
        <f t="shared" si="107"/>
        <v>0.99322589553372687</v>
      </c>
      <c r="F77" s="146">
        <f t="shared" si="108"/>
        <v>6.7741044662731342E-3</v>
      </c>
      <c r="G77" s="158">
        <f t="shared" si="173"/>
        <v>8.4676305828414178E-3</v>
      </c>
      <c r="H77" s="43">
        <f t="shared" si="109"/>
        <v>7439.5453455890811</v>
      </c>
      <c r="I77" s="43">
        <f t="shared" si="139"/>
        <v>878586.43250974815</v>
      </c>
      <c r="J77" s="43">
        <f t="shared" si="110"/>
        <v>898615</v>
      </c>
      <c r="K77" s="147">
        <f>SUM(J77:$J$138)</f>
        <v>26066558.5</v>
      </c>
      <c r="L77" s="147">
        <f t="shared" si="111"/>
        <v>28.909232212707767</v>
      </c>
      <c r="M77" s="43">
        <f t="shared" si="174"/>
        <v>1123268.75</v>
      </c>
      <c r="N77" s="148">
        <f t="shared" si="175"/>
        <v>32583198.125</v>
      </c>
      <c r="O77" s="147">
        <f t="shared" si="6"/>
        <v>36.136540265884712</v>
      </c>
      <c r="P77" s="157">
        <f t="shared" si="176"/>
        <v>162819.85085005857</v>
      </c>
      <c r="Q77" s="43">
        <f t="shared" si="177"/>
        <v>1127086.25</v>
      </c>
      <c r="R77" s="43">
        <f t="shared" si="178"/>
        <v>1355.1865430531943</v>
      </c>
      <c r="S77" s="43">
        <f>SUM(R77:$R$138)</f>
        <v>70899.201060349529</v>
      </c>
      <c r="T77" s="43">
        <f t="shared" si="112"/>
        <v>1574147.2826716667</v>
      </c>
      <c r="U77" s="153">
        <f>SUM(P77:$P$138)</f>
        <v>2753979.4019531519</v>
      </c>
      <c r="V77" s="129">
        <f t="shared" si="179"/>
        <v>1750486.9936345171</v>
      </c>
      <c r="W77" s="43">
        <f t="shared" si="180"/>
        <v>119268.21591464471</v>
      </c>
      <c r="X77" s="26">
        <f t="shared" si="114"/>
        <v>6.1632067777948949</v>
      </c>
      <c r="Y77" s="26">
        <f t="shared" si="115"/>
        <v>0.73251643022618451</v>
      </c>
      <c r="Z77" s="43">
        <f t="shared" si="181"/>
        <v>61115.240000982594</v>
      </c>
      <c r="AA77" s="149">
        <f t="shared" si="116"/>
        <v>6.0090713806002824E-2</v>
      </c>
      <c r="AB77" s="150">
        <f t="shared" si="138"/>
        <v>2591159.5511030932</v>
      </c>
      <c r="AC77" s="150">
        <f t="shared" si="117"/>
        <v>1631218.7777198723</v>
      </c>
      <c r="AD77" s="26">
        <f t="shared" si="118"/>
        <v>5.8957232080210789</v>
      </c>
      <c r="AE77" s="26">
        <f t="shared" si="182"/>
        <v>536974.45272280159</v>
      </c>
      <c r="AF77" s="43">
        <f t="shared" si="183"/>
        <v>87125.821359335139</v>
      </c>
      <c r="AG77" s="43">
        <f t="shared" si="184"/>
        <v>558283.26856752567</v>
      </c>
      <c r="AH77" s="27">
        <f t="shared" si="185"/>
        <v>94426.04806231492</v>
      </c>
      <c r="AI77" s="28">
        <f t="shared" si="186"/>
        <v>600304.58985755453</v>
      </c>
      <c r="AJ77" s="20">
        <f t="shared" si="187"/>
        <v>101533.38501324186</v>
      </c>
      <c r="AK77" s="3">
        <f t="shared" si="188"/>
        <v>8799.5600344809627</v>
      </c>
      <c r="AL77" s="3"/>
      <c r="AM77" s="46">
        <f t="shared" si="121"/>
        <v>2591159.5511030932</v>
      </c>
      <c r="AN77" s="46">
        <f t="shared" si="122"/>
        <v>2435177.7612465657</v>
      </c>
      <c r="AO77" s="46">
        <f t="shared" si="122"/>
        <v>2285815.9243503674</v>
      </c>
      <c r="AP77" s="3">
        <f t="shared" si="261"/>
        <v>2142865.0383407604</v>
      </c>
      <c r="AQ77" s="3">
        <f t="shared" si="261"/>
        <v>2006123.0115572365</v>
      </c>
      <c r="AR77" s="16">
        <f t="shared" si="261"/>
        <v>1875393.3577380853</v>
      </c>
      <c r="AS77" s="16">
        <f t="shared" si="261"/>
        <v>1750486.9936345171</v>
      </c>
      <c r="AT77" s="16">
        <f t="shared" si="261"/>
        <v>1631218.7777198723</v>
      </c>
      <c r="AU77" s="16">
        <f t="shared" si="261"/>
        <v>1517407.6629794927</v>
      </c>
      <c r="AV77" s="16">
        <f t="shared" si="261"/>
        <v>1408901.5734490284</v>
      </c>
      <c r="AW77" s="16">
        <f t="shared" si="261"/>
        <v>1305560.6997197517</v>
      </c>
      <c r="AX77" s="16">
        <f t="shared" si="261"/>
        <v>1207269.1709574449</v>
      </c>
      <c r="AY77" s="16">
        <f t="shared" si="261"/>
        <v>1113907.2760732146</v>
      </c>
      <c r="AZ77" s="16">
        <f t="shared" si="261"/>
        <v>1025373.0742617993</v>
      </c>
      <c r="BA77" s="16">
        <f t="shared" si="261"/>
        <v>941559.25973365293</v>
      </c>
      <c r="BB77" s="16">
        <f t="shared" si="261"/>
        <v>862352.93208858941</v>
      </c>
      <c r="BC77" s="16">
        <f t="shared" si="144"/>
        <v>787654.85808610427</v>
      </c>
      <c r="BD77" s="16">
        <f t="shared" si="18"/>
        <v>717357.87731688586</v>
      </c>
      <c r="BE77" s="16">
        <f t="shared" si="18"/>
        <v>651351.76418205327</v>
      </c>
      <c r="BF77" s="16">
        <f t="shared" si="18"/>
        <v>589503.97809554788</v>
      </c>
      <c r="BG77" s="16">
        <f t="shared" si="18"/>
        <v>531683.16525119205</v>
      </c>
      <c r="BH77" s="172">
        <f t="shared" si="123"/>
        <v>155981.78985652846</v>
      </c>
      <c r="BI77" s="16">
        <f t="shared" ref="BI77:BX94" si="277">BH78</f>
        <v>149361.83689619804</v>
      </c>
      <c r="BJ77" s="16">
        <f t="shared" si="277"/>
        <v>142950.88600960682</v>
      </c>
      <c r="BK77" s="16">
        <f t="shared" si="277"/>
        <v>136742.02678352417</v>
      </c>
      <c r="BL77" s="16">
        <f t="shared" si="277"/>
        <v>130729.65381915121</v>
      </c>
      <c r="BM77" s="16">
        <f t="shared" si="277"/>
        <v>124906.36410356843</v>
      </c>
      <c r="BN77" s="16">
        <f t="shared" si="277"/>
        <v>119268.21591464471</v>
      </c>
      <c r="BO77" s="16">
        <f t="shared" si="277"/>
        <v>113811.11474037961</v>
      </c>
      <c r="BP77" s="16">
        <f t="shared" si="277"/>
        <v>108506.0895304641</v>
      </c>
      <c r="BQ77" s="16">
        <f t="shared" si="277"/>
        <v>103340.87372927672</v>
      </c>
      <c r="BR77" s="16">
        <f t="shared" si="277"/>
        <v>98291.528762306916</v>
      </c>
      <c r="BS77" s="16">
        <f t="shared" si="277"/>
        <v>93361.894884230453</v>
      </c>
      <c r="BT77" s="16">
        <f t="shared" si="277"/>
        <v>88534.201811415609</v>
      </c>
      <c r="BU77" s="16">
        <f t="shared" si="277"/>
        <v>83813.814528146351</v>
      </c>
      <c r="BV77" s="16">
        <f t="shared" si="277"/>
        <v>79206.327645063458</v>
      </c>
      <c r="BW77" s="16">
        <f t="shared" si="277"/>
        <v>74698.07400248514</v>
      </c>
      <c r="BX77" s="16">
        <f t="shared" si="168"/>
        <v>70296.980769218397</v>
      </c>
      <c r="BY77" s="16">
        <f t="shared" si="149"/>
        <v>66006.113134832645</v>
      </c>
      <c r="BZ77" s="16">
        <f t="shared" si="149"/>
        <v>61847.786086505286</v>
      </c>
      <c r="CA77" s="16">
        <f t="shared" si="149"/>
        <v>57820.812844355773</v>
      </c>
      <c r="CB77" s="16">
        <f t="shared" si="149"/>
        <v>53925.029336687992</v>
      </c>
      <c r="CC77" s="18">
        <f t="shared" si="124"/>
        <v>5.389555782388598</v>
      </c>
      <c r="CD77" s="18">
        <f t="shared" si="124"/>
        <v>4.5841078406654034</v>
      </c>
      <c r="CE77" s="18">
        <f t="shared" si="124"/>
        <v>3.7448451398886347</v>
      </c>
      <c r="CF77" s="18">
        <f t="shared" si="124"/>
        <v>2.8694765898666668</v>
      </c>
      <c r="CG77" s="18">
        <f t="shared" si="124"/>
        <v>1.9554554797212362</v>
      </c>
      <c r="CH77" s="18">
        <f t="shared" si="150"/>
        <v>0.99999999999999856</v>
      </c>
      <c r="CI77" s="18">
        <f t="shared" si="150"/>
        <v>0</v>
      </c>
      <c r="CJ77" s="18">
        <f t="shared" si="150"/>
        <v>-1.0479487542733734</v>
      </c>
      <c r="CK77" s="18">
        <f t="shared" si="150"/>
        <v>-2.1480760357655795</v>
      </c>
      <c r="CL77" s="18">
        <f t="shared" si="151"/>
        <v>-3.3054241546316314</v>
      </c>
      <c r="CM77" s="18">
        <f t="shared" si="151"/>
        <v>-4.5265985738273189</v>
      </c>
      <c r="CN77" s="18">
        <f t="shared" si="151"/>
        <v>-5.8184104269805887</v>
      </c>
      <c r="CO77" s="18">
        <f t="shared" si="151"/>
        <v>-7.1902124211529497</v>
      </c>
      <c r="CP77" s="18">
        <f t="shared" si="271"/>
        <v>-8.6514845250147872</v>
      </c>
      <c r="CQ77" s="18">
        <f t="shared" si="272"/>
        <v>-10.212918057832475</v>
      </c>
      <c r="CR77" s="18">
        <f t="shared" si="273"/>
        <v>-11.889651418808739</v>
      </c>
      <c r="CS77" s="18">
        <f t="shared" si="267"/>
        <v>-13.696635687802074</v>
      </c>
      <c r="CT77" s="18">
        <f t="shared" si="125"/>
        <v>-15.652021718158554</v>
      </c>
      <c r="CU77" s="18">
        <f t="shared" si="125"/>
        <v>-17.77161801580294</v>
      </c>
      <c r="CV77" s="18">
        <f t="shared" si="125"/>
        <v>-20.078981225396237</v>
      </c>
      <c r="CW77" s="18">
        <f t="shared" si="22"/>
        <v>-22.601820404650383</v>
      </c>
      <c r="CX77" s="17">
        <f t="shared" si="190"/>
        <v>1368.5450992285078</v>
      </c>
      <c r="CY77" s="17">
        <f t="shared" si="264"/>
        <v>1383.6640011690392</v>
      </c>
      <c r="CZ77" s="17">
        <f t="shared" si="264"/>
        <v>1398.6228844655041</v>
      </c>
      <c r="DA77" s="17">
        <f t="shared" si="264"/>
        <v>1412.3318331385378</v>
      </c>
      <c r="DB77" s="17">
        <f t="shared" si="264"/>
        <v>1426.812492235438</v>
      </c>
      <c r="DC77" s="17">
        <f t="shared" si="264"/>
        <v>1438.7982060767181</v>
      </c>
      <c r="DD77" s="17">
        <f t="shared" si="263"/>
        <v>1448.5800229109952</v>
      </c>
      <c r="DE77" s="17">
        <f t="shared" si="263"/>
        <v>1481.6069404855843</v>
      </c>
      <c r="DF77" s="3" t="e">
        <f>#REF!+$AG$35*0.004*(1+$R$28)*#REF!-S77*#REF!</f>
        <v>#REF!</v>
      </c>
      <c r="DG77" s="19">
        <f t="shared" si="191"/>
        <v>2370.4208889540359</v>
      </c>
      <c r="DH77" s="19">
        <f t="shared" si="192"/>
        <v>2235.8133894472312</v>
      </c>
      <c r="DI77" s="19">
        <f t="shared" si="193"/>
        <v>2094.7599750557306</v>
      </c>
      <c r="DJ77" s="19">
        <f t="shared" si="194"/>
        <v>1945.7448342555749</v>
      </c>
      <c r="DK77" s="19">
        <f t="shared" si="195"/>
        <v>1790.3161986857237</v>
      </c>
      <c r="DL77" s="19">
        <f t="shared" si="196"/>
        <v>1624.6902962930114</v>
      </c>
      <c r="DM77" s="19">
        <f t="shared" si="197"/>
        <v>1448.5800229109952</v>
      </c>
      <c r="DN77" s="19">
        <f t="shared" si="198"/>
        <v>1286.8015561141458</v>
      </c>
      <c r="DO77" s="173">
        <f t="shared" si="127"/>
        <v>69544.014517296338</v>
      </c>
      <c r="DP77" s="25">
        <f t="shared" si="262"/>
        <v>68175.46941806782</v>
      </c>
      <c r="DQ77" s="26">
        <f t="shared" si="262"/>
        <v>66791.805416898773</v>
      </c>
      <c r="DR77" s="26">
        <f t="shared" si="262"/>
        <v>65393.182532433275</v>
      </c>
      <c r="DS77" s="26">
        <f t="shared" si="262"/>
        <v>63980.850699294751</v>
      </c>
      <c r="DT77" s="26">
        <f t="shared" si="262"/>
        <v>62554.038207059304</v>
      </c>
      <c r="DU77" s="26">
        <f t="shared" si="262"/>
        <v>61115.240000982594</v>
      </c>
      <c r="DV77" s="26">
        <f t="shared" si="262"/>
        <v>59666.659978071591</v>
      </c>
      <c r="DW77" s="26">
        <f t="shared" si="262"/>
        <v>58185.053037586011</v>
      </c>
      <c r="DX77" s="26">
        <f t="shared" si="262"/>
        <v>56663.171693451171</v>
      </c>
      <c r="DY77" s="26">
        <f t="shared" si="262"/>
        <v>55081.471929218045</v>
      </c>
      <c r="DZ77" s="26">
        <f t="shared" si="262"/>
        <v>53447.84694462482</v>
      </c>
      <c r="EA77" s="26">
        <f t="shared" si="262"/>
        <v>51748.336585876787</v>
      </c>
      <c r="EB77" s="26">
        <f t="shared" si="262"/>
        <v>49991.905999111841</v>
      </c>
      <c r="EC77" s="26">
        <f t="shared" si="262"/>
        <v>48187.938512941255</v>
      </c>
      <c r="ED77" s="26">
        <f t="shared" si="262"/>
        <v>0</v>
      </c>
      <c r="EE77" s="26">
        <f t="shared" si="145"/>
        <v>0</v>
      </c>
      <c r="EF77" s="26">
        <f t="shared" si="34"/>
        <v>0</v>
      </c>
      <c r="EG77" s="26">
        <f t="shared" si="34"/>
        <v>0</v>
      </c>
      <c r="EH77" s="26">
        <f t="shared" si="34"/>
        <v>0</v>
      </c>
      <c r="EI77" s="26">
        <f t="shared" si="34"/>
        <v>0</v>
      </c>
      <c r="EJ77" s="26">
        <f t="shared" si="128"/>
        <v>5.4036913694005588E-2</v>
      </c>
      <c r="EK77" s="26">
        <f t="shared" si="128"/>
        <v>4.7269299600217633E-2</v>
      </c>
      <c r="EL77" s="26">
        <f t="shared" si="270"/>
        <v>3.9709900192816519E-2</v>
      </c>
      <c r="EM77" s="26">
        <f t="shared" si="270"/>
        <v>3.1284767617369577E-2</v>
      </c>
      <c r="EN77" s="26">
        <f t="shared" si="270"/>
        <v>2.1920127642014457E-2</v>
      </c>
      <c r="EO77" s="26">
        <f t="shared" si="270"/>
        <v>1.1519014394524395E-2</v>
      </c>
      <c r="EP77" s="26">
        <f t="shared" si="270"/>
        <v>0</v>
      </c>
      <c r="EQ77" s="26">
        <f t="shared" si="270"/>
        <v>-1.2727931065568009E-2</v>
      </c>
      <c r="ER77" s="26">
        <f t="shared" si="270"/>
        <v>-2.7004815822561791E-2</v>
      </c>
      <c r="ES77" s="26">
        <f t="shared" si="270"/>
        <v>-4.3081388291670124E-2</v>
      </c>
      <c r="ET77" s="26">
        <f t="shared" si="270"/>
        <v>-6.1386450569465491E-2</v>
      </c>
      <c r="EU77" s="26">
        <f t="shared" si="270"/>
        <v>-8.2125508119403612E-2</v>
      </c>
      <c r="EV77" s="26">
        <f t="shared" si="270"/>
        <v>-0.10579982903170013</v>
      </c>
      <c r="EW77" s="26">
        <f t="shared" si="270"/>
        <v>-0.13271480440894759</v>
      </c>
      <c r="EX77" s="26">
        <f t="shared" si="270"/>
        <v>-0.16321046401710096</v>
      </c>
      <c r="EY77" s="26">
        <f t="shared" si="269"/>
        <v>-0.81816353121700758</v>
      </c>
      <c r="EZ77" s="26">
        <f t="shared" si="269"/>
        <v>-0.86938641364443492</v>
      </c>
      <c r="FA77" s="26">
        <f t="shared" si="269"/>
        <v>-0.9259027247391568</v>
      </c>
      <c r="FB77" s="26">
        <f t="shared" si="269"/>
        <v>-0.98815566195856885</v>
      </c>
      <c r="FC77" s="26">
        <f t="shared" si="269"/>
        <v>-1.0569764933172918</v>
      </c>
      <c r="FD77" s="26">
        <f t="shared" si="269"/>
        <v>-1.133337167410732</v>
      </c>
      <c r="FE77" s="26">
        <f t="shared" si="130"/>
        <v>5.1541848844417819</v>
      </c>
      <c r="FF77" s="26">
        <f t="shared" si="130"/>
        <v>4.3826265144651391</v>
      </c>
      <c r="FG77" s="26">
        <f t="shared" si="130"/>
        <v>3.5791751622057353</v>
      </c>
      <c r="FH77" s="26">
        <f t="shared" si="130"/>
        <v>2.7416899007272568</v>
      </c>
      <c r="FI77" s="26">
        <f t="shared" si="130"/>
        <v>1.8677826559228807</v>
      </c>
      <c r="FJ77" s="26">
        <f t="shared" si="157"/>
        <v>0.9548610014438601</v>
      </c>
      <c r="FK77" s="26">
        <f t="shared" si="157"/>
        <v>0</v>
      </c>
      <c r="FL77" s="26">
        <f t="shared" si="157"/>
        <v>-1.0000000000000002</v>
      </c>
      <c r="FM77" s="26">
        <f t="shared" si="157"/>
        <v>-2.0488914975451791</v>
      </c>
      <c r="FN77" s="26">
        <f t="shared" si="157"/>
        <v>-3.1512998317901859</v>
      </c>
      <c r="FO77" s="26">
        <f t="shared" si="170"/>
        <v>-4.3131856030812354</v>
      </c>
      <c r="FP77" s="26">
        <f t="shared" si="158"/>
        <v>-5.5409276160057415</v>
      </c>
      <c r="FQ77" s="26">
        <f t="shared" si="158"/>
        <v>-6.8430695828553247</v>
      </c>
      <c r="FR77" s="26">
        <f t="shared" si="158"/>
        <v>-8.2284707105726334</v>
      </c>
      <c r="FS77" s="26">
        <f t="shared" si="158"/>
        <v>-9.7071265452009943</v>
      </c>
      <c r="FT77" s="26">
        <f t="shared" si="274"/>
        <v>-11.292980855245389</v>
      </c>
      <c r="FU77" s="26">
        <f t="shared" si="268"/>
        <v>-13.000002139539218</v>
      </c>
      <c r="FV77" s="26">
        <f t="shared" si="131"/>
        <v>-14.845094901077051</v>
      </c>
      <c r="FW77" s="26">
        <f t="shared" si="131"/>
        <v>-16.843202732710566</v>
      </c>
      <c r="FX77" s="26">
        <f t="shared" si="39"/>
        <v>1517407.6629794927</v>
      </c>
      <c r="FY77" s="26">
        <f t="shared" si="40"/>
        <v>108506.0895304641</v>
      </c>
      <c r="FZ77" s="26">
        <f t="shared" si="132"/>
        <v>0.76462910205317702</v>
      </c>
      <c r="GA77" s="26">
        <f t="shared" si="160"/>
        <v>0.79851867379973718</v>
      </c>
      <c r="GB77" s="26">
        <f t="shared" si="132"/>
        <v>0.83433002231710163</v>
      </c>
      <c r="GC77" s="26">
        <f t="shared" si="132"/>
        <v>0.87221331086058718</v>
      </c>
      <c r="GD77" s="26">
        <f t="shared" si="132"/>
        <v>0.91232717620164416</v>
      </c>
      <c r="GE77" s="26">
        <f t="shared" si="161"/>
        <v>0.95486100144385966</v>
      </c>
      <c r="GF77" s="26">
        <f t="shared" si="161"/>
        <v>1</v>
      </c>
      <c r="GG77" s="26">
        <f t="shared" si="161"/>
        <v>1.0479487542733728</v>
      </c>
      <c r="GH77" s="26">
        <f t="shared" si="161"/>
        <v>1.0991845382204013</v>
      </c>
      <c r="GI77" s="26">
        <f t="shared" si="161"/>
        <v>1.1541243228414444</v>
      </c>
      <c r="GJ77" s="26">
        <f t="shared" si="171"/>
        <v>1.213412970746081</v>
      </c>
      <c r="GK77" s="26">
        <f t="shared" si="162"/>
        <v>1.2774828109748448</v>
      </c>
      <c r="GL77" s="26">
        <f t="shared" si="162"/>
        <v>1.34714283829762</v>
      </c>
      <c r="GM77" s="26">
        <f t="shared" si="162"/>
        <v>1.4230138144421534</v>
      </c>
      <c r="GN77" s="26">
        <f t="shared" si="162"/>
        <v>1.5057915126314798</v>
      </c>
      <c r="GO77" s="26">
        <f t="shared" si="275"/>
        <v>1.5966705635633491</v>
      </c>
      <c r="GP77" s="26">
        <f t="shared" si="265"/>
        <v>1.6966335482628552</v>
      </c>
      <c r="GQ77" s="26">
        <f t="shared" si="134"/>
        <v>1.8069268170815025</v>
      </c>
      <c r="GR77" s="26">
        <f t="shared" si="134"/>
        <v>1.9284152830923744</v>
      </c>
      <c r="GS77" s="26">
        <f t="shared" si="134"/>
        <v>2.0627211906497296</v>
      </c>
      <c r="GT77" s="26">
        <f t="shared" si="134"/>
        <v>2.2117413264622994</v>
      </c>
      <c r="GU77" s="26">
        <f t="shared" si="135"/>
        <v>5.389555782388598</v>
      </c>
      <c r="GV77" s="26">
        <f t="shared" si="164"/>
        <v>4.5841078406654034</v>
      </c>
      <c r="GW77" s="26">
        <f t="shared" si="135"/>
        <v>3.7448451398886347</v>
      </c>
      <c r="GX77" s="26">
        <f t="shared" si="135"/>
        <v>2.8694765898666668</v>
      </c>
      <c r="GY77" s="26">
        <f t="shared" si="135"/>
        <v>1.9554554797212362</v>
      </c>
      <c r="GZ77" s="26">
        <f t="shared" si="165"/>
        <v>0.99999999999999856</v>
      </c>
      <c r="HA77" s="26">
        <f t="shared" si="165"/>
        <v>0</v>
      </c>
      <c r="HB77" s="26">
        <f t="shared" si="165"/>
        <v>-1.0479487542733734</v>
      </c>
      <c r="HC77" s="26">
        <f t="shared" si="165"/>
        <v>-2.1480760357655795</v>
      </c>
      <c r="HD77" s="26">
        <f t="shared" si="165"/>
        <v>-3.3054241546316314</v>
      </c>
      <c r="HE77" s="26">
        <f t="shared" si="172"/>
        <v>-4.5265985738273189</v>
      </c>
      <c r="HF77" s="26">
        <f t="shared" si="166"/>
        <v>-5.8184104269805887</v>
      </c>
      <c r="HG77" s="26">
        <f t="shared" si="166"/>
        <v>-7.1902124211529497</v>
      </c>
      <c r="HH77" s="26">
        <f t="shared" si="166"/>
        <v>-8.6514845250147872</v>
      </c>
      <c r="HI77" s="26">
        <f t="shared" si="166"/>
        <v>-10.212918057832475</v>
      </c>
      <c r="HJ77" s="26">
        <f t="shared" si="276"/>
        <v>-11.889651418808739</v>
      </c>
      <c r="HK77" s="26">
        <f t="shared" si="266"/>
        <v>-13.696635687802074</v>
      </c>
      <c r="HL77" s="26">
        <f t="shared" si="137"/>
        <v>-15.652021718158554</v>
      </c>
      <c r="HM77" s="26">
        <f t="shared" si="137"/>
        <v>-17.77161801580294</v>
      </c>
      <c r="HN77" s="26">
        <f t="shared" si="137"/>
        <v>-20.078981225396237</v>
      </c>
      <c r="HO77" s="26">
        <f t="shared" si="137"/>
        <v>-22.601820404650383</v>
      </c>
      <c r="HP77" s="26">
        <f t="shared" si="199"/>
        <v>531791.55249757227</v>
      </c>
      <c r="HQ77" s="26">
        <f t="shared" si="200"/>
        <v>545217.37763729191</v>
      </c>
      <c r="HR77" s="26">
        <f t="shared" si="201"/>
        <v>559726.01457714976</v>
      </c>
      <c r="HS77" s="26">
        <f t="shared" si="202"/>
        <v>575479.67791979446</v>
      </c>
      <c r="HT77" s="26">
        <f t="shared" si="203"/>
        <v>592666.52871835849</v>
      </c>
      <c r="HU77" s="26">
        <f t="shared" si="204"/>
        <v>611496.8648712025</v>
      </c>
      <c r="HV77" s="26">
        <f t="shared" si="205"/>
        <v>632215.9078880985</v>
      </c>
      <c r="HW77" s="26">
        <f t="shared" si="206"/>
        <v>655098.30938884849</v>
      </c>
      <c r="HX77" s="26">
        <f t="shared" si="207"/>
        <v>680495.2199781877</v>
      </c>
      <c r="HY77" s="26">
        <f t="shared" si="208"/>
        <v>708852.05543644284</v>
      </c>
      <c r="HZ77" s="26">
        <f t="shared" si="209"/>
        <v>740779.07831764244</v>
      </c>
      <c r="IA77" s="26">
        <f t="shared" si="210"/>
        <v>776918.64381310355</v>
      </c>
      <c r="IB77" s="26">
        <f t="shared" si="211"/>
        <v>818183.07407814846</v>
      </c>
      <c r="IC77" s="26">
        <f t="shared" si="212"/>
        <v>865505.91882831289</v>
      </c>
      <c r="ID77" s="26">
        <f t="shared" si="213"/>
        <v>919952.85634108481</v>
      </c>
      <c r="IE77" s="26">
        <f t="shared" si="214"/>
        <v>947526.94663176127</v>
      </c>
      <c r="IF77" s="26">
        <f t="shared" si="215"/>
        <v>1020188.0777792366</v>
      </c>
      <c r="IG77" s="26">
        <f t="shared" si="216"/>
        <v>1104953.6776595465</v>
      </c>
      <c r="IH77" s="26">
        <f t="shared" si="217"/>
        <v>1203449.4017083172</v>
      </c>
      <c r="II77" s="26">
        <f t="shared" si="218"/>
        <v>-173948305587.75027</v>
      </c>
      <c r="IJ77" s="26">
        <f t="shared" si="219"/>
        <v>551992.23264476715</v>
      </c>
      <c r="IK77" s="26">
        <f t="shared" si="220"/>
        <v>564988.32660886203</v>
      </c>
      <c r="IL77" s="26">
        <f t="shared" si="221"/>
        <v>579142.70076552604</v>
      </c>
      <c r="IM77" s="26">
        <f t="shared" si="222"/>
        <v>594627.23387971346</v>
      </c>
      <c r="IN77" s="26">
        <f t="shared" si="223"/>
        <v>611640.98840739403</v>
      </c>
      <c r="IO77" s="26">
        <f t="shared" si="224"/>
        <v>630406.38078125799</v>
      </c>
      <c r="IP77" s="26">
        <f t="shared" si="225"/>
        <v>651182.38512474147</v>
      </c>
      <c r="IQ77" s="26">
        <f t="shared" si="226"/>
        <v>674258.99868377135</v>
      </c>
      <c r="IR77" s="26">
        <f t="shared" si="227"/>
        <v>700005.60333773843</v>
      </c>
      <c r="IS77" s="26">
        <f t="shared" si="228"/>
        <v>728889.51033481408</v>
      </c>
      <c r="IT77" s="26">
        <f t="shared" si="229"/>
        <v>761548.66754754505</v>
      </c>
      <c r="IU77" s="26">
        <f t="shared" si="230"/>
        <v>798655.74287058518</v>
      </c>
      <c r="IV77" s="26">
        <f t="shared" si="231"/>
        <v>841162.7485459547</v>
      </c>
      <c r="IW77" s="26">
        <f t="shared" si="232"/>
        <v>890045.98437132617</v>
      </c>
      <c r="IX77" s="26">
        <f t="shared" si="233"/>
        <v>946420.27881053067</v>
      </c>
      <c r="IY77" s="26">
        <f t="shared" si="234"/>
        <v>975288.65487665497</v>
      </c>
      <c r="IZ77" s="26">
        <f t="shared" si="235"/>
        <v>1050793.7201126136</v>
      </c>
      <c r="JA77" s="26">
        <f t="shared" si="236"/>
        <v>1138991.704271392</v>
      </c>
      <c r="JB77" s="26">
        <f t="shared" si="237"/>
        <v>1241590.1263555707</v>
      </c>
      <c r="JC77" s="26">
        <f t="shared" si="238"/>
        <v>-179166751272.72687</v>
      </c>
      <c r="JD77" s="26">
        <f t="shared" si="239"/>
        <v>149744.96369375987</v>
      </c>
      <c r="JE77" s="26">
        <f t="shared" si="240"/>
        <v>239922.47656200582</v>
      </c>
      <c r="JF77" s="26">
        <f t="shared" si="241"/>
        <v>334700.73337019706</v>
      </c>
      <c r="JG77" s="26">
        <f t="shared" si="242"/>
        <v>434509.48590933182</v>
      </c>
      <c r="JH77" s="26">
        <f t="shared" si="243"/>
        <v>539823.13593882706</v>
      </c>
      <c r="JI77" s="26">
        <f t="shared" si="244"/>
        <v>651182.38512474147</v>
      </c>
      <c r="JJ77" s="26">
        <f t="shared" si="245"/>
        <v>769185.59727443696</v>
      </c>
      <c r="JK77" s="26">
        <f t="shared" si="246"/>
        <v>894585.30082565069</v>
      </c>
      <c r="JL77" s="26">
        <f t="shared" si="247"/>
        <v>1028305.5558418969</v>
      </c>
      <c r="JM77" s="26">
        <f t="shared" si="248"/>
        <v>1171582.6544639445</v>
      </c>
      <c r="JN77" s="26">
        <f t="shared" si="249"/>
        <v>1325706.2391715217</v>
      </c>
      <c r="JO77" s="26">
        <f t="shared" si="250"/>
        <v>1492475.5207603415</v>
      </c>
      <c r="JP77" s="26">
        <f t="shared" si="251"/>
        <v>1673725.525351244</v>
      </c>
      <c r="JQ77" s="26">
        <f t="shared" si="252"/>
        <v>1871539.5357988551</v>
      </c>
      <c r="JR77" s="26">
        <f t="shared" si="253"/>
        <v>2052291.8604377648</v>
      </c>
      <c r="JS77" s="26">
        <f t="shared" si="254"/>
        <v>2291479.4241383681</v>
      </c>
      <c r="JT77" s="26">
        <f t="shared" si="255"/>
        <v>2556802.6198463971</v>
      </c>
      <c r="JU77" s="26">
        <f t="shared" si="256"/>
        <v>2851400.9523272072</v>
      </c>
      <c r="JV77" s="26">
        <f t="shared" si="257"/>
        <v>-179164932453.45435</v>
      </c>
      <c r="JW77" s="26">
        <f t="shared" si="258"/>
        <v>2197091.1952928603</v>
      </c>
      <c r="JX77" s="26" t="e">
        <f>AH77+$AG$38*0.004*(1+$R$28)*#REF!-S77*#REF!</f>
        <v>#REF!</v>
      </c>
      <c r="JY77" s="34">
        <f t="shared" si="259"/>
        <v>5.6774104466273137E-2</v>
      </c>
      <c r="JZ77" s="4">
        <f t="shared" si="260"/>
        <v>44872.732836320705</v>
      </c>
      <c r="KA77" s="165"/>
    </row>
    <row r="78" spans="1:287" ht="15.75" x14ac:dyDescent="0.3">
      <c r="A78" s="34">
        <v>77</v>
      </c>
      <c r="B78" s="34">
        <v>50</v>
      </c>
      <c r="C78" s="2">
        <v>895561</v>
      </c>
      <c r="D78" s="1">
        <f t="shared" si="106"/>
        <v>6395</v>
      </c>
      <c r="E78" s="145">
        <f t="shared" si="107"/>
        <v>0.99285922455310138</v>
      </c>
      <c r="F78" s="146">
        <f t="shared" si="108"/>
        <v>7.1407754468986173E-3</v>
      </c>
      <c r="G78" s="158">
        <f t="shared" si="173"/>
        <v>8.9259693086232716E-3</v>
      </c>
      <c r="H78" s="43">
        <f t="shared" si="109"/>
        <v>7775.8303781299846</v>
      </c>
      <c r="I78" s="43">
        <f t="shared" si="139"/>
        <v>871146.8871641591</v>
      </c>
      <c r="J78" s="43">
        <f t="shared" si="110"/>
        <v>892363.5</v>
      </c>
      <c r="K78" s="147">
        <f>SUM(J78:$J$138)</f>
        <v>25167943.5</v>
      </c>
      <c r="L78" s="147">
        <f t="shared" si="111"/>
        <v>28.102991867667306</v>
      </c>
      <c r="M78" s="43">
        <f t="shared" si="174"/>
        <v>1115454.375</v>
      </c>
      <c r="N78" s="148">
        <f t="shared" si="175"/>
        <v>31459929.375</v>
      </c>
      <c r="O78" s="147">
        <f t="shared" si="6"/>
        <v>35.128739834584131</v>
      </c>
      <c r="P78" s="157">
        <f t="shared" si="176"/>
        <v>155981.78985652846</v>
      </c>
      <c r="Q78" s="43">
        <f t="shared" si="177"/>
        <v>1119451.25</v>
      </c>
      <c r="R78" s="43">
        <f t="shared" si="178"/>
        <v>1368.5450992285078</v>
      </c>
      <c r="S78" s="43">
        <f>SUM(R78:$R$138)</f>
        <v>69544.014517296338</v>
      </c>
      <c r="T78" s="43">
        <f t="shared" si="112"/>
        <v>1503248.0816113171</v>
      </c>
      <c r="U78" s="153">
        <f>SUM(P78:$P$138)</f>
        <v>2591159.5511030932</v>
      </c>
      <c r="V78" s="129">
        <f t="shared" si="179"/>
        <v>1631218.7777198723</v>
      </c>
      <c r="W78" s="43">
        <f t="shared" si="180"/>
        <v>113811.11474037961</v>
      </c>
      <c r="X78" s="26">
        <f t="shared" si="114"/>
        <v>6.1541848844417757</v>
      </c>
      <c r="Y78" s="26">
        <f t="shared" si="115"/>
        <v>0.72964360035272513</v>
      </c>
      <c r="Z78" s="43">
        <f t="shared" si="181"/>
        <v>59666.659978071591</v>
      </c>
      <c r="AA78" s="149">
        <f t="shared" si="116"/>
        <v>6.3323767141727924E-2</v>
      </c>
      <c r="AB78" s="150">
        <f t="shared" si="138"/>
        <v>2435177.7612465657</v>
      </c>
      <c r="AC78" s="150">
        <f t="shared" si="117"/>
        <v>1517407.6629794927</v>
      </c>
      <c r="AD78" s="26">
        <f t="shared" si="118"/>
        <v>5.883828484794507</v>
      </c>
      <c r="AE78" s="26">
        <f t="shared" si="182"/>
        <v>538193.98391020612</v>
      </c>
      <c r="AF78" s="43">
        <f t="shared" si="183"/>
        <v>87451.708717883899</v>
      </c>
      <c r="AG78" s="43">
        <f t="shared" si="184"/>
        <v>559531.77438066946</v>
      </c>
      <c r="AH78" s="27">
        <f t="shared" si="185"/>
        <v>94761.712041620136</v>
      </c>
      <c r="AI78" s="28">
        <f t="shared" si="186"/>
        <v>601647.06922652631</v>
      </c>
      <c r="AJ78" s="20">
        <f t="shared" si="187"/>
        <v>101894.31402324747</v>
      </c>
      <c r="AK78" s="3">
        <f t="shared" si="188"/>
        <v>8830.8405486814463</v>
      </c>
      <c r="AL78" s="3"/>
      <c r="AM78" s="46">
        <f t="shared" si="121"/>
        <v>2435177.7612465657</v>
      </c>
      <c r="AN78" s="46">
        <f t="shared" si="122"/>
        <v>2285815.9243503674</v>
      </c>
      <c r="AO78" s="46">
        <f t="shared" si="122"/>
        <v>2142865.0383407604</v>
      </c>
      <c r="AP78" s="3">
        <f t="shared" ref="AP78:BC94" si="278">AO79</f>
        <v>2006123.0115572365</v>
      </c>
      <c r="AQ78" s="3">
        <f t="shared" si="278"/>
        <v>1875393.3577380853</v>
      </c>
      <c r="AR78" s="16">
        <f t="shared" si="278"/>
        <v>1750486.9936345171</v>
      </c>
      <c r="AS78" s="16">
        <f t="shared" si="278"/>
        <v>1631218.7777198723</v>
      </c>
      <c r="AT78" s="16">
        <f t="shared" si="278"/>
        <v>1517407.6629794927</v>
      </c>
      <c r="AU78" s="16">
        <f t="shared" si="278"/>
        <v>1408901.5734490284</v>
      </c>
      <c r="AV78" s="16">
        <f t="shared" si="278"/>
        <v>1305560.6997197517</v>
      </c>
      <c r="AW78" s="16">
        <f t="shared" si="278"/>
        <v>1207269.1709574449</v>
      </c>
      <c r="AX78" s="16">
        <f t="shared" si="278"/>
        <v>1113907.2760732146</v>
      </c>
      <c r="AY78" s="16">
        <f t="shared" si="278"/>
        <v>1025373.0742617993</v>
      </c>
      <c r="AZ78" s="16">
        <f t="shared" si="278"/>
        <v>941559.25973365293</v>
      </c>
      <c r="BA78" s="16">
        <f t="shared" si="278"/>
        <v>862352.93208858941</v>
      </c>
      <c r="BB78" s="16">
        <f t="shared" si="278"/>
        <v>787654.85808610427</v>
      </c>
      <c r="BC78" s="16">
        <f t="shared" si="144"/>
        <v>717357.87731688586</v>
      </c>
      <c r="BD78" s="16">
        <f t="shared" si="18"/>
        <v>651351.76418205327</v>
      </c>
      <c r="BE78" s="16">
        <f t="shared" si="18"/>
        <v>589503.97809554788</v>
      </c>
      <c r="BF78" s="16">
        <f t="shared" si="18"/>
        <v>531683.16525119205</v>
      </c>
      <c r="BG78" s="16">
        <f t="shared" si="18"/>
        <v>477758.13591450383</v>
      </c>
      <c r="BH78" s="172">
        <f t="shared" si="123"/>
        <v>149361.83689619804</v>
      </c>
      <c r="BI78" s="16">
        <f t="shared" si="277"/>
        <v>142950.88600960682</v>
      </c>
      <c r="BJ78" s="16">
        <f t="shared" si="277"/>
        <v>136742.02678352417</v>
      </c>
      <c r="BK78" s="16">
        <f t="shared" si="277"/>
        <v>130729.65381915121</v>
      </c>
      <c r="BL78" s="16">
        <f t="shared" si="277"/>
        <v>124906.36410356843</v>
      </c>
      <c r="BM78" s="16">
        <f t="shared" si="277"/>
        <v>119268.21591464471</v>
      </c>
      <c r="BN78" s="16">
        <f t="shared" si="277"/>
        <v>113811.11474037961</v>
      </c>
      <c r="BO78" s="16">
        <f t="shared" si="277"/>
        <v>108506.0895304641</v>
      </c>
      <c r="BP78" s="16">
        <f t="shared" si="277"/>
        <v>103340.87372927672</v>
      </c>
      <c r="BQ78" s="16">
        <f t="shared" si="277"/>
        <v>98291.528762306916</v>
      </c>
      <c r="BR78" s="16">
        <f t="shared" si="277"/>
        <v>93361.894884230453</v>
      </c>
      <c r="BS78" s="16">
        <f t="shared" si="277"/>
        <v>88534.201811415609</v>
      </c>
      <c r="BT78" s="16">
        <f t="shared" si="277"/>
        <v>83813.814528146351</v>
      </c>
      <c r="BU78" s="16">
        <f t="shared" si="277"/>
        <v>79206.327645063458</v>
      </c>
      <c r="BV78" s="16">
        <f t="shared" si="277"/>
        <v>74698.07400248514</v>
      </c>
      <c r="BW78" s="16">
        <f t="shared" si="277"/>
        <v>70296.980769218397</v>
      </c>
      <c r="BX78" s="16">
        <f t="shared" si="168"/>
        <v>66006.113134832645</v>
      </c>
      <c r="BY78" s="16">
        <f t="shared" si="149"/>
        <v>61847.786086505286</v>
      </c>
      <c r="BZ78" s="16">
        <f t="shared" si="149"/>
        <v>57820.812844355773</v>
      </c>
      <c r="CA78" s="16">
        <f t="shared" si="149"/>
        <v>53925.029336687992</v>
      </c>
      <c r="CB78" s="16">
        <f t="shared" si="149"/>
        <v>50159.326878211672</v>
      </c>
      <c r="CC78" s="18">
        <f t="shared" si="124"/>
        <v>5.3826265144651417</v>
      </c>
      <c r="CD78" s="18">
        <f t="shared" si="124"/>
        <v>4.5791751622057362</v>
      </c>
      <c r="CE78" s="18">
        <f t="shared" si="124"/>
        <v>3.7416899007272542</v>
      </c>
      <c r="CF78" s="18">
        <f t="shared" si="124"/>
        <v>2.867782655922881</v>
      </c>
      <c r="CG78" s="18">
        <f t="shared" si="124"/>
        <v>1.9548610014438588</v>
      </c>
      <c r="CH78" s="18">
        <f t="shared" si="150"/>
        <v>1.0000000000000004</v>
      </c>
      <c r="CI78" s="18">
        <f t="shared" si="150"/>
        <v>0</v>
      </c>
      <c r="CJ78" s="18">
        <f t="shared" si="150"/>
        <v>-1.0488914975451777</v>
      </c>
      <c r="CK78" s="18">
        <f t="shared" si="150"/>
        <v>-2.1512998317901864</v>
      </c>
      <c r="CL78" s="18">
        <f t="shared" si="151"/>
        <v>-3.3131856030812368</v>
      </c>
      <c r="CM78" s="18">
        <f t="shared" si="151"/>
        <v>-4.5409276160057432</v>
      </c>
      <c r="CN78" s="18">
        <f t="shared" si="151"/>
        <v>-5.8430695828553292</v>
      </c>
      <c r="CO78" s="18">
        <f t="shared" si="151"/>
        <v>-7.2284707105726334</v>
      </c>
      <c r="CP78" s="18">
        <f t="shared" si="271"/>
        <v>-8.7071265452009943</v>
      </c>
      <c r="CQ78" s="18">
        <f t="shared" si="272"/>
        <v>-10.292980855245389</v>
      </c>
      <c r="CR78" s="18">
        <f t="shared" si="273"/>
        <v>-12.000002139539218</v>
      </c>
      <c r="CS78" s="18">
        <f t="shared" si="267"/>
        <v>-13.845094901077051</v>
      </c>
      <c r="CT78" s="18">
        <f t="shared" si="125"/>
        <v>-15.843202732710566</v>
      </c>
      <c r="CU78" s="18">
        <f t="shared" si="125"/>
        <v>-18.016260034746509</v>
      </c>
      <c r="CV78" s="18">
        <f t="shared" si="125"/>
        <v>-20.39007907818808</v>
      </c>
      <c r="CW78" s="18">
        <f t="shared" si="22"/>
        <v>-22.995935424053936</v>
      </c>
      <c r="CX78" s="17">
        <f t="shared" si="190"/>
        <v>1383.6640011690392</v>
      </c>
      <c r="CY78" s="17">
        <f t="shared" si="264"/>
        <v>1398.6228844655041</v>
      </c>
      <c r="CZ78" s="17">
        <f t="shared" si="264"/>
        <v>1412.3318331385378</v>
      </c>
      <c r="DA78" s="17">
        <f t="shared" si="264"/>
        <v>1426.812492235438</v>
      </c>
      <c r="DB78" s="17">
        <f t="shared" si="264"/>
        <v>1438.7982060767181</v>
      </c>
      <c r="DC78" s="17">
        <f t="shared" si="264"/>
        <v>1448.5800229109952</v>
      </c>
      <c r="DD78" s="17">
        <f t="shared" si="263"/>
        <v>1481.6069404855843</v>
      </c>
      <c r="DE78" s="17">
        <f t="shared" si="263"/>
        <v>1521.8813441348364</v>
      </c>
      <c r="DF78" s="3" t="e">
        <f>#REF!+$AG$35*0.004*(1+$R$28)*#REF!-S78*#REF!</f>
        <v>#REF!</v>
      </c>
      <c r="DG78" s="19">
        <f t="shared" si="191"/>
        <v>2389.6763081194154</v>
      </c>
      <c r="DH78" s="19">
        <f t="shared" si="192"/>
        <v>2254.4702215379352</v>
      </c>
      <c r="DI78" s="19">
        <f t="shared" si="193"/>
        <v>2111.6532664216693</v>
      </c>
      <c r="DJ78" s="19">
        <f t="shared" si="194"/>
        <v>1962.8007570284915</v>
      </c>
      <c r="DK78" s="19">
        <f t="shared" si="195"/>
        <v>1804.1615134778217</v>
      </c>
      <c r="DL78" s="19">
        <f t="shared" si="196"/>
        <v>1635.4799135585895</v>
      </c>
      <c r="DM78" s="19">
        <f t="shared" si="197"/>
        <v>1481.6069404855843</v>
      </c>
      <c r="DN78" s="19">
        <f t="shared" si="198"/>
        <v>1325.8436379424513</v>
      </c>
      <c r="DO78" s="173">
        <f t="shared" si="127"/>
        <v>68175.46941806782</v>
      </c>
      <c r="DP78" s="25">
        <f t="shared" ref="DP78:EE98" si="279">DO79</f>
        <v>66791.805416898773</v>
      </c>
      <c r="DQ78" s="26">
        <f t="shared" si="279"/>
        <v>65393.182532433275</v>
      </c>
      <c r="DR78" s="26">
        <f t="shared" si="279"/>
        <v>63980.850699294751</v>
      </c>
      <c r="DS78" s="26">
        <f t="shared" si="279"/>
        <v>62554.038207059304</v>
      </c>
      <c r="DT78" s="26">
        <f t="shared" si="279"/>
        <v>61115.240000982594</v>
      </c>
      <c r="DU78" s="26">
        <f t="shared" si="279"/>
        <v>59666.659978071591</v>
      </c>
      <c r="DV78" s="26">
        <f t="shared" si="279"/>
        <v>58185.053037586011</v>
      </c>
      <c r="DW78" s="26">
        <f t="shared" si="279"/>
        <v>56663.171693451171</v>
      </c>
      <c r="DX78" s="26">
        <f t="shared" si="279"/>
        <v>55081.471929218045</v>
      </c>
      <c r="DY78" s="26">
        <f t="shared" si="279"/>
        <v>53447.84694462482</v>
      </c>
      <c r="DZ78" s="26">
        <f t="shared" si="279"/>
        <v>51748.336585876787</v>
      </c>
      <c r="EA78" s="26">
        <f t="shared" si="279"/>
        <v>49991.905999111841</v>
      </c>
      <c r="EB78" s="26">
        <f t="shared" si="279"/>
        <v>48187.938512941255</v>
      </c>
      <c r="EC78" s="26">
        <f t="shared" si="279"/>
        <v>0</v>
      </c>
      <c r="ED78" s="26">
        <f t="shared" si="279"/>
        <v>0</v>
      </c>
      <c r="EE78" s="26">
        <f t="shared" si="145"/>
        <v>0</v>
      </c>
      <c r="EF78" s="26">
        <f t="shared" si="34"/>
        <v>0</v>
      </c>
      <c r="EG78" s="26">
        <f t="shared" si="34"/>
        <v>0</v>
      </c>
      <c r="EH78" s="26">
        <f t="shared" si="34"/>
        <v>0</v>
      </c>
      <c r="EI78" s="26">
        <f t="shared" si="34"/>
        <v>0</v>
      </c>
      <c r="EJ78" s="26">
        <f t="shared" si="128"/>
        <v>5.6967761088192785E-2</v>
      </c>
      <c r="EK78" s="26">
        <f t="shared" si="128"/>
        <v>4.9843310788212573E-2</v>
      </c>
      <c r="EL78" s="26">
        <f t="shared" si="270"/>
        <v>4.1878292205126677E-2</v>
      </c>
      <c r="EM78" s="26">
        <f t="shared" si="270"/>
        <v>3.3000857840496736E-2</v>
      </c>
      <c r="EN78" s="26">
        <f t="shared" si="270"/>
        <v>2.3116341987135174E-2</v>
      </c>
      <c r="EO78" s="26">
        <f t="shared" si="270"/>
        <v>1.2145566291925513E-2</v>
      </c>
      <c r="EP78" s="26">
        <f t="shared" si="270"/>
        <v>0</v>
      </c>
      <c r="EQ78" s="26">
        <f t="shared" si="270"/>
        <v>-1.3654597146546377E-2</v>
      </c>
      <c r="ER78" s="26">
        <f t="shared" si="270"/>
        <v>-2.906389481947572E-2</v>
      </c>
      <c r="ES78" s="26">
        <f t="shared" si="270"/>
        <v>-4.664886289378669E-2</v>
      </c>
      <c r="ET78" s="26">
        <f t="shared" si="270"/>
        <v>-6.6609755951913277E-2</v>
      </c>
      <c r="EU78" s="26">
        <f t="shared" si="270"/>
        <v>-8.9438016384463692E-2</v>
      </c>
      <c r="EV78" s="26">
        <f t="shared" si="270"/>
        <v>-0.11543149579131463</v>
      </c>
      <c r="EW78" s="26">
        <f t="shared" si="270"/>
        <v>-0.14492177337861653</v>
      </c>
      <c r="EX78" s="26">
        <f t="shared" si="270"/>
        <v>-0.79877106304088286</v>
      </c>
      <c r="EY78" s="26">
        <f t="shared" si="269"/>
        <v>-0.84877983841090365</v>
      </c>
      <c r="EZ78" s="26">
        <f t="shared" si="269"/>
        <v>-0.90395657529763551</v>
      </c>
      <c r="FA78" s="26">
        <f t="shared" si="269"/>
        <v>-0.96473396629940811</v>
      </c>
      <c r="FB78" s="26">
        <f t="shared" si="269"/>
        <v>-1.0319235763544961</v>
      </c>
      <c r="FC78" s="26">
        <f t="shared" si="269"/>
        <v>-1.1064743165095929</v>
      </c>
      <c r="FD78" s="26">
        <f t="shared" si="269"/>
        <v>-1.1895426771364777</v>
      </c>
      <c r="FE78" s="26">
        <f t="shared" si="130"/>
        <v>5.1446090737682555</v>
      </c>
      <c r="FF78" s="26">
        <f t="shared" si="130"/>
        <v>4.3753305265924318</v>
      </c>
      <c r="FG78" s="26">
        <f t="shared" si="130"/>
        <v>3.573995208886493</v>
      </c>
      <c r="FH78" s="26">
        <f t="shared" si="130"/>
        <v>2.7383664249109305</v>
      </c>
      <c r="FI78" s="26">
        <f t="shared" si="130"/>
        <v>1.8660324662221561</v>
      </c>
      <c r="FJ78" s="26">
        <f t="shared" si="157"/>
        <v>0.95424513452795745</v>
      </c>
      <c r="FK78" s="26">
        <f t="shared" si="157"/>
        <v>0</v>
      </c>
      <c r="FL78" s="26">
        <f t="shared" si="157"/>
        <v>-1.0000000000000016</v>
      </c>
      <c r="FM78" s="26">
        <f t="shared" si="157"/>
        <v>-2.049982312078364</v>
      </c>
      <c r="FN78" s="26">
        <f t="shared" si="157"/>
        <v>-3.155292179573673</v>
      </c>
      <c r="FO78" s="26">
        <f t="shared" si="170"/>
        <v>-4.3218958591898975</v>
      </c>
      <c r="FP78" s="26">
        <f t="shared" si="158"/>
        <v>-5.5575650838956383</v>
      </c>
      <c r="FQ78" s="26">
        <f t="shared" si="158"/>
        <v>-6.8705667017751395</v>
      </c>
      <c r="FR78" s="26">
        <f t="shared" si="158"/>
        <v>-8.270232320658911</v>
      </c>
      <c r="FS78" s="26">
        <f t="shared" si="158"/>
        <v>-9.7693657385210511</v>
      </c>
      <c r="FT78" s="26">
        <f t="shared" si="274"/>
        <v>-11.380997831032484</v>
      </c>
      <c r="FU78" s="26">
        <f t="shared" si="268"/>
        <v>-13.120843777428938</v>
      </c>
      <c r="FV78" s="26">
        <f t="shared" si="131"/>
        <v>-15.003021831470315</v>
      </c>
      <c r="FW78" s="26">
        <f t="shared" si="131"/>
        <v>-17.047918374681288</v>
      </c>
      <c r="FX78" s="26">
        <f t="shared" si="39"/>
        <v>1408901.5734490284</v>
      </c>
      <c r="FY78" s="26">
        <f t="shared" si="40"/>
        <v>103340.87372927672</v>
      </c>
      <c r="FZ78" s="26">
        <f t="shared" si="132"/>
        <v>0.76198255930311631</v>
      </c>
      <c r="GA78" s="26">
        <f t="shared" si="160"/>
        <v>0.79615536438669632</v>
      </c>
      <c r="GB78" s="26">
        <f t="shared" si="132"/>
        <v>0.8323053081592362</v>
      </c>
      <c r="GC78" s="26">
        <f t="shared" si="132"/>
        <v>0.87058376898804946</v>
      </c>
      <c r="GD78" s="26">
        <f t="shared" si="132"/>
        <v>0.91117146477829591</v>
      </c>
      <c r="GE78" s="26">
        <f t="shared" si="161"/>
        <v>0.95424513452795734</v>
      </c>
      <c r="GF78" s="26">
        <f t="shared" si="161"/>
        <v>1</v>
      </c>
      <c r="GG78" s="26">
        <f t="shared" si="161"/>
        <v>1.0488914975451775</v>
      </c>
      <c r="GH78" s="26">
        <f t="shared" si="161"/>
        <v>1.1013175197118219</v>
      </c>
      <c r="GI78" s="26">
        <f t="shared" si="161"/>
        <v>1.1578934235075626</v>
      </c>
      <c r="GJ78" s="26">
        <f t="shared" si="171"/>
        <v>1.219031756815844</v>
      </c>
      <c r="GK78" s="26">
        <f t="shared" si="162"/>
        <v>1.2855044989596867</v>
      </c>
      <c r="GL78" s="26">
        <f t="shared" si="162"/>
        <v>1.3579040087974943</v>
      </c>
      <c r="GM78" s="26">
        <f t="shared" si="162"/>
        <v>1.436894224542083</v>
      </c>
      <c r="GN78" s="26">
        <f t="shared" si="162"/>
        <v>1.5236151167243377</v>
      </c>
      <c r="GO78" s="26">
        <f t="shared" si="275"/>
        <v>1.619004308506734</v>
      </c>
      <c r="GP78" s="26">
        <f t="shared" si="265"/>
        <v>1.7242511236481122</v>
      </c>
      <c r="GQ78" s="26">
        <f t="shared" si="134"/>
        <v>1.8401809012402519</v>
      </c>
      <c r="GR78" s="26">
        <f t="shared" si="134"/>
        <v>1.9683416600652195</v>
      </c>
      <c r="GS78" s="26">
        <f t="shared" si="134"/>
        <v>2.1105433996110596</v>
      </c>
      <c r="GT78" s="26">
        <f t="shared" si="134"/>
        <v>2.2689920663552035</v>
      </c>
      <c r="GU78" s="26">
        <f t="shared" si="135"/>
        <v>5.3826265144651417</v>
      </c>
      <c r="GV78" s="26">
        <f t="shared" si="164"/>
        <v>4.5791751622057362</v>
      </c>
      <c r="GW78" s="26">
        <f t="shared" si="135"/>
        <v>3.7416899007272542</v>
      </c>
      <c r="GX78" s="26">
        <f t="shared" si="135"/>
        <v>2.867782655922881</v>
      </c>
      <c r="GY78" s="26">
        <f t="shared" si="135"/>
        <v>1.9548610014438588</v>
      </c>
      <c r="GZ78" s="26">
        <f t="shared" si="165"/>
        <v>1.0000000000000004</v>
      </c>
      <c r="HA78" s="26">
        <f t="shared" si="165"/>
        <v>0</v>
      </c>
      <c r="HB78" s="26">
        <f t="shared" si="165"/>
        <v>-1.0488914975451777</v>
      </c>
      <c r="HC78" s="26">
        <f t="shared" si="165"/>
        <v>-2.1512998317901864</v>
      </c>
      <c r="HD78" s="26">
        <f t="shared" si="165"/>
        <v>-3.3131856030812368</v>
      </c>
      <c r="HE78" s="26">
        <f t="shared" si="172"/>
        <v>-4.5409276160057432</v>
      </c>
      <c r="HF78" s="26">
        <f t="shared" si="166"/>
        <v>-5.8430695828553292</v>
      </c>
      <c r="HG78" s="26">
        <f t="shared" si="166"/>
        <v>-7.2284707105726334</v>
      </c>
      <c r="HH78" s="26">
        <f t="shared" si="166"/>
        <v>-8.7071265452009943</v>
      </c>
      <c r="HI78" s="26">
        <f t="shared" si="166"/>
        <v>-10.292980855245389</v>
      </c>
      <c r="HJ78" s="26">
        <f t="shared" si="276"/>
        <v>-12.000002139539218</v>
      </c>
      <c r="HK78" s="26">
        <f t="shared" si="266"/>
        <v>-13.845094901077051</v>
      </c>
      <c r="HL78" s="26">
        <f t="shared" si="137"/>
        <v>-15.843202732710566</v>
      </c>
      <c r="HM78" s="26">
        <f t="shared" si="137"/>
        <v>-18.016260034746509</v>
      </c>
      <c r="HN78" s="26">
        <f t="shared" si="137"/>
        <v>-20.39007907818808</v>
      </c>
      <c r="HO78" s="26">
        <f t="shared" si="137"/>
        <v>-22.995935424053936</v>
      </c>
      <c r="HP78" s="26">
        <f t="shared" si="199"/>
        <v>532753.87474276754</v>
      </c>
      <c r="HQ78" s="26">
        <f t="shared" si="200"/>
        <v>545930.36872659752</v>
      </c>
      <c r="HR78" s="26">
        <f t="shared" si="201"/>
        <v>560212.00059702783</v>
      </c>
      <c r="HS78" s="26">
        <f t="shared" si="202"/>
        <v>575772.22305727424</v>
      </c>
      <c r="HT78" s="26">
        <f t="shared" si="203"/>
        <v>592803.24029272527</v>
      </c>
      <c r="HU78" s="26">
        <f t="shared" si="204"/>
        <v>611532.77713909105</v>
      </c>
      <c r="HV78" s="26">
        <f t="shared" si="205"/>
        <v>632215.9078880985</v>
      </c>
      <c r="HW78" s="26">
        <f t="shared" si="206"/>
        <v>655153.26639632706</v>
      </c>
      <c r="HX78" s="26">
        <f t="shared" si="207"/>
        <v>680746.75773111789</v>
      </c>
      <c r="HY78" s="26">
        <f t="shared" si="208"/>
        <v>709537.30805483693</v>
      </c>
      <c r="HZ78" s="26">
        <f t="shared" si="209"/>
        <v>742122.29675481957</v>
      </c>
      <c r="IA78" s="26">
        <f t="shared" si="210"/>
        <v>779326.30337628257</v>
      </c>
      <c r="IB78" s="26">
        <f t="shared" si="211"/>
        <v>822016.73716379714</v>
      </c>
      <c r="IC78" s="26">
        <f t="shared" si="212"/>
        <v>871184.74981515668</v>
      </c>
      <c r="ID78" s="26">
        <f t="shared" si="213"/>
        <v>892702.20191777707</v>
      </c>
      <c r="IE78" s="26">
        <f t="shared" si="214"/>
        <v>958422.11476028024</v>
      </c>
      <c r="IF78" s="26">
        <f t="shared" si="215"/>
        <v>1035225.1740008668</v>
      </c>
      <c r="IG78" s="26">
        <f t="shared" si="216"/>
        <v>1124643.937510974</v>
      </c>
      <c r="IH78" s="26">
        <f t="shared" si="217"/>
        <v>1228985.186440347</v>
      </c>
      <c r="II78" s="26">
        <f t="shared" si="218"/>
        <v>-161509749102.5383</v>
      </c>
      <c r="IJ78" s="26">
        <f t="shared" si="219"/>
        <v>552977.96434097318</v>
      </c>
      <c r="IK78" s="26">
        <f t="shared" si="220"/>
        <v>565719.03337380686</v>
      </c>
      <c r="IL78" s="26">
        <f t="shared" si="221"/>
        <v>579641.05473771901</v>
      </c>
      <c r="IM78" s="26">
        <f t="shared" si="222"/>
        <v>594927.44368489354</v>
      </c>
      <c r="IN78" s="26">
        <f t="shared" si="223"/>
        <v>611781.43819988659</v>
      </c>
      <c r="IO78" s="26">
        <f t="shared" si="224"/>
        <v>630443.37041718315</v>
      </c>
      <c r="IP78" s="26">
        <f t="shared" si="225"/>
        <v>651182.38512474147</v>
      </c>
      <c r="IQ78" s="26">
        <f t="shared" si="226"/>
        <v>674315.16156036337</v>
      </c>
      <c r="IR78" s="26">
        <f t="shared" si="227"/>
        <v>700263.32980518264</v>
      </c>
      <c r="IS78" s="26">
        <f t="shared" si="228"/>
        <v>729592.43682095641</v>
      </c>
      <c r="IT78" s="26">
        <f t="shared" si="229"/>
        <v>762927.5805570567</v>
      </c>
      <c r="IU78" s="26">
        <f t="shared" si="230"/>
        <v>801128.97641238419</v>
      </c>
      <c r="IV78" s="26">
        <f t="shared" si="231"/>
        <v>845103.08998884074</v>
      </c>
      <c r="IW78" s="26">
        <f t="shared" si="232"/>
        <v>895886.0146802247</v>
      </c>
      <c r="IX78" s="26">
        <f t="shared" si="233"/>
        <v>918343.23715260299</v>
      </c>
      <c r="IY78" s="26">
        <f t="shared" si="234"/>
        <v>986504.5143754232</v>
      </c>
      <c r="IZ78" s="26">
        <f t="shared" si="235"/>
        <v>1066281.929220893</v>
      </c>
      <c r="JA78" s="26">
        <f t="shared" si="236"/>
        <v>1159283.5356591765</v>
      </c>
      <c r="JB78" s="26">
        <f t="shared" si="237"/>
        <v>1267920.0290733099</v>
      </c>
      <c r="JC78" s="26">
        <f t="shared" si="238"/>
        <v>-166355038038.9993</v>
      </c>
      <c r="JD78" s="26">
        <f t="shared" si="239"/>
        <v>149385.4243224641</v>
      </c>
      <c r="JE78" s="26">
        <f t="shared" si="240"/>
        <v>239450.69181428634</v>
      </c>
      <c r="JF78" s="26">
        <f t="shared" si="241"/>
        <v>334191.77387048444</v>
      </c>
      <c r="JG78" s="26">
        <f t="shared" si="242"/>
        <v>434047.60905044433</v>
      </c>
      <c r="JH78" s="26">
        <f t="shared" si="243"/>
        <v>539524.4615954468</v>
      </c>
      <c r="JI78" s="26">
        <f t="shared" si="244"/>
        <v>651182.38512474147</v>
      </c>
      <c r="JJ78" s="26">
        <f t="shared" si="245"/>
        <v>769679.23198956787</v>
      </c>
      <c r="JK78" s="26">
        <f t="shared" si="246"/>
        <v>895857.16305993113</v>
      </c>
      <c r="JL78" s="26">
        <f t="shared" si="247"/>
        <v>1030823.6565769888</v>
      </c>
      <c r="JM78" s="26">
        <f t="shared" si="248"/>
        <v>1175783.764442787</v>
      </c>
      <c r="JN78" s="26">
        <f t="shared" si="249"/>
        <v>1332374.4870550684</v>
      </c>
      <c r="JO78" s="26">
        <f t="shared" si="250"/>
        <v>1502307.7594439853</v>
      </c>
      <c r="JP78" s="26">
        <f t="shared" si="251"/>
        <v>1687528.4591426735</v>
      </c>
      <c r="JQ78" s="26">
        <f t="shared" si="252"/>
        <v>1854169.8250345355</v>
      </c>
      <c r="JR78" s="26">
        <f t="shared" si="253"/>
        <v>2077531.6147608296</v>
      </c>
      <c r="JS78" s="26">
        <f t="shared" si="254"/>
        <v>2325062.8501602034</v>
      </c>
      <c r="JT78" s="26">
        <f t="shared" si="255"/>
        <v>2599730.2403587718</v>
      </c>
      <c r="JU78" s="26">
        <f t="shared" si="256"/>
        <v>2905938.7324811192</v>
      </c>
      <c r="JV78" s="26">
        <f t="shared" si="257"/>
        <v>-166353184195.2587</v>
      </c>
      <c r="JW78" s="26">
        <f t="shared" si="258"/>
        <v>2240150.7804125594</v>
      </c>
      <c r="JX78" s="26" t="e">
        <f>AH78+$AG$38*0.004*(1+$R$28)*#REF!-S78*#REF!</f>
        <v>#REF!</v>
      </c>
      <c r="JY78" s="34">
        <f t="shared" si="259"/>
        <v>5.714077544689862E-2</v>
      </c>
      <c r="JZ78" s="4">
        <f t="shared" si="260"/>
        <v>44703.706339743629</v>
      </c>
      <c r="KA78" s="165"/>
    </row>
    <row r="79" spans="1:287" ht="15.75" x14ac:dyDescent="0.3">
      <c r="A79" s="34">
        <v>78</v>
      </c>
      <c r="B79" s="34">
        <v>51</v>
      </c>
      <c r="C79" s="2">
        <v>889166</v>
      </c>
      <c r="D79" s="1">
        <f t="shared" si="106"/>
        <v>6704</v>
      </c>
      <c r="E79" s="145">
        <f t="shared" si="107"/>
        <v>0.99246035048573611</v>
      </c>
      <c r="F79" s="146">
        <f t="shared" si="108"/>
        <v>7.5396495142638909E-3</v>
      </c>
      <c r="G79" s="158">
        <f t="shared" si="173"/>
        <v>9.4245618928298636E-3</v>
      </c>
      <c r="H79" s="43">
        <f t="shared" si="109"/>
        <v>8136.893961157858</v>
      </c>
      <c r="I79" s="43">
        <f t="shared" si="139"/>
        <v>863371.05678602913</v>
      </c>
      <c r="J79" s="43">
        <f t="shared" si="110"/>
        <v>885814</v>
      </c>
      <c r="K79" s="147">
        <f>SUM(J79:$J$138)</f>
        <v>24275580</v>
      </c>
      <c r="L79" s="147">
        <f t="shared" si="111"/>
        <v>27.301516252308343</v>
      </c>
      <c r="M79" s="43">
        <f t="shared" si="174"/>
        <v>1107267.5</v>
      </c>
      <c r="N79" s="148">
        <f t="shared" si="175"/>
        <v>30344475</v>
      </c>
      <c r="O79" s="147">
        <f t="shared" si="6"/>
        <v>34.126895315385426</v>
      </c>
      <c r="P79" s="157">
        <f t="shared" si="176"/>
        <v>149361.83689619804</v>
      </c>
      <c r="Q79" s="43">
        <f t="shared" si="177"/>
        <v>1111457.5</v>
      </c>
      <c r="R79" s="43">
        <f t="shared" si="178"/>
        <v>1383.6640011690392</v>
      </c>
      <c r="S79" s="43">
        <f>SUM(R79:$R$138)</f>
        <v>68175.46941806782</v>
      </c>
      <c r="T79" s="43">
        <f t="shared" si="112"/>
        <v>1433704.0670940205</v>
      </c>
      <c r="U79" s="153">
        <f>SUM(P79:$P$138)</f>
        <v>2435177.7612465657</v>
      </c>
      <c r="V79" s="129">
        <f t="shared" si="179"/>
        <v>1517407.6629794927</v>
      </c>
      <c r="W79" s="43">
        <f t="shared" si="180"/>
        <v>108506.0895304641</v>
      </c>
      <c r="X79" s="26">
        <f t="shared" si="114"/>
        <v>6.1446090737682573</v>
      </c>
      <c r="Y79" s="26">
        <f t="shared" si="115"/>
        <v>0.72646461629869052</v>
      </c>
      <c r="Z79" s="43">
        <f t="shared" si="181"/>
        <v>58185.053037586011</v>
      </c>
      <c r="AA79" s="149">
        <f t="shared" si="116"/>
        <v>6.6887342764971797E-2</v>
      </c>
      <c r="AB79" s="150">
        <f t="shared" si="138"/>
        <v>2285815.9243503674</v>
      </c>
      <c r="AC79" s="150">
        <f t="shared" si="117"/>
        <v>1408901.5734490284</v>
      </c>
      <c r="AD79" s="26">
        <f t="shared" si="118"/>
        <v>5.8710736900669476</v>
      </c>
      <c r="AE79" s="26">
        <f t="shared" si="182"/>
        <v>539495.95784424373</v>
      </c>
      <c r="AF79" s="43">
        <f t="shared" si="183"/>
        <v>87799.883014102175</v>
      </c>
      <c r="AG79" s="43">
        <f t="shared" si="184"/>
        <v>560864.72891113919</v>
      </c>
      <c r="AH79" s="27">
        <f t="shared" si="185"/>
        <v>95120.33156672497</v>
      </c>
      <c r="AI79" s="28">
        <f t="shared" si="186"/>
        <v>603080.35366789158</v>
      </c>
      <c r="AJ79" s="20">
        <f t="shared" si="187"/>
        <v>102279.92641583331</v>
      </c>
      <c r="AK79" s="3">
        <f t="shared" si="188"/>
        <v>8864.2602893722196</v>
      </c>
      <c r="AL79" s="3"/>
      <c r="AM79" s="46">
        <f t="shared" si="121"/>
        <v>2285815.9243503674</v>
      </c>
      <c r="AN79" s="46">
        <f t="shared" si="122"/>
        <v>2142865.0383407604</v>
      </c>
      <c r="AO79" s="46">
        <f t="shared" si="122"/>
        <v>2006123.0115572365</v>
      </c>
      <c r="AP79" s="3">
        <f t="shared" si="278"/>
        <v>1875393.3577380853</v>
      </c>
      <c r="AQ79" s="3">
        <f t="shared" si="278"/>
        <v>1750486.9936345171</v>
      </c>
      <c r="AR79" s="16">
        <f t="shared" si="278"/>
        <v>1631218.7777198723</v>
      </c>
      <c r="AS79" s="16">
        <f t="shared" si="278"/>
        <v>1517407.6629794927</v>
      </c>
      <c r="AT79" s="16">
        <f t="shared" si="278"/>
        <v>1408901.5734490284</v>
      </c>
      <c r="AU79" s="16">
        <f t="shared" si="278"/>
        <v>1305560.6997197517</v>
      </c>
      <c r="AV79" s="16">
        <f t="shared" si="278"/>
        <v>1207269.1709574449</v>
      </c>
      <c r="AW79" s="16">
        <f t="shared" si="278"/>
        <v>1113907.2760732146</v>
      </c>
      <c r="AX79" s="16">
        <f t="shared" si="278"/>
        <v>1025373.0742617993</v>
      </c>
      <c r="AY79" s="16">
        <f t="shared" si="278"/>
        <v>941559.25973365293</v>
      </c>
      <c r="AZ79" s="16">
        <f t="shared" si="278"/>
        <v>862352.93208858941</v>
      </c>
      <c r="BA79" s="16">
        <f t="shared" si="278"/>
        <v>787654.85808610427</v>
      </c>
      <c r="BB79" s="16">
        <f t="shared" si="278"/>
        <v>717357.87731688586</v>
      </c>
      <c r="BC79" s="16">
        <f t="shared" si="144"/>
        <v>651351.76418205327</v>
      </c>
      <c r="BD79" s="16">
        <f t="shared" si="18"/>
        <v>589503.97809554788</v>
      </c>
      <c r="BE79" s="16">
        <f t="shared" si="18"/>
        <v>531683.16525119205</v>
      </c>
      <c r="BF79" s="16">
        <f t="shared" si="18"/>
        <v>477758.13591450383</v>
      </c>
      <c r="BG79" s="16">
        <f t="shared" si="18"/>
        <v>427598.80903629219</v>
      </c>
      <c r="BH79" s="172">
        <f t="shared" si="123"/>
        <v>142950.88600960682</v>
      </c>
      <c r="BI79" s="16">
        <f t="shared" si="277"/>
        <v>136742.02678352417</v>
      </c>
      <c r="BJ79" s="16">
        <f t="shared" si="277"/>
        <v>130729.65381915121</v>
      </c>
      <c r="BK79" s="16">
        <f t="shared" si="277"/>
        <v>124906.36410356843</v>
      </c>
      <c r="BL79" s="16">
        <f t="shared" si="277"/>
        <v>119268.21591464471</v>
      </c>
      <c r="BM79" s="16">
        <f t="shared" si="277"/>
        <v>113811.11474037961</v>
      </c>
      <c r="BN79" s="16">
        <f t="shared" si="277"/>
        <v>108506.0895304641</v>
      </c>
      <c r="BO79" s="16">
        <f t="shared" si="277"/>
        <v>103340.87372927672</v>
      </c>
      <c r="BP79" s="16">
        <f t="shared" si="277"/>
        <v>98291.528762306916</v>
      </c>
      <c r="BQ79" s="16">
        <f t="shared" si="277"/>
        <v>93361.894884230453</v>
      </c>
      <c r="BR79" s="16">
        <f t="shared" si="277"/>
        <v>88534.201811415609</v>
      </c>
      <c r="BS79" s="16">
        <f t="shared" si="277"/>
        <v>83813.814528146351</v>
      </c>
      <c r="BT79" s="16">
        <f t="shared" si="277"/>
        <v>79206.327645063458</v>
      </c>
      <c r="BU79" s="16">
        <f t="shared" si="277"/>
        <v>74698.07400248514</v>
      </c>
      <c r="BV79" s="16">
        <f t="shared" si="277"/>
        <v>70296.980769218397</v>
      </c>
      <c r="BW79" s="16">
        <f t="shared" si="277"/>
        <v>66006.113134832645</v>
      </c>
      <c r="BX79" s="16">
        <f t="shared" si="168"/>
        <v>61847.786086505286</v>
      </c>
      <c r="BY79" s="16">
        <f t="shared" si="149"/>
        <v>57820.812844355773</v>
      </c>
      <c r="BZ79" s="16">
        <f t="shared" si="149"/>
        <v>53925.029336687992</v>
      </c>
      <c r="CA79" s="16">
        <f t="shared" si="149"/>
        <v>50159.326878211672</v>
      </c>
      <c r="CB79" s="16">
        <f t="shared" si="149"/>
        <v>46523.806569961562</v>
      </c>
      <c r="CC79" s="18">
        <f t="shared" si="124"/>
        <v>5.3753305265924327</v>
      </c>
      <c r="CD79" s="18">
        <f t="shared" si="124"/>
        <v>4.5739952088864904</v>
      </c>
      <c r="CE79" s="18">
        <f t="shared" si="124"/>
        <v>3.7383664249109305</v>
      </c>
      <c r="CF79" s="18">
        <f t="shared" si="124"/>
        <v>2.8660324662221548</v>
      </c>
      <c r="CG79" s="18">
        <f t="shared" si="124"/>
        <v>1.9542451345279579</v>
      </c>
      <c r="CH79" s="18">
        <f t="shared" si="150"/>
        <v>1.0000000000000002</v>
      </c>
      <c r="CI79" s="18">
        <f t="shared" si="150"/>
        <v>0</v>
      </c>
      <c r="CJ79" s="18">
        <f t="shared" si="150"/>
        <v>-1.0499823120783642</v>
      </c>
      <c r="CK79" s="18">
        <f t="shared" si="150"/>
        <v>-2.1552921795736744</v>
      </c>
      <c r="CL79" s="18">
        <f t="shared" si="151"/>
        <v>-3.3218958591898988</v>
      </c>
      <c r="CM79" s="18">
        <f t="shared" si="151"/>
        <v>-4.5575650838956419</v>
      </c>
      <c r="CN79" s="18">
        <f t="shared" si="151"/>
        <v>-5.8705667017751386</v>
      </c>
      <c r="CO79" s="18">
        <f t="shared" si="151"/>
        <v>-7.270232320658911</v>
      </c>
      <c r="CP79" s="18">
        <f t="shared" si="271"/>
        <v>-8.7693657385210511</v>
      </c>
      <c r="CQ79" s="18">
        <f t="shared" si="272"/>
        <v>-10.380997831032484</v>
      </c>
      <c r="CR79" s="18">
        <f t="shared" si="273"/>
        <v>-12.12084377742894</v>
      </c>
      <c r="CS79" s="18">
        <f t="shared" si="267"/>
        <v>-14.003021831470313</v>
      </c>
      <c r="CT79" s="18">
        <f t="shared" si="125"/>
        <v>-16.047918374681288</v>
      </c>
      <c r="CU79" s="18">
        <f t="shared" si="125"/>
        <v>-18.27953567857702</v>
      </c>
      <c r="CV79" s="18">
        <f t="shared" si="125"/>
        <v>-20.72694335769873</v>
      </c>
      <c r="CW79" s="18">
        <f t="shared" si="22"/>
        <v>-23.424756792081663</v>
      </c>
      <c r="CX79" s="17">
        <f t="shared" si="190"/>
        <v>1398.6228844655041</v>
      </c>
      <c r="CY79" s="17">
        <f t="shared" si="264"/>
        <v>1412.3318331385378</v>
      </c>
      <c r="CZ79" s="17">
        <f t="shared" si="264"/>
        <v>1426.812492235438</v>
      </c>
      <c r="DA79" s="17">
        <f t="shared" si="264"/>
        <v>1438.7982060767181</v>
      </c>
      <c r="DB79" s="17">
        <f t="shared" si="264"/>
        <v>1448.5800229109952</v>
      </c>
      <c r="DC79" s="17">
        <f t="shared" si="264"/>
        <v>1481.6069404855843</v>
      </c>
      <c r="DD79" s="17">
        <f t="shared" si="263"/>
        <v>1521.8813441348364</v>
      </c>
      <c r="DE79" s="17">
        <f t="shared" si="263"/>
        <v>1581.6997642331289</v>
      </c>
      <c r="DF79" s="3" t="e">
        <f>#REF!+$AG$35*0.004*(1+$R$28)*#REF!-S79*#REF!</f>
        <v>#REF!</v>
      </c>
      <c r="DG79" s="19">
        <f t="shared" si="191"/>
        <v>2408.656817507253</v>
      </c>
      <c r="DH79" s="19">
        <f t="shared" si="192"/>
        <v>2271.7934695329068</v>
      </c>
      <c r="DI79" s="19">
        <f t="shared" si="193"/>
        <v>2129.2580301654821</v>
      </c>
      <c r="DJ79" s="19">
        <f t="shared" si="194"/>
        <v>1977.3306795242238</v>
      </c>
      <c r="DK79" s="19">
        <f t="shared" si="195"/>
        <v>1815.7860746300612</v>
      </c>
      <c r="DL79" s="19">
        <f t="shared" si="196"/>
        <v>1669.5086756523774</v>
      </c>
      <c r="DM79" s="19">
        <f t="shared" si="197"/>
        <v>1521.8813441348364</v>
      </c>
      <c r="DN79" s="19">
        <f t="shared" si="198"/>
        <v>1384.4062658991631</v>
      </c>
      <c r="DO79" s="173">
        <f t="shared" si="127"/>
        <v>66791.805416898773</v>
      </c>
      <c r="DP79" s="25">
        <f t="shared" si="279"/>
        <v>65393.182532433275</v>
      </c>
      <c r="DQ79" s="26">
        <f t="shared" si="279"/>
        <v>63980.850699294751</v>
      </c>
      <c r="DR79" s="26">
        <f t="shared" si="279"/>
        <v>62554.038207059304</v>
      </c>
      <c r="DS79" s="26">
        <f t="shared" si="279"/>
        <v>61115.240000982594</v>
      </c>
      <c r="DT79" s="26">
        <f t="shared" si="279"/>
        <v>59666.659978071591</v>
      </c>
      <c r="DU79" s="26">
        <f t="shared" si="279"/>
        <v>58185.053037586011</v>
      </c>
      <c r="DV79" s="26">
        <f t="shared" si="279"/>
        <v>56663.171693451171</v>
      </c>
      <c r="DW79" s="26">
        <f t="shared" si="279"/>
        <v>55081.471929218045</v>
      </c>
      <c r="DX79" s="26">
        <f t="shared" si="279"/>
        <v>53447.84694462482</v>
      </c>
      <c r="DY79" s="26">
        <f t="shared" si="279"/>
        <v>51748.336585876787</v>
      </c>
      <c r="DZ79" s="26">
        <f t="shared" si="279"/>
        <v>49991.905999111841</v>
      </c>
      <c r="EA79" s="26">
        <f t="shared" si="279"/>
        <v>48187.938512941255</v>
      </c>
      <c r="EB79" s="26">
        <f t="shared" si="279"/>
        <v>0</v>
      </c>
      <c r="EC79" s="26">
        <f t="shared" si="279"/>
        <v>0</v>
      </c>
      <c r="ED79" s="26">
        <f t="shared" si="279"/>
        <v>0</v>
      </c>
      <c r="EE79" s="26">
        <f t="shared" si="145"/>
        <v>0</v>
      </c>
      <c r="EF79" s="26">
        <f t="shared" si="34"/>
        <v>0</v>
      </c>
      <c r="EG79" s="26">
        <f t="shared" si="34"/>
        <v>0</v>
      </c>
      <c r="EH79" s="26">
        <f t="shared" si="34"/>
        <v>0</v>
      </c>
      <c r="EI79" s="26">
        <f t="shared" si="34"/>
        <v>0</v>
      </c>
      <c r="EJ79" s="26">
        <f t="shared" si="128"/>
        <v>6.0207758199794278E-2</v>
      </c>
      <c r="EK79" s="26">
        <f t="shared" si="128"/>
        <v>5.2713343983546691E-2</v>
      </c>
      <c r="EL79" s="26">
        <f t="shared" si="270"/>
        <v>4.4334223279796421E-2</v>
      </c>
      <c r="EM79" s="26">
        <f t="shared" si="270"/>
        <v>3.4978082989035438E-2</v>
      </c>
      <c r="EN79" s="26">
        <f t="shared" si="270"/>
        <v>2.4568045567928978E-2</v>
      </c>
      <c r="EO79" s="26">
        <f t="shared" si="270"/>
        <v>1.3018121682274623E-2</v>
      </c>
      <c r="EP79" s="26">
        <f t="shared" si="270"/>
        <v>0</v>
      </c>
      <c r="EQ79" s="26">
        <f t="shared" si="270"/>
        <v>-1.4726809337046341E-2</v>
      </c>
      <c r="ER79" s="26">
        <f t="shared" si="270"/>
        <v>-3.1575265411459698E-2</v>
      </c>
      <c r="ES79" s="26">
        <f t="shared" si="270"/>
        <v>-5.0740252207127613E-2</v>
      </c>
      <c r="ET79" s="26">
        <f t="shared" si="270"/>
        <v>-7.2703162393895029E-2</v>
      </c>
      <c r="EU79" s="26">
        <f t="shared" si="270"/>
        <v>-9.7754136171940342E-2</v>
      </c>
      <c r="EV79" s="26">
        <f t="shared" si="270"/>
        <v>-0.12621610951897005</v>
      </c>
      <c r="EW79" s="26">
        <f t="shared" si="270"/>
        <v>-0.77893645605441242</v>
      </c>
      <c r="EX79" s="26">
        <f t="shared" si="270"/>
        <v>-0.8277034433186361</v>
      </c>
      <c r="EY79" s="26">
        <f t="shared" si="269"/>
        <v>-0.88151006435918555</v>
      </c>
      <c r="EZ79" s="26">
        <f t="shared" si="269"/>
        <v>-0.94077826740966475</v>
      </c>
      <c r="FA79" s="26">
        <f t="shared" si="269"/>
        <v>-1.0062994651114767</v>
      </c>
      <c r="FB79" s="26">
        <f t="shared" si="269"/>
        <v>-1.0789990057177345</v>
      </c>
      <c r="FC79" s="26">
        <f t="shared" si="269"/>
        <v>-1.1600046623205498</v>
      </c>
      <c r="FD79" s="26">
        <f t="shared" si="269"/>
        <v>-1.2506511682376742</v>
      </c>
      <c r="FE79" s="26">
        <f t="shared" si="130"/>
        <v>5.1343750667093238</v>
      </c>
      <c r="FF79" s="26">
        <f t="shared" si="130"/>
        <v>4.3675046520530758</v>
      </c>
      <c r="FG79" s="26">
        <f t="shared" si="130"/>
        <v>3.5683700725957119</v>
      </c>
      <c r="FH79" s="26">
        <f t="shared" si="130"/>
        <v>2.734731914078107</v>
      </c>
      <c r="FI79" s="26">
        <f t="shared" si="130"/>
        <v>1.8640104789523055</v>
      </c>
      <c r="FJ79" s="26">
        <f t="shared" si="157"/>
        <v>0.95338745937058156</v>
      </c>
      <c r="FK79" s="26">
        <f t="shared" si="157"/>
        <v>0</v>
      </c>
      <c r="FL79" s="26">
        <f t="shared" si="157"/>
        <v>-0.99999999999999989</v>
      </c>
      <c r="FM79" s="26">
        <f t="shared" si="157"/>
        <v>-2.0513711103138932</v>
      </c>
      <c r="FN79" s="26">
        <f t="shared" si="157"/>
        <v>-3.1596862696671835</v>
      </c>
      <c r="FO79" s="26">
        <f t="shared" si="170"/>
        <v>-4.33198121562301</v>
      </c>
      <c r="FP79" s="26">
        <f t="shared" si="158"/>
        <v>-5.5759580487585687</v>
      </c>
      <c r="FQ79" s="26">
        <f t="shared" si="158"/>
        <v>-6.9003153865384732</v>
      </c>
      <c r="FR79" s="26">
        <f t="shared" si="158"/>
        <v>-8.3167701933286224</v>
      </c>
      <c r="FS79" s="26">
        <f t="shared" si="158"/>
        <v>-9.837459426635224</v>
      </c>
      <c r="FT79" s="26">
        <f t="shared" si="274"/>
        <v>-11.476964379337193</v>
      </c>
      <c r="FU79" s="26">
        <f t="shared" si="268"/>
        <v>-13.248616437254604</v>
      </c>
      <c r="FV79" s="26">
        <f t="shared" si="131"/>
        <v>-15.171326120218437</v>
      </c>
      <c r="FW79" s="26">
        <f t="shared" si="131"/>
        <v>-17.267370068930486</v>
      </c>
      <c r="FX79" s="26">
        <f t="shared" si="39"/>
        <v>1305560.6997197517</v>
      </c>
      <c r="FY79" s="26">
        <f t="shared" si="40"/>
        <v>98291.528762306916</v>
      </c>
      <c r="FZ79" s="26">
        <f t="shared" si="132"/>
        <v>0.75904454011689093</v>
      </c>
      <c r="GA79" s="26">
        <f t="shared" si="160"/>
        <v>0.79350944316658201</v>
      </c>
      <c r="GB79" s="26">
        <f t="shared" si="132"/>
        <v>0.83000364768478052</v>
      </c>
      <c r="GC79" s="26">
        <f t="shared" si="132"/>
        <v>0.86869944785594966</v>
      </c>
      <c r="GD79" s="26">
        <f t="shared" si="132"/>
        <v>0.90976534442434676</v>
      </c>
      <c r="GE79" s="26">
        <f t="shared" si="161"/>
        <v>0.95338745937058023</v>
      </c>
      <c r="GF79" s="26">
        <f t="shared" si="161"/>
        <v>1</v>
      </c>
      <c r="GG79" s="26">
        <f t="shared" si="161"/>
        <v>1.0499823120783627</v>
      </c>
      <c r="GH79" s="26">
        <f t="shared" si="161"/>
        <v>1.1039210692597783</v>
      </c>
      <c r="GI79" s="26">
        <f t="shared" si="161"/>
        <v>1.1622095895227125</v>
      </c>
      <c r="GJ79" s="26">
        <f t="shared" si="171"/>
        <v>1.2255838682726263</v>
      </c>
      <c r="GK79" s="26">
        <f t="shared" si="162"/>
        <v>1.2946086530165692</v>
      </c>
      <c r="GL79" s="26">
        <f t="shared" si="162"/>
        <v>1.3699169341204365</v>
      </c>
      <c r="GM79" s="26">
        <f t="shared" si="162"/>
        <v>1.4525955451924262</v>
      </c>
      <c r="GN79" s="26">
        <f t="shared" si="162"/>
        <v>1.5435384043972582</v>
      </c>
      <c r="GO79" s="26">
        <f t="shared" si="275"/>
        <v>1.6438793980917419</v>
      </c>
      <c r="GP79" s="26">
        <f t="shared" si="265"/>
        <v>1.7544053942157083</v>
      </c>
      <c r="GQ79" s="26">
        <f t="shared" si="134"/>
        <v>1.8765922544628497</v>
      </c>
      <c r="GR79" s="26">
        <f t="shared" si="134"/>
        <v>2.0121656096465355</v>
      </c>
      <c r="GS79" s="26">
        <f t="shared" si="134"/>
        <v>2.1632285814743906</v>
      </c>
      <c r="GT79" s="26">
        <f t="shared" si="134"/>
        <v>2.3322702403401756</v>
      </c>
      <c r="GU79" s="26">
        <f t="shared" si="135"/>
        <v>5.3753305265924327</v>
      </c>
      <c r="GV79" s="26">
        <f t="shared" si="164"/>
        <v>4.5739952088864904</v>
      </c>
      <c r="GW79" s="26">
        <f t="shared" si="135"/>
        <v>3.7383664249109305</v>
      </c>
      <c r="GX79" s="26">
        <f t="shared" si="135"/>
        <v>2.8660324662221548</v>
      </c>
      <c r="GY79" s="26">
        <f t="shared" si="135"/>
        <v>1.9542451345279579</v>
      </c>
      <c r="GZ79" s="26">
        <f t="shared" si="165"/>
        <v>1.0000000000000002</v>
      </c>
      <c r="HA79" s="26">
        <f t="shared" si="165"/>
        <v>0</v>
      </c>
      <c r="HB79" s="26">
        <f t="shared" si="165"/>
        <v>-1.0499823120783642</v>
      </c>
      <c r="HC79" s="26">
        <f t="shared" si="165"/>
        <v>-2.1552921795736744</v>
      </c>
      <c r="HD79" s="26">
        <f t="shared" si="165"/>
        <v>-3.3218958591898988</v>
      </c>
      <c r="HE79" s="26">
        <f t="shared" si="172"/>
        <v>-4.5575650838956419</v>
      </c>
      <c r="HF79" s="26">
        <f t="shared" si="166"/>
        <v>-5.8705667017751386</v>
      </c>
      <c r="HG79" s="26">
        <f t="shared" si="166"/>
        <v>-7.270232320658911</v>
      </c>
      <c r="HH79" s="26">
        <f t="shared" si="166"/>
        <v>-8.7693657385210511</v>
      </c>
      <c r="HI79" s="26">
        <f t="shared" si="166"/>
        <v>-10.380997831032484</v>
      </c>
      <c r="HJ79" s="26">
        <f t="shared" si="276"/>
        <v>-12.12084377742894</v>
      </c>
      <c r="HK79" s="26">
        <f t="shared" si="266"/>
        <v>-14.003021831470313</v>
      </c>
      <c r="HL79" s="26">
        <f t="shared" si="137"/>
        <v>-16.047918374681288</v>
      </c>
      <c r="HM79" s="26">
        <f t="shared" si="137"/>
        <v>-18.27953567857702</v>
      </c>
      <c r="HN79" s="26">
        <f t="shared" si="137"/>
        <v>-20.72694335769873</v>
      </c>
      <c r="HO79" s="26">
        <f t="shared" si="137"/>
        <v>-23.424756792081663</v>
      </c>
      <c r="HP79" s="26">
        <f t="shared" si="199"/>
        <v>533775.95541777392</v>
      </c>
      <c r="HQ79" s="26">
        <f t="shared" si="200"/>
        <v>546688.67325880332</v>
      </c>
      <c r="HR79" s="26">
        <f t="shared" si="201"/>
        <v>560733.75332605024</v>
      </c>
      <c r="HS79" s="26">
        <f t="shared" si="202"/>
        <v>576086.18460268248</v>
      </c>
      <c r="HT79" s="26">
        <f t="shared" si="203"/>
        <v>592957.04770057602</v>
      </c>
      <c r="HU79" s="26">
        <f t="shared" si="204"/>
        <v>611582.78966487804</v>
      </c>
      <c r="HV79" s="26">
        <f t="shared" si="205"/>
        <v>632215.9078880985</v>
      </c>
      <c r="HW79" s="26">
        <f t="shared" si="206"/>
        <v>655216.85518476018</v>
      </c>
      <c r="HX79" s="26">
        <f t="shared" si="207"/>
        <v>681060.47398280934</v>
      </c>
      <c r="HY79" s="26">
        <f t="shared" si="208"/>
        <v>710301.29749359307</v>
      </c>
      <c r="HZ79" s="26">
        <f t="shared" si="209"/>
        <v>743680.26883542223</v>
      </c>
      <c r="IA79" s="26">
        <f t="shared" si="210"/>
        <v>782001.76743117545</v>
      </c>
      <c r="IB79" s="26">
        <f t="shared" si="211"/>
        <v>826185.91825050896</v>
      </c>
      <c r="IC79" s="26">
        <f t="shared" si="212"/>
        <v>841979.50115488051</v>
      </c>
      <c r="ID79" s="26">
        <f t="shared" si="213"/>
        <v>901133.66794179671</v>
      </c>
      <c r="IE79" s="26">
        <f t="shared" si="214"/>
        <v>970398.74101069849</v>
      </c>
      <c r="IF79" s="26">
        <f t="shared" si="215"/>
        <v>1051218.546668835</v>
      </c>
      <c r="IG79" s="26">
        <f t="shared" si="216"/>
        <v>1145729.0139067061</v>
      </c>
      <c r="IH79" s="26">
        <f t="shared" si="217"/>
        <v>1256467.4517414346</v>
      </c>
      <c r="II79" s="26">
        <f t="shared" si="218"/>
        <v>-149663304817.74228</v>
      </c>
      <c r="IJ79" s="26">
        <f t="shared" si="219"/>
        <v>554024.9582470404</v>
      </c>
      <c r="IK79" s="26">
        <f t="shared" si="220"/>
        <v>566496.22880469158</v>
      </c>
      <c r="IL79" s="26">
        <f t="shared" si="221"/>
        <v>580176.13049679948</v>
      </c>
      <c r="IM79" s="26">
        <f t="shared" si="222"/>
        <v>595249.67547099548</v>
      </c>
      <c r="IN79" s="26">
        <f t="shared" si="223"/>
        <v>611939.48363590392</v>
      </c>
      <c r="IO79" s="26">
        <f t="shared" si="224"/>
        <v>630494.88331874378</v>
      </c>
      <c r="IP79" s="26">
        <f t="shared" si="225"/>
        <v>651182.38512474147</v>
      </c>
      <c r="IQ79" s="26">
        <f t="shared" si="226"/>
        <v>674380.14561683335</v>
      </c>
      <c r="IR79" s="26">
        <f t="shared" si="227"/>
        <v>700584.77651839331</v>
      </c>
      <c r="IS79" s="26">
        <f t="shared" si="228"/>
        <v>730376.10970935447</v>
      </c>
      <c r="IT79" s="26">
        <f t="shared" si="229"/>
        <v>764526.94843472762</v>
      </c>
      <c r="IU79" s="26">
        <f t="shared" si="230"/>
        <v>803877.2825796539</v>
      </c>
      <c r="IV79" s="26">
        <f t="shared" si="231"/>
        <v>849388.25205214892</v>
      </c>
      <c r="IW79" s="26">
        <f t="shared" si="232"/>
        <v>865794.35623611731</v>
      </c>
      <c r="IX79" s="26">
        <f t="shared" si="233"/>
        <v>927017.89856587781</v>
      </c>
      <c r="IY79" s="26">
        <f t="shared" si="234"/>
        <v>998833.68976632808</v>
      </c>
      <c r="IZ79" s="26">
        <f t="shared" si="235"/>
        <v>1082755.1030689001</v>
      </c>
      <c r="JA79" s="26">
        <f t="shared" si="236"/>
        <v>1181012.7971842785</v>
      </c>
      <c r="JB79" s="26">
        <f t="shared" si="237"/>
        <v>1296256.9428356008</v>
      </c>
      <c r="JC79" s="26">
        <f t="shared" si="238"/>
        <v>-154153200367.23105</v>
      </c>
      <c r="JD79" s="26">
        <f t="shared" si="239"/>
        <v>148993.25146723952</v>
      </c>
      <c r="JE79" s="26">
        <f t="shared" si="240"/>
        <v>238947.28317611292</v>
      </c>
      <c r="JF79" s="26">
        <f t="shared" si="241"/>
        <v>333645.31579243584</v>
      </c>
      <c r="JG79" s="26">
        <f t="shared" si="242"/>
        <v>433560.81797235191</v>
      </c>
      <c r="JH79" s="26">
        <f t="shared" si="243"/>
        <v>539217.35497190268</v>
      </c>
      <c r="JI79" s="26">
        <f t="shared" si="244"/>
        <v>651182.38512474147</v>
      </c>
      <c r="JJ79" s="26">
        <f t="shared" si="245"/>
        <v>770219.93587124802</v>
      </c>
      <c r="JK79" s="26">
        <f t="shared" si="246"/>
        <v>897314.51953515434</v>
      </c>
      <c r="JL79" s="26">
        <f t="shared" si="247"/>
        <v>1033590.5531618146</v>
      </c>
      <c r="JM79" s="26">
        <f t="shared" si="248"/>
        <v>1180530.2245725854</v>
      </c>
      <c r="JN79" s="26">
        <f t="shared" si="249"/>
        <v>1339728.1011129557</v>
      </c>
      <c r="JO79" s="26">
        <f t="shared" si="250"/>
        <v>1512997.088789213</v>
      </c>
      <c r="JP79" s="26">
        <f t="shared" si="251"/>
        <v>1666240.3860177898</v>
      </c>
      <c r="JQ79" s="26">
        <f t="shared" si="252"/>
        <v>1874569.7223564414</v>
      </c>
      <c r="JR79" s="26">
        <f t="shared" si="253"/>
        <v>2105194.3512482308</v>
      </c>
      <c r="JS79" s="26">
        <f t="shared" si="254"/>
        <v>2360916.3252323666</v>
      </c>
      <c r="JT79" s="26">
        <f t="shared" si="255"/>
        <v>2645827.1215370419</v>
      </c>
      <c r="JU79" s="26">
        <f t="shared" si="256"/>
        <v>2964767.7789040082</v>
      </c>
      <c r="JV79" s="26">
        <f t="shared" si="257"/>
        <v>-154151308463.07117</v>
      </c>
      <c r="JW79" s="26">
        <f t="shared" si="258"/>
        <v>2287147.1535743326</v>
      </c>
      <c r="JX79" s="26" t="e">
        <f>AH79+$AG$38*0.004*(1+$R$28)*#REF!-S79*#REF!</f>
        <v>#REF!</v>
      </c>
      <c r="JY79" s="34">
        <f t="shared" si="259"/>
        <v>5.7539649514263894E-2</v>
      </c>
      <c r="JZ79" s="4">
        <f t="shared" si="260"/>
        <v>44511.952189642354</v>
      </c>
      <c r="KA79" s="165"/>
    </row>
    <row r="80" spans="1:287" ht="15.75" x14ac:dyDescent="0.3">
      <c r="A80" s="34">
        <v>79</v>
      </c>
      <c r="B80" s="34">
        <v>52</v>
      </c>
      <c r="C80" s="2">
        <v>882462</v>
      </c>
      <c r="D80" s="1">
        <f t="shared" si="106"/>
        <v>7027</v>
      </c>
      <c r="E80" s="145">
        <f t="shared" si="107"/>
        <v>0.99203705088717697</v>
      </c>
      <c r="F80" s="146">
        <f t="shared" si="108"/>
        <v>7.9629491128230256E-3</v>
      </c>
      <c r="G80" s="158">
        <f t="shared" si="173"/>
        <v>9.9536863910287821E-3</v>
      </c>
      <c r="H80" s="43">
        <f t="shared" si="109"/>
        <v>8512.7326476528142</v>
      </c>
      <c r="I80" s="43">
        <f t="shared" si="139"/>
        <v>855234.16282487125</v>
      </c>
      <c r="J80" s="43">
        <f t="shared" si="110"/>
        <v>878948.5</v>
      </c>
      <c r="K80" s="147">
        <f>SUM(J80:$J$138)</f>
        <v>23389766</v>
      </c>
      <c r="L80" s="147">
        <f t="shared" si="111"/>
        <v>26.505125433163126</v>
      </c>
      <c r="M80" s="43">
        <f t="shared" si="174"/>
        <v>1098685.625</v>
      </c>
      <c r="N80" s="148">
        <f t="shared" si="175"/>
        <v>29237207.5</v>
      </c>
      <c r="O80" s="147">
        <f t="shared" si="6"/>
        <v>33.131406791453905</v>
      </c>
      <c r="P80" s="157">
        <f t="shared" si="176"/>
        <v>142950.88600960682</v>
      </c>
      <c r="Q80" s="43">
        <f t="shared" si="177"/>
        <v>1103077.5</v>
      </c>
      <c r="R80" s="43">
        <f t="shared" si="178"/>
        <v>1398.6228844655041</v>
      </c>
      <c r="S80" s="43">
        <f>SUM(R80:$R$138)</f>
        <v>66791.805416898773</v>
      </c>
      <c r="T80" s="43">
        <f t="shared" si="112"/>
        <v>1365528.5976759531</v>
      </c>
      <c r="U80" s="153">
        <f>SUM(P80:$P$138)</f>
        <v>2285815.9243503674</v>
      </c>
      <c r="V80" s="129">
        <f t="shared" si="179"/>
        <v>1408901.5734490284</v>
      </c>
      <c r="W80" s="43">
        <f t="shared" si="180"/>
        <v>103340.87372927672</v>
      </c>
      <c r="X80" s="26">
        <f t="shared" si="114"/>
        <v>6.1343750667093246</v>
      </c>
      <c r="Y80" s="26">
        <f t="shared" si="115"/>
        <v>0.72291173992675939</v>
      </c>
      <c r="Z80" s="43">
        <f t="shared" si="181"/>
        <v>56663.171693451171</v>
      </c>
      <c r="AA80" s="149">
        <f t="shared" si="116"/>
        <v>7.0853941561208097E-2</v>
      </c>
      <c r="AB80" s="150">
        <f t="shared" si="138"/>
        <v>2142865.0383407604</v>
      </c>
      <c r="AC80" s="150">
        <f t="shared" si="117"/>
        <v>1305560.6997197517</v>
      </c>
      <c r="AD80" s="26">
        <f t="shared" si="118"/>
        <v>5.8572868066360835</v>
      </c>
      <c r="AE80" s="26">
        <f t="shared" si="182"/>
        <v>540896.48407098372</v>
      </c>
      <c r="AF80" s="43">
        <f t="shared" si="183"/>
        <v>88174.667865742013</v>
      </c>
      <c r="AG80" s="43">
        <f t="shared" si="184"/>
        <v>562298.63701647392</v>
      </c>
      <c r="AH80" s="27">
        <f t="shared" si="185"/>
        <v>95506.359963914001</v>
      </c>
      <c r="AI80" s="28">
        <f t="shared" si="186"/>
        <v>604622.19034029462</v>
      </c>
      <c r="AJ80" s="20">
        <f t="shared" si="187"/>
        <v>102695.01071388603</v>
      </c>
      <c r="AK80" s="3">
        <f t="shared" si="188"/>
        <v>8900.2342618701223</v>
      </c>
      <c r="AL80" s="3"/>
      <c r="AM80" s="46">
        <f t="shared" si="121"/>
        <v>2142865.0383407604</v>
      </c>
      <c r="AN80" s="46">
        <f t="shared" si="122"/>
        <v>2006123.0115572365</v>
      </c>
      <c r="AO80" s="46">
        <f t="shared" si="122"/>
        <v>1875393.3577380853</v>
      </c>
      <c r="AP80" s="3">
        <f t="shared" si="278"/>
        <v>1750486.9936345171</v>
      </c>
      <c r="AQ80" s="3">
        <f t="shared" si="278"/>
        <v>1631218.7777198723</v>
      </c>
      <c r="AR80" s="16">
        <f t="shared" si="278"/>
        <v>1517407.6629794927</v>
      </c>
      <c r="AS80" s="16">
        <f t="shared" si="278"/>
        <v>1408901.5734490284</v>
      </c>
      <c r="AT80" s="16">
        <f t="shared" si="278"/>
        <v>1305560.6997197517</v>
      </c>
      <c r="AU80" s="16">
        <f t="shared" si="278"/>
        <v>1207269.1709574449</v>
      </c>
      <c r="AV80" s="16">
        <f t="shared" si="278"/>
        <v>1113907.2760732146</v>
      </c>
      <c r="AW80" s="16">
        <f t="shared" si="278"/>
        <v>1025373.0742617993</v>
      </c>
      <c r="AX80" s="16">
        <f t="shared" si="278"/>
        <v>941559.25973365293</v>
      </c>
      <c r="AY80" s="16">
        <f t="shared" si="278"/>
        <v>862352.93208858941</v>
      </c>
      <c r="AZ80" s="16">
        <f t="shared" si="278"/>
        <v>787654.85808610427</v>
      </c>
      <c r="BA80" s="16">
        <f t="shared" si="278"/>
        <v>717357.87731688586</v>
      </c>
      <c r="BB80" s="16">
        <f t="shared" si="278"/>
        <v>651351.76418205327</v>
      </c>
      <c r="BC80" s="16">
        <f t="shared" si="144"/>
        <v>589503.97809554788</v>
      </c>
      <c r="BD80" s="16">
        <f t="shared" si="18"/>
        <v>531683.16525119205</v>
      </c>
      <c r="BE80" s="16">
        <f t="shared" si="18"/>
        <v>477758.13591450383</v>
      </c>
      <c r="BF80" s="16">
        <f t="shared" si="18"/>
        <v>427598.80903629219</v>
      </c>
      <c r="BG80" s="16">
        <f t="shared" si="18"/>
        <v>381075.0024663306</v>
      </c>
      <c r="BH80" s="172">
        <f t="shared" si="123"/>
        <v>136742.02678352417</v>
      </c>
      <c r="BI80" s="16">
        <f t="shared" si="277"/>
        <v>130729.65381915121</v>
      </c>
      <c r="BJ80" s="16">
        <f t="shared" si="277"/>
        <v>124906.36410356843</v>
      </c>
      <c r="BK80" s="16">
        <f t="shared" si="277"/>
        <v>119268.21591464471</v>
      </c>
      <c r="BL80" s="16">
        <f t="shared" si="277"/>
        <v>113811.11474037961</v>
      </c>
      <c r="BM80" s="16">
        <f t="shared" si="277"/>
        <v>108506.0895304641</v>
      </c>
      <c r="BN80" s="16">
        <f t="shared" si="277"/>
        <v>103340.87372927672</v>
      </c>
      <c r="BO80" s="16">
        <f t="shared" si="277"/>
        <v>98291.528762306916</v>
      </c>
      <c r="BP80" s="16">
        <f t="shared" si="277"/>
        <v>93361.894884230453</v>
      </c>
      <c r="BQ80" s="16">
        <f t="shared" si="277"/>
        <v>88534.201811415609</v>
      </c>
      <c r="BR80" s="16">
        <f t="shared" si="277"/>
        <v>83813.814528146351</v>
      </c>
      <c r="BS80" s="16">
        <f t="shared" si="277"/>
        <v>79206.327645063458</v>
      </c>
      <c r="BT80" s="16">
        <f t="shared" si="277"/>
        <v>74698.07400248514</v>
      </c>
      <c r="BU80" s="16">
        <f t="shared" si="277"/>
        <v>70296.980769218397</v>
      </c>
      <c r="BV80" s="16">
        <f t="shared" si="277"/>
        <v>66006.113134832645</v>
      </c>
      <c r="BW80" s="16">
        <f t="shared" si="277"/>
        <v>61847.786086505286</v>
      </c>
      <c r="BX80" s="16">
        <f t="shared" si="168"/>
        <v>57820.812844355773</v>
      </c>
      <c r="BY80" s="16">
        <f t="shared" si="149"/>
        <v>53925.029336687992</v>
      </c>
      <c r="BZ80" s="16">
        <f t="shared" si="149"/>
        <v>50159.326878211672</v>
      </c>
      <c r="CA80" s="16">
        <f t="shared" si="149"/>
        <v>46523.806569961562</v>
      </c>
      <c r="CB80" s="16">
        <f t="shared" si="149"/>
        <v>43020.8836995335</v>
      </c>
      <c r="CC80" s="18">
        <f t="shared" si="124"/>
        <v>5.367504652053074</v>
      </c>
      <c r="CD80" s="18">
        <f t="shared" si="124"/>
        <v>4.5683700725957124</v>
      </c>
      <c r="CE80" s="18">
        <f t="shared" si="124"/>
        <v>3.7347319140781057</v>
      </c>
      <c r="CF80" s="18">
        <f t="shared" si="124"/>
        <v>2.8640104789523062</v>
      </c>
      <c r="CG80" s="18">
        <f t="shared" si="124"/>
        <v>1.9533874593705818</v>
      </c>
      <c r="CH80" s="18">
        <f t="shared" si="150"/>
        <v>1.0000000000000016</v>
      </c>
      <c r="CI80" s="18">
        <f t="shared" si="150"/>
        <v>0</v>
      </c>
      <c r="CJ80" s="18">
        <f t="shared" si="150"/>
        <v>-1.0513711103138943</v>
      </c>
      <c r="CK80" s="18">
        <f t="shared" si="150"/>
        <v>-2.1596862696671848</v>
      </c>
      <c r="CL80" s="18">
        <f t="shared" si="151"/>
        <v>-3.331981215623014</v>
      </c>
      <c r="CM80" s="18">
        <f t="shared" si="151"/>
        <v>-4.5759580487585678</v>
      </c>
      <c r="CN80" s="18">
        <f t="shared" si="151"/>
        <v>-5.9003153865384723</v>
      </c>
      <c r="CO80" s="18">
        <f t="shared" si="151"/>
        <v>-7.3167701933286233</v>
      </c>
      <c r="CP80" s="18">
        <f t="shared" si="271"/>
        <v>-8.837459426635224</v>
      </c>
      <c r="CQ80" s="18">
        <f t="shared" si="272"/>
        <v>-10.476964379337195</v>
      </c>
      <c r="CR80" s="18">
        <f t="shared" si="273"/>
        <v>-12.248616437254602</v>
      </c>
      <c r="CS80" s="18">
        <f t="shared" si="267"/>
        <v>-14.171326120218435</v>
      </c>
      <c r="CT80" s="18">
        <f t="shared" si="125"/>
        <v>-16.267370068930482</v>
      </c>
      <c r="CU80" s="18">
        <f t="shared" si="125"/>
        <v>-18.563714776224337</v>
      </c>
      <c r="CV80" s="18">
        <f t="shared" si="125"/>
        <v>-21.092486551741484</v>
      </c>
      <c r="CW80" s="18">
        <f t="shared" si="22"/>
        <v>-23.891340265375423</v>
      </c>
      <c r="CX80" s="17">
        <f t="shared" si="190"/>
        <v>1412.3318331385378</v>
      </c>
      <c r="CY80" s="17">
        <f t="shared" si="264"/>
        <v>1426.812492235438</v>
      </c>
      <c r="CZ80" s="17">
        <f t="shared" si="264"/>
        <v>1438.7982060767181</v>
      </c>
      <c r="DA80" s="17">
        <f t="shared" si="264"/>
        <v>1448.5800229109952</v>
      </c>
      <c r="DB80" s="17">
        <f t="shared" si="264"/>
        <v>1481.6069404855843</v>
      </c>
      <c r="DC80" s="17">
        <f t="shared" si="264"/>
        <v>1521.8813441348364</v>
      </c>
      <c r="DD80" s="17">
        <f t="shared" si="263"/>
        <v>1581.6997642331289</v>
      </c>
      <c r="DE80" s="17">
        <f t="shared" si="263"/>
        <v>1633.6249845932373</v>
      </c>
      <c r="DF80" s="3" t="e">
        <f>#REF!+$AG$35*0.004*(1+$R$28)*#REF!-S80*#REF!</f>
        <v>#REF!</v>
      </c>
      <c r="DG80" s="19">
        <f t="shared" si="191"/>
        <v>2426.2385600584116</v>
      </c>
      <c r="DH80" s="19">
        <f t="shared" si="192"/>
        <v>2289.7649157405613</v>
      </c>
      <c r="DI80" s="19">
        <f t="shared" si="193"/>
        <v>2144.2786958752176</v>
      </c>
      <c r="DJ80" s="19">
        <f t="shared" si="194"/>
        <v>1989.5836510062279</v>
      </c>
      <c r="DK80" s="19">
        <f t="shared" si="195"/>
        <v>1850.596408352965</v>
      </c>
      <c r="DL80" s="19">
        <f t="shared" si="196"/>
        <v>1710.7785678255611</v>
      </c>
      <c r="DM80" s="19">
        <f t="shared" si="197"/>
        <v>1581.6997642331289</v>
      </c>
      <c r="DN80" s="19">
        <f t="shared" si="198"/>
        <v>1435.0239007863083</v>
      </c>
      <c r="DO80" s="173">
        <f t="shared" si="127"/>
        <v>65393.182532433275</v>
      </c>
      <c r="DP80" s="25">
        <f t="shared" si="279"/>
        <v>63980.850699294751</v>
      </c>
      <c r="DQ80" s="26">
        <f t="shared" si="279"/>
        <v>62554.038207059304</v>
      </c>
      <c r="DR80" s="26">
        <f t="shared" si="279"/>
        <v>61115.240000982594</v>
      </c>
      <c r="DS80" s="26">
        <f t="shared" si="279"/>
        <v>59666.659978071591</v>
      </c>
      <c r="DT80" s="26">
        <f t="shared" si="279"/>
        <v>58185.053037586011</v>
      </c>
      <c r="DU80" s="26">
        <f t="shared" si="279"/>
        <v>56663.171693451171</v>
      </c>
      <c r="DV80" s="26">
        <f t="shared" si="279"/>
        <v>55081.471929218045</v>
      </c>
      <c r="DW80" s="26">
        <f t="shared" si="279"/>
        <v>53447.84694462482</v>
      </c>
      <c r="DX80" s="26">
        <f t="shared" si="279"/>
        <v>51748.336585876787</v>
      </c>
      <c r="DY80" s="26">
        <f t="shared" si="279"/>
        <v>49991.905999111841</v>
      </c>
      <c r="DZ80" s="26">
        <f t="shared" si="279"/>
        <v>48187.938512941255</v>
      </c>
      <c r="EA80" s="26">
        <f t="shared" si="279"/>
        <v>0</v>
      </c>
      <c r="EB80" s="26">
        <f t="shared" si="279"/>
        <v>0</v>
      </c>
      <c r="EC80" s="26">
        <f t="shared" si="279"/>
        <v>0</v>
      </c>
      <c r="ED80" s="26">
        <f t="shared" si="279"/>
        <v>0</v>
      </c>
      <c r="EE80" s="26">
        <f t="shared" si="145"/>
        <v>0</v>
      </c>
      <c r="EF80" s="26">
        <f t="shared" si="34"/>
        <v>0</v>
      </c>
      <c r="EG80" s="26">
        <f t="shared" si="34"/>
        <v>0</v>
      </c>
      <c r="EH80" s="26">
        <f t="shared" si="34"/>
        <v>0</v>
      </c>
      <c r="EI80" s="26">
        <f t="shared" si="34"/>
        <v>0</v>
      </c>
      <c r="EJ80" s="26">
        <f t="shared" si="128"/>
        <v>6.3842924112881214E-2</v>
      </c>
      <c r="EK80" s="26">
        <f t="shared" si="128"/>
        <v>5.5975662690629556E-2</v>
      </c>
      <c r="EL80" s="26">
        <f t="shared" si="270"/>
        <v>4.7162260753372112E-2</v>
      </c>
      <c r="EM80" s="26">
        <f t="shared" si="270"/>
        <v>3.7328204110285194E-2</v>
      </c>
      <c r="EN80" s="26">
        <f t="shared" si="270"/>
        <v>2.6390113931067556E-2</v>
      </c>
      <c r="EO80" s="26">
        <f t="shared" si="270"/>
        <v>1.4025768974998928E-2</v>
      </c>
      <c r="EP80" s="26">
        <f t="shared" si="270"/>
        <v>0</v>
      </c>
      <c r="EQ80" s="26">
        <f t="shared" si="270"/>
        <v>-1.6091923527388256E-2</v>
      </c>
      <c r="ER80" s="26">
        <f t="shared" si="270"/>
        <v>-3.4439369003953717E-2</v>
      </c>
      <c r="ES80" s="26">
        <f t="shared" si="270"/>
        <v>-5.5513406198017652E-2</v>
      </c>
      <c r="ET80" s="26">
        <f t="shared" si="270"/>
        <v>-7.9596254291695395E-2</v>
      </c>
      <c r="EU80" s="26">
        <f t="shared" si="270"/>
        <v>-0.107001971086058</v>
      </c>
      <c r="EV80" s="26">
        <f t="shared" si="270"/>
        <v>-0.75856268652343084</v>
      </c>
      <c r="EW80" s="26">
        <f t="shared" si="270"/>
        <v>-0.80605413025452166</v>
      </c>
      <c r="EX80" s="26">
        <f t="shared" si="270"/>
        <v>-0.85845339169879054</v>
      </c>
      <c r="EY80" s="26">
        <f t="shared" si="269"/>
        <v>-0.91617138266190323</v>
      </c>
      <c r="EZ80" s="26">
        <f t="shared" si="269"/>
        <v>-0.97997881569010825</v>
      </c>
      <c r="FA80" s="26">
        <f t="shared" si="269"/>
        <v>-1.0507768357373943</v>
      </c>
      <c r="FB80" s="26">
        <f t="shared" si="269"/>
        <v>-1.1296637179966753</v>
      </c>
      <c r="FC80" s="26">
        <f t="shared" si="269"/>
        <v>-1.2179392846593977</v>
      </c>
      <c r="FD80" s="26">
        <f t="shared" si="269"/>
        <v>-1.3171085022148348</v>
      </c>
      <c r="FE80" s="26">
        <f t="shared" si="130"/>
        <v>5.1232406621158439</v>
      </c>
      <c r="FF80" s="26">
        <f t="shared" si="130"/>
        <v>4.3588630534173118</v>
      </c>
      <c r="FG80" s="26">
        <f t="shared" si="130"/>
        <v>3.5620786587450937</v>
      </c>
      <c r="FH80" s="26">
        <f t="shared" si="130"/>
        <v>2.7304682601539079</v>
      </c>
      <c r="FI80" s="26">
        <f t="shared" si="130"/>
        <v>1.8613908118112714</v>
      </c>
      <c r="FJ80" s="26">
        <f t="shared" si="157"/>
        <v>0.9523969961175569</v>
      </c>
      <c r="FK80" s="26">
        <f t="shared" si="157"/>
        <v>0</v>
      </c>
      <c r="FL80" s="26">
        <f t="shared" si="157"/>
        <v>-0.99999999999999867</v>
      </c>
      <c r="FM80" s="26">
        <f t="shared" si="157"/>
        <v>-2.0528013477467333</v>
      </c>
      <c r="FN80" s="26">
        <f t="shared" si="157"/>
        <v>-3.1647388209900251</v>
      </c>
      <c r="FO80" s="26">
        <f t="shared" si="170"/>
        <v>-4.3429766564777914</v>
      </c>
      <c r="FP80" s="26">
        <f t="shared" si="158"/>
        <v>-5.5956106135515959</v>
      </c>
      <c r="FQ80" s="26">
        <f t="shared" si="158"/>
        <v>-6.9333225595136119</v>
      </c>
      <c r="FR80" s="26">
        <f t="shared" si="158"/>
        <v>-8.3673980868951876</v>
      </c>
      <c r="FS80" s="26">
        <f t="shared" si="158"/>
        <v>-9.9113385786150818</v>
      </c>
      <c r="FT80" s="26">
        <f t="shared" si="274"/>
        <v>-11.577726009831125</v>
      </c>
      <c r="FU80" s="26">
        <f t="shared" si="268"/>
        <v>-13.384065294130544</v>
      </c>
      <c r="FV80" s="26">
        <f t="shared" si="131"/>
        <v>-15.350989586612073</v>
      </c>
      <c r="FW80" s="26">
        <f t="shared" si="131"/>
        <v>-17.503462373312484</v>
      </c>
      <c r="FX80" s="26">
        <f t="shared" si="39"/>
        <v>1207269.1709574449</v>
      </c>
      <c r="FY80" s="26">
        <f t="shared" si="40"/>
        <v>93361.894884230453</v>
      </c>
      <c r="FZ80" s="26">
        <f t="shared" si="132"/>
        <v>0.75573601006276803</v>
      </c>
      <c r="GA80" s="26">
        <f t="shared" si="160"/>
        <v>0.79049298082160013</v>
      </c>
      <c r="GB80" s="26">
        <f t="shared" si="132"/>
        <v>0.82734674466698688</v>
      </c>
      <c r="GC80" s="26">
        <f t="shared" si="132"/>
        <v>0.86645778120160255</v>
      </c>
      <c r="GD80" s="26">
        <f t="shared" si="132"/>
        <v>0.90800335244069008</v>
      </c>
      <c r="GE80" s="26">
        <f t="shared" si="161"/>
        <v>0.95239699611755702</v>
      </c>
      <c r="GF80" s="26">
        <f t="shared" si="161"/>
        <v>1</v>
      </c>
      <c r="GG80" s="26">
        <f t="shared" si="161"/>
        <v>1.0513711103138945</v>
      </c>
      <c r="GH80" s="26">
        <f t="shared" si="161"/>
        <v>1.1068849219204504</v>
      </c>
      <c r="GI80" s="26">
        <f t="shared" si="161"/>
        <v>1.1672423946329851</v>
      </c>
      <c r="GJ80" s="26">
        <f t="shared" si="171"/>
        <v>1.2329813922807771</v>
      </c>
      <c r="GK80" s="26">
        <f t="shared" si="162"/>
        <v>1.304704772986877</v>
      </c>
      <c r="GL80" s="26">
        <f t="shared" si="162"/>
        <v>1.3834476338150119</v>
      </c>
      <c r="GM80" s="26">
        <f t="shared" si="162"/>
        <v>1.4700613397400357</v>
      </c>
      <c r="GN80" s="26">
        <f t="shared" si="162"/>
        <v>1.5656258007221127</v>
      </c>
      <c r="GO80" s="26">
        <f t="shared" si="275"/>
        <v>1.670890427423479</v>
      </c>
      <c r="GP80" s="26">
        <f t="shared" si="265"/>
        <v>1.7872608260878924</v>
      </c>
      <c r="GQ80" s="26">
        <f t="shared" si="134"/>
        <v>1.9163804823184132</v>
      </c>
      <c r="GR80" s="26">
        <f t="shared" si="134"/>
        <v>2.0602524029118534</v>
      </c>
      <c r="GS80" s="26">
        <f t="shared" si="134"/>
        <v>2.2212471710343564</v>
      </c>
      <c r="GT80" s="26">
        <f t="shared" si="134"/>
        <v>2.4021095068857754</v>
      </c>
      <c r="GU80" s="26">
        <f t="shared" si="135"/>
        <v>5.367504652053074</v>
      </c>
      <c r="GV80" s="26">
        <f t="shared" si="164"/>
        <v>4.5683700725957124</v>
      </c>
      <c r="GW80" s="26">
        <f t="shared" si="135"/>
        <v>3.7347319140781057</v>
      </c>
      <c r="GX80" s="26">
        <f t="shared" si="135"/>
        <v>2.8640104789523062</v>
      </c>
      <c r="GY80" s="26">
        <f t="shared" si="135"/>
        <v>1.9533874593705818</v>
      </c>
      <c r="GZ80" s="26">
        <f t="shared" si="165"/>
        <v>1.0000000000000016</v>
      </c>
      <c r="HA80" s="26">
        <f t="shared" si="165"/>
        <v>0</v>
      </c>
      <c r="HB80" s="26">
        <f t="shared" si="165"/>
        <v>-1.0513711103138943</v>
      </c>
      <c r="HC80" s="26">
        <f t="shared" si="165"/>
        <v>-2.1596862696671848</v>
      </c>
      <c r="HD80" s="26">
        <f t="shared" si="165"/>
        <v>-3.331981215623014</v>
      </c>
      <c r="HE80" s="26">
        <f t="shared" si="172"/>
        <v>-4.5759580487585678</v>
      </c>
      <c r="HF80" s="26">
        <f t="shared" si="166"/>
        <v>-5.9003153865384723</v>
      </c>
      <c r="HG80" s="26">
        <f t="shared" si="166"/>
        <v>-7.3167701933286233</v>
      </c>
      <c r="HH80" s="26">
        <f t="shared" si="166"/>
        <v>-8.837459426635224</v>
      </c>
      <c r="HI80" s="26">
        <f t="shared" si="166"/>
        <v>-10.476964379337195</v>
      </c>
      <c r="HJ80" s="26">
        <f t="shared" si="276"/>
        <v>-12.248616437254602</v>
      </c>
      <c r="HK80" s="26">
        <f t="shared" si="266"/>
        <v>-14.171326120218435</v>
      </c>
      <c r="HL80" s="26">
        <f t="shared" si="137"/>
        <v>-16.267370068930482</v>
      </c>
      <c r="HM80" s="26">
        <f t="shared" si="137"/>
        <v>-18.563714776224337</v>
      </c>
      <c r="HN80" s="26">
        <f t="shared" si="137"/>
        <v>-21.092486551741484</v>
      </c>
      <c r="HO80" s="26">
        <f t="shared" si="137"/>
        <v>-23.891340265375423</v>
      </c>
      <c r="HP80" s="26">
        <f t="shared" si="199"/>
        <v>534881.4294587943</v>
      </c>
      <c r="HQ80" s="26">
        <f t="shared" si="200"/>
        <v>547520.49591910723</v>
      </c>
      <c r="HR80" s="26">
        <f t="shared" si="201"/>
        <v>561312.48957152071</v>
      </c>
      <c r="HS80" s="26">
        <f t="shared" si="202"/>
        <v>576452.67695109558</v>
      </c>
      <c r="HT80" s="26">
        <f t="shared" si="203"/>
        <v>593159.80301537353</v>
      </c>
      <c r="HU80" s="26">
        <f t="shared" si="204"/>
        <v>611640.54529480077</v>
      </c>
      <c r="HV80" s="26">
        <f t="shared" si="205"/>
        <v>632215.9078880985</v>
      </c>
      <c r="HW80" s="26">
        <f t="shared" si="206"/>
        <v>655297.81486625411</v>
      </c>
      <c r="HX80" s="26">
        <f t="shared" si="207"/>
        <v>681400.02610377071</v>
      </c>
      <c r="HY80" s="26">
        <f t="shared" si="208"/>
        <v>711183.84411336097</v>
      </c>
      <c r="HZ80" s="26">
        <f t="shared" si="209"/>
        <v>745393.64581900963</v>
      </c>
      <c r="IA80" s="26">
        <f t="shared" si="210"/>
        <v>784881.93546795845</v>
      </c>
      <c r="IB80" s="26">
        <f t="shared" si="211"/>
        <v>795276.3660624777</v>
      </c>
      <c r="IC80" s="26">
        <f t="shared" si="212"/>
        <v>848231.08282594138</v>
      </c>
      <c r="ID80" s="26">
        <f t="shared" si="213"/>
        <v>910372.25204366865</v>
      </c>
      <c r="IE80" s="26">
        <f t="shared" si="214"/>
        <v>983059.21728030557</v>
      </c>
      <c r="IF80" s="26">
        <f t="shared" si="215"/>
        <v>1068265.1741895596</v>
      </c>
      <c r="IG80" s="26">
        <f t="shared" si="216"/>
        <v>1168336.4513349552</v>
      </c>
      <c r="IH80" s="26">
        <f t="shared" si="217"/>
        <v>1286140.2483977475</v>
      </c>
      <c r="II80" s="26">
        <f t="shared" si="218"/>
        <v>-138395689892.22726</v>
      </c>
      <c r="IJ80" s="26">
        <f t="shared" si="219"/>
        <v>555157.42977298587</v>
      </c>
      <c r="IK80" s="26">
        <f t="shared" si="220"/>
        <v>567348.8163173591</v>
      </c>
      <c r="IL80" s="26">
        <f t="shared" si="221"/>
        <v>580769.68126143538</v>
      </c>
      <c r="IM80" s="26">
        <f t="shared" si="222"/>
        <v>595625.83561025467</v>
      </c>
      <c r="IN80" s="26">
        <f t="shared" si="223"/>
        <v>612147.79771074606</v>
      </c>
      <c r="IO80" s="26">
        <f t="shared" si="224"/>
        <v>630554.37161756423</v>
      </c>
      <c r="IP80" s="26">
        <f t="shared" si="225"/>
        <v>651182.38512474147</v>
      </c>
      <c r="IQ80" s="26">
        <f t="shared" si="226"/>
        <v>674462.88171927584</v>
      </c>
      <c r="IR80" s="26">
        <f t="shared" si="227"/>
        <v>700932.6650185223</v>
      </c>
      <c r="IS80" s="26">
        <f t="shared" si="228"/>
        <v>731281.38558547874</v>
      </c>
      <c r="IT80" s="26">
        <f t="shared" si="229"/>
        <v>766285.81955902872</v>
      </c>
      <c r="IU80" s="26">
        <f t="shared" si="230"/>
        <v>806835.82612306485</v>
      </c>
      <c r="IV80" s="26">
        <f t="shared" si="231"/>
        <v>817541.27871231758</v>
      </c>
      <c r="IW80" s="26">
        <f t="shared" si="232"/>
        <v>872222.26865418092</v>
      </c>
      <c r="IX80" s="26">
        <f t="shared" si="233"/>
        <v>936523.01111993182</v>
      </c>
      <c r="IY80" s="26">
        <f t="shared" si="234"/>
        <v>1011866.8435426252</v>
      </c>
      <c r="IZ80" s="26">
        <f t="shared" si="235"/>
        <v>1100313.1294152464</v>
      </c>
      <c r="JA80" s="26">
        <f t="shared" si="236"/>
        <v>1204310.9279397682</v>
      </c>
      <c r="JB80" s="26">
        <f t="shared" si="237"/>
        <v>1326852.5001531621</v>
      </c>
      <c r="JC80" s="26">
        <f t="shared" si="238"/>
        <v>-142547556930.54788</v>
      </c>
      <c r="JD80" s="26">
        <f t="shared" si="239"/>
        <v>148595.76694025291</v>
      </c>
      <c r="JE80" s="26">
        <f t="shared" si="240"/>
        <v>238430.87053159665</v>
      </c>
      <c r="JF80" s="26">
        <f t="shared" si="241"/>
        <v>333100.44855731301</v>
      </c>
      <c r="JG80" s="26">
        <f t="shared" si="242"/>
        <v>433093.35548565385</v>
      </c>
      <c r="JH80" s="26">
        <f t="shared" si="243"/>
        <v>538890.81487353391</v>
      </c>
      <c r="JI80" s="26">
        <f t="shared" si="244"/>
        <v>651182.38512474147</v>
      </c>
      <c r="JJ80" s="26">
        <f t="shared" si="245"/>
        <v>770835.29714856739</v>
      </c>
      <c r="JK80" s="26">
        <f t="shared" si="246"/>
        <v>898897.18994746311</v>
      </c>
      <c r="JL80" s="26">
        <f t="shared" si="247"/>
        <v>1036702.6348137814</v>
      </c>
      <c r="JM80" s="26">
        <f t="shared" si="248"/>
        <v>1185734.4098197112</v>
      </c>
      <c r="JN80" s="26">
        <f t="shared" si="249"/>
        <v>1347679.7203647085</v>
      </c>
      <c r="JO80" s="26">
        <f t="shared" si="250"/>
        <v>1488222.4585115244</v>
      </c>
      <c r="JP80" s="26">
        <f t="shared" si="251"/>
        <v>1682295.2322806229</v>
      </c>
      <c r="JQ80" s="26">
        <f t="shared" si="252"/>
        <v>1896878.8300104893</v>
      </c>
      <c r="JR80" s="26">
        <f t="shared" si="253"/>
        <v>2134618.5913747731</v>
      </c>
      <c r="JS80" s="26">
        <f t="shared" si="254"/>
        <v>2399307.2853740454</v>
      </c>
      <c r="JT80" s="26">
        <f t="shared" si="255"/>
        <v>2695435.9273293149</v>
      </c>
      <c r="JU80" s="26">
        <f t="shared" si="256"/>
        <v>3028468.6229235926</v>
      </c>
      <c r="JV80" s="26">
        <f t="shared" si="257"/>
        <v>-142545623518.20996</v>
      </c>
      <c r="JW80" s="26">
        <f t="shared" si="258"/>
        <v>2338560.991046425</v>
      </c>
      <c r="JX80" s="26" t="e">
        <f>AH80+$AG$38*0.004*(1+$R$28)*#REF!-S80*#REF!</f>
        <v>#REF!</v>
      </c>
      <c r="JY80" s="34">
        <f t="shared" si="259"/>
        <v>5.7962949112823028E-2</v>
      </c>
      <c r="JZ80" s="4">
        <f t="shared" si="260"/>
        <v>44314.207926525036</v>
      </c>
      <c r="KA80" s="165"/>
    </row>
    <row r="81" spans="1:287" ht="15.75" x14ac:dyDescent="0.3">
      <c r="A81" s="34">
        <v>80</v>
      </c>
      <c r="B81" s="34">
        <v>53</v>
      </c>
      <c r="C81" s="2">
        <v>875435</v>
      </c>
      <c r="D81" s="1">
        <f t="shared" si="106"/>
        <v>7359</v>
      </c>
      <c r="E81" s="145">
        <f t="shared" si="107"/>
        <v>0.99159389332160586</v>
      </c>
      <c r="F81" s="146">
        <f t="shared" si="108"/>
        <v>8.4061066783941429E-3</v>
      </c>
      <c r="G81" s="158">
        <f t="shared" si="173"/>
        <v>1.0507633347992679E-2</v>
      </c>
      <c r="H81" s="43">
        <f t="shared" si="109"/>
        <v>8897.038336190195</v>
      </c>
      <c r="I81" s="43">
        <f t="shared" si="139"/>
        <v>846721.4301772184</v>
      </c>
      <c r="J81" s="43">
        <f t="shared" si="110"/>
        <v>871755.5</v>
      </c>
      <c r="K81" s="147">
        <f>SUM(J81:$J$138)</f>
        <v>22510817.5</v>
      </c>
      <c r="L81" s="147">
        <f t="shared" si="111"/>
        <v>25.713865107061061</v>
      </c>
      <c r="M81" s="43">
        <f t="shared" si="174"/>
        <v>1089694.375</v>
      </c>
      <c r="N81" s="148">
        <f t="shared" si="175"/>
        <v>28138521.875</v>
      </c>
      <c r="O81" s="147">
        <f t="shared" si="6"/>
        <v>32.142331383826324</v>
      </c>
      <c r="P81" s="157">
        <f t="shared" si="176"/>
        <v>136742.02678352417</v>
      </c>
      <c r="Q81" s="43">
        <f t="shared" si="177"/>
        <v>1094293.75</v>
      </c>
      <c r="R81" s="43">
        <f t="shared" si="178"/>
        <v>1412.3318331385378</v>
      </c>
      <c r="S81" s="43">
        <f>SUM(R81:$R$138)</f>
        <v>65393.182532433275</v>
      </c>
      <c r="T81" s="43">
        <f t="shared" si="112"/>
        <v>1298736.7922590543</v>
      </c>
      <c r="U81" s="153">
        <f>SUM(P81:$P$138)</f>
        <v>2142865.0383407604</v>
      </c>
      <c r="V81" s="129">
        <f t="shared" si="179"/>
        <v>1305560.6997197517</v>
      </c>
      <c r="W81" s="43">
        <f t="shared" si="180"/>
        <v>98291.528762306916</v>
      </c>
      <c r="X81" s="26">
        <f t="shared" si="114"/>
        <v>6.1232406621158413</v>
      </c>
      <c r="Y81" s="26">
        <f t="shared" si="115"/>
        <v>0.71880994507937124</v>
      </c>
      <c r="Z81" s="43">
        <f t="shared" si="181"/>
        <v>55081.471929218045</v>
      </c>
      <c r="AA81" s="149">
        <f t="shared" si="116"/>
        <v>7.5409958779824607E-2</v>
      </c>
      <c r="AB81" s="150">
        <f t="shared" si="138"/>
        <v>2006123.0115572365</v>
      </c>
      <c r="AC81" s="150">
        <f t="shared" si="117"/>
        <v>1207269.1709574449</v>
      </c>
      <c r="AD81" s="26">
        <f t="shared" si="118"/>
        <v>5.8420506071952145</v>
      </c>
      <c r="AE81" s="26">
        <f t="shared" si="182"/>
        <v>542434.01089986518</v>
      </c>
      <c r="AF81" s="43">
        <f t="shared" si="183"/>
        <v>88586.10020930176</v>
      </c>
      <c r="AG81" s="43">
        <f t="shared" si="184"/>
        <v>563872.89612267667</v>
      </c>
      <c r="AH81" s="27">
        <f t="shared" si="185"/>
        <v>95930.13527778053</v>
      </c>
      <c r="AI81" s="28">
        <f t="shared" si="186"/>
        <v>606314.94206739427</v>
      </c>
      <c r="AJ81" s="20">
        <f t="shared" si="187"/>
        <v>103150.68309438767</v>
      </c>
      <c r="AK81" s="3">
        <f t="shared" si="188"/>
        <v>8939.725868180265</v>
      </c>
      <c r="AL81" s="3"/>
      <c r="AM81" s="46">
        <f t="shared" si="121"/>
        <v>2006123.0115572365</v>
      </c>
      <c r="AN81" s="46">
        <f t="shared" si="122"/>
        <v>1875393.3577380853</v>
      </c>
      <c r="AO81" s="46">
        <f t="shared" si="122"/>
        <v>1750486.9936345171</v>
      </c>
      <c r="AP81" s="3">
        <f t="shared" si="278"/>
        <v>1631218.7777198723</v>
      </c>
      <c r="AQ81" s="3">
        <f t="shared" si="278"/>
        <v>1517407.6629794927</v>
      </c>
      <c r="AR81" s="16">
        <f t="shared" si="278"/>
        <v>1408901.5734490284</v>
      </c>
      <c r="AS81" s="16">
        <f t="shared" si="278"/>
        <v>1305560.6997197517</v>
      </c>
      <c r="AT81" s="16">
        <f t="shared" si="278"/>
        <v>1207269.1709574449</v>
      </c>
      <c r="AU81" s="16">
        <f t="shared" si="278"/>
        <v>1113907.2760732146</v>
      </c>
      <c r="AV81" s="16">
        <f t="shared" si="278"/>
        <v>1025373.0742617993</v>
      </c>
      <c r="AW81" s="16">
        <f t="shared" si="278"/>
        <v>941559.25973365293</v>
      </c>
      <c r="AX81" s="16">
        <f t="shared" si="278"/>
        <v>862352.93208858941</v>
      </c>
      <c r="AY81" s="16">
        <f t="shared" si="278"/>
        <v>787654.85808610427</v>
      </c>
      <c r="AZ81" s="16">
        <f t="shared" si="278"/>
        <v>717357.87731688586</v>
      </c>
      <c r="BA81" s="16">
        <f t="shared" si="278"/>
        <v>651351.76418205327</v>
      </c>
      <c r="BB81" s="16">
        <f t="shared" si="278"/>
        <v>589503.97809554788</v>
      </c>
      <c r="BC81" s="16">
        <f t="shared" si="144"/>
        <v>531683.16525119205</v>
      </c>
      <c r="BD81" s="16">
        <f t="shared" si="18"/>
        <v>477758.13591450383</v>
      </c>
      <c r="BE81" s="16">
        <f t="shared" si="18"/>
        <v>427598.80903629219</v>
      </c>
      <c r="BF81" s="16">
        <f t="shared" si="18"/>
        <v>381075.0024663306</v>
      </c>
      <c r="BG81" s="16">
        <f t="shared" si="18"/>
        <v>338054.11876679707</v>
      </c>
      <c r="BH81" s="172">
        <f t="shared" si="123"/>
        <v>130729.65381915121</v>
      </c>
      <c r="BI81" s="16">
        <f t="shared" si="277"/>
        <v>124906.36410356843</v>
      </c>
      <c r="BJ81" s="16">
        <f t="shared" si="277"/>
        <v>119268.21591464471</v>
      </c>
      <c r="BK81" s="16">
        <f t="shared" si="277"/>
        <v>113811.11474037961</v>
      </c>
      <c r="BL81" s="16">
        <f t="shared" si="277"/>
        <v>108506.0895304641</v>
      </c>
      <c r="BM81" s="16">
        <f t="shared" si="277"/>
        <v>103340.87372927672</v>
      </c>
      <c r="BN81" s="16">
        <f t="shared" si="277"/>
        <v>98291.528762306916</v>
      </c>
      <c r="BO81" s="16">
        <f t="shared" si="277"/>
        <v>93361.894884230453</v>
      </c>
      <c r="BP81" s="16">
        <f t="shared" si="277"/>
        <v>88534.201811415609</v>
      </c>
      <c r="BQ81" s="16">
        <f t="shared" si="277"/>
        <v>83813.814528146351</v>
      </c>
      <c r="BR81" s="16">
        <f t="shared" si="277"/>
        <v>79206.327645063458</v>
      </c>
      <c r="BS81" s="16">
        <f t="shared" si="277"/>
        <v>74698.07400248514</v>
      </c>
      <c r="BT81" s="16">
        <f t="shared" si="277"/>
        <v>70296.980769218397</v>
      </c>
      <c r="BU81" s="16">
        <f t="shared" si="277"/>
        <v>66006.113134832645</v>
      </c>
      <c r="BV81" s="16">
        <f t="shared" si="277"/>
        <v>61847.786086505286</v>
      </c>
      <c r="BW81" s="16">
        <f t="shared" si="277"/>
        <v>57820.812844355773</v>
      </c>
      <c r="BX81" s="16">
        <f t="shared" si="168"/>
        <v>53925.029336687992</v>
      </c>
      <c r="BY81" s="16">
        <f t="shared" si="149"/>
        <v>50159.326878211672</v>
      </c>
      <c r="BZ81" s="16">
        <f t="shared" si="149"/>
        <v>46523.806569961562</v>
      </c>
      <c r="CA81" s="16">
        <f t="shared" si="149"/>
        <v>43020.8836995335</v>
      </c>
      <c r="CB81" s="16">
        <f t="shared" si="149"/>
        <v>39652.706624721577</v>
      </c>
      <c r="CC81" s="18">
        <f t="shared" si="124"/>
        <v>5.3588630534173118</v>
      </c>
      <c r="CD81" s="18">
        <f t="shared" si="124"/>
        <v>4.5620786587450928</v>
      </c>
      <c r="CE81" s="18">
        <f t="shared" si="124"/>
        <v>3.7304682601539088</v>
      </c>
      <c r="CF81" s="18">
        <f t="shared" si="124"/>
        <v>2.8613908118112716</v>
      </c>
      <c r="CG81" s="18">
        <f t="shared" si="124"/>
        <v>1.9523969961175585</v>
      </c>
      <c r="CH81" s="18">
        <f t="shared" si="150"/>
        <v>0.99999999999999989</v>
      </c>
      <c r="CI81" s="18">
        <f t="shared" si="150"/>
        <v>0</v>
      </c>
      <c r="CJ81" s="18">
        <f t="shared" si="150"/>
        <v>-1.0528013477467346</v>
      </c>
      <c r="CK81" s="18">
        <f t="shared" si="150"/>
        <v>-2.1647388209900291</v>
      </c>
      <c r="CL81" s="18">
        <f t="shared" si="151"/>
        <v>-3.342976656477791</v>
      </c>
      <c r="CM81" s="18">
        <f t="shared" si="151"/>
        <v>-4.5956106135515959</v>
      </c>
      <c r="CN81" s="18">
        <f t="shared" si="151"/>
        <v>-5.9333225595136119</v>
      </c>
      <c r="CO81" s="18">
        <f t="shared" si="151"/>
        <v>-7.3673980868951885</v>
      </c>
      <c r="CP81" s="18">
        <f t="shared" si="271"/>
        <v>-8.9113385786150818</v>
      </c>
      <c r="CQ81" s="18">
        <f t="shared" si="272"/>
        <v>-10.577726009831123</v>
      </c>
      <c r="CR81" s="18">
        <f t="shared" si="273"/>
        <v>-12.384065294130544</v>
      </c>
      <c r="CS81" s="18">
        <f t="shared" si="267"/>
        <v>-14.350989586612068</v>
      </c>
      <c r="CT81" s="18">
        <f t="shared" si="125"/>
        <v>-16.503462373312484</v>
      </c>
      <c r="CU81" s="18">
        <f t="shared" si="125"/>
        <v>-18.871239380707127</v>
      </c>
      <c r="CV81" s="18">
        <f t="shared" si="125"/>
        <v>-21.489230758489647</v>
      </c>
      <c r="CW81" s="18">
        <f t="shared" si="22"/>
        <v>-24.399509221641893</v>
      </c>
      <c r="CX81" s="17">
        <f t="shared" si="190"/>
        <v>1426.812492235438</v>
      </c>
      <c r="CY81" s="17">
        <f t="shared" si="264"/>
        <v>1438.7982060767181</v>
      </c>
      <c r="CZ81" s="17">
        <f t="shared" si="264"/>
        <v>1448.5800229109952</v>
      </c>
      <c r="DA81" s="17">
        <f t="shared" si="264"/>
        <v>1481.6069404855843</v>
      </c>
      <c r="DB81" s="17">
        <f t="shared" si="264"/>
        <v>1521.8813441348364</v>
      </c>
      <c r="DC81" s="17">
        <f t="shared" si="264"/>
        <v>1581.6997642331289</v>
      </c>
      <c r="DD81" s="17">
        <f t="shared" si="263"/>
        <v>1633.6249845932373</v>
      </c>
      <c r="DE81" s="17">
        <f t="shared" si="263"/>
        <v>1699.5103587480305</v>
      </c>
      <c r="DF81" s="3" t="e">
        <f>#REF!+$AG$35*0.004*(1+$R$28)*#REF!-S81*#REF!</f>
        <v>#REF!</v>
      </c>
      <c r="DG81" s="19">
        <f t="shared" si="191"/>
        <v>2444.3871648237455</v>
      </c>
      <c r="DH81" s="19">
        <f t="shared" si="192"/>
        <v>2305.074438781397</v>
      </c>
      <c r="DI81" s="19">
        <f t="shared" si="193"/>
        <v>2156.9448347354892</v>
      </c>
      <c r="DJ81" s="19">
        <f t="shared" si="194"/>
        <v>2024.9458520144556</v>
      </c>
      <c r="DK81" s="19">
        <f t="shared" si="195"/>
        <v>1892.6147840983392</v>
      </c>
      <c r="DL81" s="19">
        <f t="shared" si="196"/>
        <v>1771.586063331481</v>
      </c>
      <c r="DM81" s="19">
        <f t="shared" si="197"/>
        <v>1633.6249845932373</v>
      </c>
      <c r="DN81" s="19">
        <f t="shared" si="198"/>
        <v>1499.597807138646</v>
      </c>
      <c r="DO81" s="173">
        <f t="shared" si="127"/>
        <v>63980.850699294751</v>
      </c>
      <c r="DP81" s="25">
        <f t="shared" si="279"/>
        <v>62554.038207059304</v>
      </c>
      <c r="DQ81" s="26">
        <f t="shared" si="279"/>
        <v>61115.240000982594</v>
      </c>
      <c r="DR81" s="26">
        <f t="shared" si="279"/>
        <v>59666.659978071591</v>
      </c>
      <c r="DS81" s="26">
        <f t="shared" si="279"/>
        <v>58185.053037586011</v>
      </c>
      <c r="DT81" s="26">
        <f t="shared" si="279"/>
        <v>56663.171693451171</v>
      </c>
      <c r="DU81" s="26">
        <f t="shared" si="279"/>
        <v>55081.471929218045</v>
      </c>
      <c r="DV81" s="26">
        <f t="shared" si="279"/>
        <v>53447.84694462482</v>
      </c>
      <c r="DW81" s="26">
        <f t="shared" si="279"/>
        <v>51748.336585876787</v>
      </c>
      <c r="DX81" s="26">
        <f t="shared" si="279"/>
        <v>49991.905999111841</v>
      </c>
      <c r="DY81" s="26">
        <f t="shared" si="279"/>
        <v>48187.938512941255</v>
      </c>
      <c r="DZ81" s="26">
        <f t="shared" si="279"/>
        <v>0</v>
      </c>
      <c r="EA81" s="26">
        <f t="shared" si="279"/>
        <v>0</v>
      </c>
      <c r="EB81" s="26">
        <f t="shared" si="279"/>
        <v>0</v>
      </c>
      <c r="EC81" s="26">
        <f t="shared" si="279"/>
        <v>0</v>
      </c>
      <c r="ED81" s="26">
        <f t="shared" si="279"/>
        <v>0</v>
      </c>
      <c r="EE81" s="26">
        <f t="shared" si="145"/>
        <v>0</v>
      </c>
      <c r="EF81" s="26">
        <f t="shared" si="34"/>
        <v>0</v>
      </c>
      <c r="EG81" s="26">
        <f t="shared" si="34"/>
        <v>0</v>
      </c>
      <c r="EH81" s="26">
        <f t="shared" si="34"/>
        <v>0</v>
      </c>
      <c r="EI81" s="26">
        <f t="shared" si="34"/>
        <v>0</v>
      </c>
      <c r="EJ81" s="26">
        <f t="shared" si="128"/>
        <v>6.8074675562041415E-2</v>
      </c>
      <c r="EK81" s="26">
        <f t="shared" si="128"/>
        <v>5.982534462091333E-2</v>
      </c>
      <c r="EL81" s="26">
        <f t="shared" si="270"/>
        <v>5.0589908011055229E-2</v>
      </c>
      <c r="EM81" s="26">
        <f t="shared" si="270"/>
        <v>4.0287700013421843E-2</v>
      </c>
      <c r="EN81" s="26">
        <f t="shared" si="270"/>
        <v>2.8602828853182532E-2</v>
      </c>
      <c r="EO81" s="26">
        <f t="shared" si="270"/>
        <v>1.5305655034199957E-2</v>
      </c>
      <c r="EP81" s="26">
        <f t="shared" si="270"/>
        <v>0</v>
      </c>
      <c r="EQ81" s="26">
        <f t="shared" si="270"/>
        <v>-1.7497770226481951E-2</v>
      </c>
      <c r="ER81" s="26">
        <f t="shared" si="270"/>
        <v>-3.764799676447169E-2</v>
      </c>
      <c r="ES81" s="26">
        <f t="shared" si="270"/>
        <v>-6.0724666437858239E-2</v>
      </c>
      <c r="ET81" s="26">
        <f t="shared" si="270"/>
        <v>-8.7032609909246689E-2</v>
      </c>
      <c r="EU81" s="26">
        <f t="shared" si="270"/>
        <v>-0.73738811428237805</v>
      </c>
      <c r="EV81" s="26">
        <f t="shared" si="270"/>
        <v>-0.78355387850934688</v>
      </c>
      <c r="EW81" s="26">
        <f t="shared" si="270"/>
        <v>-0.83449046328029475</v>
      </c>
      <c r="EX81" s="26">
        <f t="shared" si="270"/>
        <v>-0.89059731017981258</v>
      </c>
      <c r="EY81" s="26">
        <f t="shared" si="269"/>
        <v>-0.95262361802986772</v>
      </c>
      <c r="EZ81" s="26">
        <f t="shared" si="269"/>
        <v>-1.021445377160755</v>
      </c>
      <c r="FA81" s="26">
        <f t="shared" si="269"/>
        <v>-1.0981302054343249</v>
      </c>
      <c r="FB81" s="26">
        <f t="shared" si="269"/>
        <v>-1.1839416417138533</v>
      </c>
      <c r="FC81" s="26">
        <f t="shared" si="269"/>
        <v>-1.2803426427480691</v>
      </c>
      <c r="FD81" s="26">
        <f t="shared" si="269"/>
        <v>-1.389097406401947</v>
      </c>
      <c r="FE81" s="26">
        <f t="shared" si="130"/>
        <v>5.1107317067090996</v>
      </c>
      <c r="FF81" s="26">
        <f t="shared" si="130"/>
        <v>4.3490003617962412</v>
      </c>
      <c r="FG81" s="26">
        <f t="shared" si="130"/>
        <v>3.5545899929100173</v>
      </c>
      <c r="FH81" s="26">
        <f t="shared" si="130"/>
        <v>2.7250281550226498</v>
      </c>
      <c r="FI81" s="26">
        <f t="shared" si="130"/>
        <v>1.858258862374478</v>
      </c>
      <c r="FJ81" s="26">
        <f t="shared" si="157"/>
        <v>0.95113893675606265</v>
      </c>
      <c r="FK81" s="26">
        <f t="shared" si="157"/>
        <v>0</v>
      </c>
      <c r="FL81" s="26">
        <f t="shared" si="157"/>
        <v>-0.99999999999999878</v>
      </c>
      <c r="FM81" s="26">
        <f t="shared" si="157"/>
        <v>-2.0545291308222073</v>
      </c>
      <c r="FN81" s="26">
        <f t="shared" si="157"/>
        <v>-3.1702400459838431</v>
      </c>
      <c r="FO81" s="26">
        <f t="shared" si="170"/>
        <v>-4.3546551029922984</v>
      </c>
      <c r="FP81" s="26">
        <f t="shared" si="158"/>
        <v>-5.6174716480291105</v>
      </c>
      <c r="FQ81" s="26">
        <f t="shared" si="158"/>
        <v>-6.9691655072486576</v>
      </c>
      <c r="FR81" s="26">
        <f t="shared" si="158"/>
        <v>-8.4222109191583918</v>
      </c>
      <c r="FS81" s="26">
        <f t="shared" si="158"/>
        <v>-9.9884770652556742</v>
      </c>
      <c r="FT81" s="26">
        <f t="shared" si="274"/>
        <v>-11.684131932299543</v>
      </c>
      <c r="FU81" s="26">
        <f t="shared" si="268"/>
        <v>-13.528245492239666</v>
      </c>
      <c r="FV81" s="26">
        <f t="shared" si="131"/>
        <v>-15.543876093357781</v>
      </c>
      <c r="FW81" s="26">
        <f t="shared" si="131"/>
        <v>-17.758524708177099</v>
      </c>
      <c r="FX81" s="26">
        <f t="shared" si="39"/>
        <v>1113907.2760732146</v>
      </c>
      <c r="FY81" s="26">
        <f t="shared" si="40"/>
        <v>88534.201811415609</v>
      </c>
      <c r="FZ81" s="26">
        <f t="shared" si="132"/>
        <v>0.75186865329178831</v>
      </c>
      <c r="GA81" s="26">
        <f t="shared" si="160"/>
        <v>0.78692170305114861</v>
      </c>
      <c r="GB81" s="26">
        <f t="shared" si="132"/>
        <v>0.82412173275611056</v>
      </c>
      <c r="GC81" s="26">
        <f t="shared" si="132"/>
        <v>0.86363734321137953</v>
      </c>
      <c r="GD81" s="26">
        <f t="shared" si="132"/>
        <v>0.90586186625692233</v>
      </c>
      <c r="GE81" s="26">
        <f t="shared" si="161"/>
        <v>0.95113893675606387</v>
      </c>
      <c r="GF81" s="26">
        <f t="shared" si="161"/>
        <v>1</v>
      </c>
      <c r="GG81" s="26">
        <f t="shared" si="161"/>
        <v>1.0528013477467359</v>
      </c>
      <c r="GH81" s="26">
        <f t="shared" si="161"/>
        <v>1.1102096901678193</v>
      </c>
      <c r="GI81" s="26">
        <f t="shared" si="161"/>
        <v>1.1727366104939498</v>
      </c>
      <c r="GJ81" s="26">
        <f t="shared" si="171"/>
        <v>1.2409555105593</v>
      </c>
      <c r="GK81" s="26">
        <f t="shared" si="162"/>
        <v>1.3158509114845027</v>
      </c>
      <c r="GL81" s="26">
        <f t="shared" si="162"/>
        <v>1.3982325796465325</v>
      </c>
      <c r="GM81" s="26">
        <f t="shared" si="162"/>
        <v>1.4891276594566913</v>
      </c>
      <c r="GN81" s="26">
        <f t="shared" si="162"/>
        <v>1.589248944575453</v>
      </c>
      <c r="GO81" s="26">
        <f t="shared" si="275"/>
        <v>1.6999333618310024</v>
      </c>
      <c r="GP81" s="26">
        <f t="shared" si="265"/>
        <v>1.8227440943724085</v>
      </c>
      <c r="GQ81" s="26">
        <f t="shared" si="134"/>
        <v>1.9595862799547061</v>
      </c>
      <c r="GR81" s="26">
        <f t="shared" si="134"/>
        <v>2.1127146725300325</v>
      </c>
      <c r="GS81" s="26">
        <f t="shared" si="134"/>
        <v>2.2847398823509697</v>
      </c>
      <c r="GT81" s="26">
        <f t="shared" si="134"/>
        <v>2.4788100770156967</v>
      </c>
      <c r="GU81" s="26">
        <f t="shared" si="135"/>
        <v>5.3588630534173118</v>
      </c>
      <c r="GV81" s="26">
        <f t="shared" si="164"/>
        <v>4.5620786587450928</v>
      </c>
      <c r="GW81" s="26">
        <f t="shared" si="135"/>
        <v>3.7304682601539088</v>
      </c>
      <c r="GX81" s="26">
        <f t="shared" si="135"/>
        <v>2.8613908118112716</v>
      </c>
      <c r="GY81" s="26">
        <f t="shared" si="135"/>
        <v>1.9523969961175585</v>
      </c>
      <c r="GZ81" s="26">
        <f t="shared" si="165"/>
        <v>0.99999999999999989</v>
      </c>
      <c r="HA81" s="26">
        <f t="shared" si="165"/>
        <v>0</v>
      </c>
      <c r="HB81" s="26">
        <f t="shared" si="165"/>
        <v>-1.0528013477467346</v>
      </c>
      <c r="HC81" s="26">
        <f t="shared" si="165"/>
        <v>-2.1647388209900291</v>
      </c>
      <c r="HD81" s="26">
        <f t="shared" si="165"/>
        <v>-3.342976656477791</v>
      </c>
      <c r="HE81" s="26">
        <f t="shared" si="172"/>
        <v>-4.5956106135515959</v>
      </c>
      <c r="HF81" s="26">
        <f t="shared" si="166"/>
        <v>-5.9333225595136119</v>
      </c>
      <c r="HG81" s="26">
        <f t="shared" si="166"/>
        <v>-7.3673980868951885</v>
      </c>
      <c r="HH81" s="26">
        <f t="shared" si="166"/>
        <v>-8.9113385786150818</v>
      </c>
      <c r="HI81" s="26">
        <f t="shared" si="166"/>
        <v>-10.577726009831123</v>
      </c>
      <c r="HJ81" s="26">
        <f t="shared" si="276"/>
        <v>-12.384065294130544</v>
      </c>
      <c r="HK81" s="26">
        <f t="shared" si="266"/>
        <v>-14.350989586612068</v>
      </c>
      <c r="HL81" s="26">
        <f t="shared" si="137"/>
        <v>-16.503462373312484</v>
      </c>
      <c r="HM81" s="26">
        <f t="shared" si="137"/>
        <v>-18.871239380707127</v>
      </c>
      <c r="HN81" s="26">
        <f t="shared" si="137"/>
        <v>-21.489230758489647</v>
      </c>
      <c r="HO81" s="26">
        <f t="shared" si="137"/>
        <v>-24.399509221641893</v>
      </c>
      <c r="HP81" s="26">
        <f t="shared" si="199"/>
        <v>536114.60839460231</v>
      </c>
      <c r="HQ81" s="26">
        <f t="shared" si="200"/>
        <v>548462.36312981416</v>
      </c>
      <c r="HR81" s="26">
        <f t="shared" si="201"/>
        <v>561997.71541178378</v>
      </c>
      <c r="HS81" s="26">
        <f t="shared" si="202"/>
        <v>576922.61182353809</v>
      </c>
      <c r="HT81" s="26">
        <f t="shared" si="203"/>
        <v>593400.17125146289</v>
      </c>
      <c r="HU81" s="26">
        <f t="shared" si="204"/>
        <v>611713.90491786727</v>
      </c>
      <c r="HV81" s="26">
        <f t="shared" si="205"/>
        <v>632215.9078880985</v>
      </c>
      <c r="HW81" s="26">
        <f t="shared" si="206"/>
        <v>655381.19023645634</v>
      </c>
      <c r="HX81" s="26">
        <f t="shared" si="207"/>
        <v>681795.31347675622</v>
      </c>
      <c r="HY81" s="26">
        <f t="shared" si="208"/>
        <v>712145.60684010189</v>
      </c>
      <c r="HZ81" s="26">
        <f t="shared" si="209"/>
        <v>747220.2781423392</v>
      </c>
      <c r="IA81" s="26">
        <f t="shared" si="210"/>
        <v>752533.66351234645</v>
      </c>
      <c r="IB81" s="26">
        <f t="shared" si="211"/>
        <v>799647.64732855989</v>
      </c>
      <c r="IC81" s="26">
        <f t="shared" si="212"/>
        <v>855070.29694841499</v>
      </c>
      <c r="ID81" s="26">
        <f t="shared" si="213"/>
        <v>920080.61993485421</v>
      </c>
      <c r="IE81" s="26">
        <f t="shared" si="214"/>
        <v>996497.00090190663</v>
      </c>
      <c r="IF81" s="26">
        <f t="shared" si="215"/>
        <v>1086484.0748955065</v>
      </c>
      <c r="IG81" s="26">
        <f t="shared" si="216"/>
        <v>1192686.6341818667</v>
      </c>
      <c r="IH81" s="26">
        <f t="shared" si="217"/>
        <v>1318282.1486993416</v>
      </c>
      <c r="II81" s="26">
        <f t="shared" si="218"/>
        <v>-127693181278.92459</v>
      </c>
      <c r="IJ81" s="26">
        <f t="shared" si="219"/>
        <v>556420.79455548164</v>
      </c>
      <c r="IK81" s="26">
        <f t="shared" si="220"/>
        <v>568314.25344665383</v>
      </c>
      <c r="IL81" s="26">
        <f t="shared" si="221"/>
        <v>581472.47531815746</v>
      </c>
      <c r="IM81" s="26">
        <f t="shared" si="222"/>
        <v>596108.14930693316</v>
      </c>
      <c r="IN81" s="26">
        <f t="shared" si="223"/>
        <v>612394.77198268648</v>
      </c>
      <c r="IO81" s="26">
        <f t="shared" si="224"/>
        <v>630629.93202932272</v>
      </c>
      <c r="IP81" s="26">
        <f t="shared" si="225"/>
        <v>651182.38512474147</v>
      </c>
      <c r="IQ81" s="26">
        <f t="shared" si="226"/>
        <v>674548.086515576</v>
      </c>
      <c r="IR81" s="26">
        <f t="shared" si="227"/>
        <v>701337.68357521924</v>
      </c>
      <c r="IS81" s="26">
        <f t="shared" si="228"/>
        <v>732267.91591641062</v>
      </c>
      <c r="IT81" s="26">
        <f t="shared" si="229"/>
        <v>768160.93914438458</v>
      </c>
      <c r="IU81" s="26">
        <f t="shared" si="230"/>
        <v>773508.19696842006</v>
      </c>
      <c r="IV81" s="26">
        <f t="shared" si="231"/>
        <v>822032.67314341699</v>
      </c>
      <c r="IW81" s="26">
        <f t="shared" si="232"/>
        <v>879254.48948918318</v>
      </c>
      <c r="IX81" s="26">
        <f t="shared" si="233"/>
        <v>946511.46988286998</v>
      </c>
      <c r="IY81" s="26">
        <f t="shared" si="234"/>
        <v>1025700.1951351181</v>
      </c>
      <c r="IZ81" s="26">
        <f t="shared" si="235"/>
        <v>1119078.5971423718</v>
      </c>
      <c r="JA81" s="26">
        <f t="shared" si="236"/>
        <v>1229405.0320686765</v>
      </c>
      <c r="JB81" s="26">
        <f t="shared" si="237"/>
        <v>1359993.9104285603</v>
      </c>
      <c r="JC81" s="26">
        <f t="shared" si="238"/>
        <v>-131523972990.03169</v>
      </c>
      <c r="JD81" s="26">
        <f t="shared" si="239"/>
        <v>148204.60112455057</v>
      </c>
      <c r="JE81" s="26">
        <f t="shared" si="240"/>
        <v>237943.60591392044</v>
      </c>
      <c r="JF81" s="26">
        <f t="shared" si="241"/>
        <v>332610.30347225408</v>
      </c>
      <c r="JG81" s="26">
        <f t="shared" si="242"/>
        <v>432603.74149236886</v>
      </c>
      <c r="JH81" s="26">
        <f t="shared" si="243"/>
        <v>538542.59997142607</v>
      </c>
      <c r="JI81" s="26">
        <f t="shared" si="244"/>
        <v>651182.38512474147</v>
      </c>
      <c r="JJ81" s="26">
        <f t="shared" si="245"/>
        <v>771497.75381653081</v>
      </c>
      <c r="JK81" s="26">
        <f t="shared" si="246"/>
        <v>900682.70620234776</v>
      </c>
      <c r="JL81" s="26">
        <f t="shared" si="247"/>
        <v>1040113.7173432782</v>
      </c>
      <c r="JM81" s="26">
        <f t="shared" si="248"/>
        <v>1191358.4597233047</v>
      </c>
      <c r="JN81" s="26">
        <f t="shared" si="249"/>
        <v>1319892.0417129593</v>
      </c>
      <c r="JO81" s="26">
        <f t="shared" si="250"/>
        <v>1500476.7071740469</v>
      </c>
      <c r="JP81" s="26">
        <f t="shared" si="251"/>
        <v>1699875.8842584551</v>
      </c>
      <c r="JQ81" s="26">
        <f t="shared" si="252"/>
        <v>1920586.0373676391</v>
      </c>
      <c r="JR81" s="26">
        <f t="shared" si="253"/>
        <v>2166115.7281023916</v>
      </c>
      <c r="JS81" s="26">
        <f t="shared" si="254"/>
        <v>2440622.9405641346</v>
      </c>
      <c r="JT81" s="26">
        <f t="shared" si="255"/>
        <v>2749164.851744907</v>
      </c>
      <c r="JU81" s="26">
        <f t="shared" si="256"/>
        <v>3097795.9976237938</v>
      </c>
      <c r="JV81" s="26">
        <f t="shared" si="257"/>
        <v>-131521994104.10316</v>
      </c>
      <c r="JW81" s="26">
        <f t="shared" si="258"/>
        <v>2395090.3088675998</v>
      </c>
      <c r="JX81" s="26" t="e">
        <f>AH81+$AG$38*0.004*(1+$R$28)*#REF!-S81*#REF!</f>
        <v>#REF!</v>
      </c>
      <c r="JY81" s="34">
        <f t="shared" si="259"/>
        <v>5.8406106678394146E-2</v>
      </c>
      <c r="JZ81" s="4">
        <f t="shared" si="260"/>
        <v>44129.068443096534</v>
      </c>
      <c r="KA81" s="165"/>
    </row>
    <row r="82" spans="1:287" ht="15.75" x14ac:dyDescent="0.3">
      <c r="A82" s="34">
        <v>81</v>
      </c>
      <c r="B82" s="34">
        <v>54</v>
      </c>
      <c r="C82" s="2">
        <v>868076</v>
      </c>
      <c r="D82" s="1">
        <f t="shared" si="106"/>
        <v>7711</v>
      </c>
      <c r="E82" s="145">
        <f t="shared" si="107"/>
        <v>0.99111713720918448</v>
      </c>
      <c r="F82" s="146">
        <f t="shared" si="108"/>
        <v>8.8828627908155156E-3</v>
      </c>
      <c r="G82" s="158">
        <f t="shared" si="173"/>
        <v>1.1103578488519394E-2</v>
      </c>
      <c r="H82" s="43">
        <f t="shared" si="109"/>
        <v>9302.848894402885</v>
      </c>
      <c r="I82" s="43">
        <f t="shared" si="139"/>
        <v>837824.39184102823</v>
      </c>
      <c r="J82" s="43">
        <f t="shared" si="110"/>
        <v>864220.5</v>
      </c>
      <c r="K82" s="147">
        <f>SUM(J82:$J$138)</f>
        <v>21639062</v>
      </c>
      <c r="L82" s="147">
        <f t="shared" si="111"/>
        <v>24.927612328874432</v>
      </c>
      <c r="M82" s="43">
        <f t="shared" si="174"/>
        <v>1080275.625</v>
      </c>
      <c r="N82" s="148">
        <f t="shared" si="175"/>
        <v>27048827.5</v>
      </c>
      <c r="O82" s="147">
        <f t="shared" si="6"/>
        <v>31.159515411093039</v>
      </c>
      <c r="P82" s="157">
        <f t="shared" si="176"/>
        <v>130729.65381915121</v>
      </c>
      <c r="Q82" s="43">
        <f t="shared" si="177"/>
        <v>1085095</v>
      </c>
      <c r="R82" s="43">
        <f t="shared" si="178"/>
        <v>1426.812492235438</v>
      </c>
      <c r="S82" s="43">
        <f>SUM(R82:$R$138)</f>
        <v>63980.850699294751</v>
      </c>
      <c r="T82" s="43">
        <f t="shared" si="112"/>
        <v>1233343.6097266211</v>
      </c>
      <c r="U82" s="153">
        <f>SUM(P82:$P$138)</f>
        <v>2006123.0115572365</v>
      </c>
      <c r="V82" s="129">
        <f t="shared" si="179"/>
        <v>1207269.1709574449</v>
      </c>
      <c r="W82" s="43">
        <f t="shared" si="180"/>
        <v>93361.894884230453</v>
      </c>
      <c r="X82" s="26">
        <f t="shared" si="114"/>
        <v>6.1107317067090996</v>
      </c>
      <c r="Y82" s="26">
        <f t="shared" si="115"/>
        <v>0.71416004063917615</v>
      </c>
      <c r="Z82" s="43">
        <f t="shared" si="181"/>
        <v>53447.84694462482</v>
      </c>
      <c r="AA82" s="149">
        <f t="shared" si="116"/>
        <v>8.0570883858080727E-2</v>
      </c>
      <c r="AB82" s="150">
        <f t="shared" si="138"/>
        <v>1875393.3577380853</v>
      </c>
      <c r="AC82" s="150">
        <f t="shared" si="117"/>
        <v>1113907.2760732146</v>
      </c>
      <c r="AD82" s="26">
        <f t="shared" si="118"/>
        <v>5.8248917473482749</v>
      </c>
      <c r="AE82" s="26">
        <f t="shared" si="182"/>
        <v>544163.7805224678</v>
      </c>
      <c r="AF82" s="43">
        <f t="shared" si="183"/>
        <v>89050.510910995989</v>
      </c>
      <c r="AG82" s="43">
        <f t="shared" si="184"/>
        <v>565644.00566820987</v>
      </c>
      <c r="AH82" s="27">
        <f t="shared" si="185"/>
        <v>96408.478300525589</v>
      </c>
      <c r="AI82" s="28">
        <f t="shared" si="186"/>
        <v>608219.36093355902</v>
      </c>
      <c r="AJ82" s="20">
        <f t="shared" si="187"/>
        <v>103665.03043067268</v>
      </c>
      <c r="AK82" s="3">
        <f t="shared" si="188"/>
        <v>8984.302637324965</v>
      </c>
      <c r="AL82" s="3"/>
      <c r="AM82" s="46">
        <f t="shared" si="121"/>
        <v>1875393.3577380853</v>
      </c>
      <c r="AN82" s="46">
        <f t="shared" si="122"/>
        <v>1750486.9936345171</v>
      </c>
      <c r="AO82" s="46">
        <f t="shared" si="122"/>
        <v>1631218.7777198723</v>
      </c>
      <c r="AP82" s="3">
        <f t="shared" si="278"/>
        <v>1517407.6629794927</v>
      </c>
      <c r="AQ82" s="3">
        <f t="shared" si="278"/>
        <v>1408901.5734490284</v>
      </c>
      <c r="AR82" s="16">
        <f t="shared" si="278"/>
        <v>1305560.6997197517</v>
      </c>
      <c r="AS82" s="16">
        <f t="shared" si="278"/>
        <v>1207269.1709574449</v>
      </c>
      <c r="AT82" s="16">
        <f t="shared" si="278"/>
        <v>1113907.2760732146</v>
      </c>
      <c r="AU82" s="16">
        <f t="shared" si="278"/>
        <v>1025373.0742617993</v>
      </c>
      <c r="AV82" s="16">
        <f t="shared" si="278"/>
        <v>941559.25973365293</v>
      </c>
      <c r="AW82" s="16">
        <f t="shared" si="278"/>
        <v>862352.93208858941</v>
      </c>
      <c r="AX82" s="16">
        <f t="shared" si="278"/>
        <v>787654.85808610427</v>
      </c>
      <c r="AY82" s="16">
        <f t="shared" si="278"/>
        <v>717357.87731688586</v>
      </c>
      <c r="AZ82" s="16">
        <f t="shared" si="278"/>
        <v>651351.76418205327</v>
      </c>
      <c r="BA82" s="16">
        <f t="shared" si="278"/>
        <v>589503.97809554788</v>
      </c>
      <c r="BB82" s="16">
        <f t="shared" si="278"/>
        <v>531683.16525119205</v>
      </c>
      <c r="BC82" s="16">
        <f t="shared" si="144"/>
        <v>477758.13591450383</v>
      </c>
      <c r="BD82" s="16">
        <f t="shared" si="18"/>
        <v>427598.80903629219</v>
      </c>
      <c r="BE82" s="16">
        <f t="shared" si="18"/>
        <v>381075.0024663306</v>
      </c>
      <c r="BF82" s="16">
        <f t="shared" si="18"/>
        <v>338054.11876679707</v>
      </c>
      <c r="BG82" s="16">
        <f t="shared" si="18"/>
        <v>298401.41214207554</v>
      </c>
      <c r="BH82" s="172">
        <f t="shared" si="123"/>
        <v>124906.36410356843</v>
      </c>
      <c r="BI82" s="16">
        <f t="shared" si="277"/>
        <v>119268.21591464471</v>
      </c>
      <c r="BJ82" s="16">
        <f t="shared" si="277"/>
        <v>113811.11474037961</v>
      </c>
      <c r="BK82" s="16">
        <f t="shared" si="277"/>
        <v>108506.0895304641</v>
      </c>
      <c r="BL82" s="16">
        <f t="shared" si="277"/>
        <v>103340.87372927672</v>
      </c>
      <c r="BM82" s="16">
        <f t="shared" si="277"/>
        <v>98291.528762306916</v>
      </c>
      <c r="BN82" s="16">
        <f t="shared" si="277"/>
        <v>93361.894884230453</v>
      </c>
      <c r="BO82" s="16">
        <f t="shared" si="277"/>
        <v>88534.201811415609</v>
      </c>
      <c r="BP82" s="16">
        <f t="shared" si="277"/>
        <v>83813.814528146351</v>
      </c>
      <c r="BQ82" s="16">
        <f t="shared" si="277"/>
        <v>79206.327645063458</v>
      </c>
      <c r="BR82" s="16">
        <f t="shared" si="277"/>
        <v>74698.07400248514</v>
      </c>
      <c r="BS82" s="16">
        <f t="shared" si="277"/>
        <v>70296.980769218397</v>
      </c>
      <c r="BT82" s="16">
        <f t="shared" si="277"/>
        <v>66006.113134832645</v>
      </c>
      <c r="BU82" s="16">
        <f t="shared" si="277"/>
        <v>61847.786086505286</v>
      </c>
      <c r="BV82" s="16">
        <f t="shared" si="277"/>
        <v>57820.812844355773</v>
      </c>
      <c r="BW82" s="16">
        <f t="shared" si="277"/>
        <v>53925.029336687992</v>
      </c>
      <c r="BX82" s="16">
        <f t="shared" si="168"/>
        <v>50159.326878211672</v>
      </c>
      <c r="BY82" s="16">
        <f t="shared" si="149"/>
        <v>46523.806569961562</v>
      </c>
      <c r="BZ82" s="16">
        <f t="shared" si="149"/>
        <v>43020.8836995335</v>
      </c>
      <c r="CA82" s="16">
        <f t="shared" si="149"/>
        <v>39652.706624721577</v>
      </c>
      <c r="CB82" s="16">
        <f t="shared" si="149"/>
        <v>36420.228945303788</v>
      </c>
      <c r="CC82" s="18">
        <f t="shared" si="124"/>
        <v>5.3490003617962403</v>
      </c>
      <c r="CD82" s="18">
        <f t="shared" si="124"/>
        <v>4.5545899929100182</v>
      </c>
      <c r="CE82" s="18">
        <f t="shared" si="124"/>
        <v>3.7250281550226498</v>
      </c>
      <c r="CF82" s="18">
        <f t="shared" si="124"/>
        <v>2.8582588623744796</v>
      </c>
      <c r="CG82" s="18">
        <f t="shared" si="124"/>
        <v>1.9511389367560625</v>
      </c>
      <c r="CH82" s="18">
        <f t="shared" si="150"/>
        <v>0.99999999999999867</v>
      </c>
      <c r="CI82" s="18">
        <f t="shared" si="150"/>
        <v>0</v>
      </c>
      <c r="CJ82" s="18">
        <f t="shared" si="150"/>
        <v>-1.0545291308222111</v>
      </c>
      <c r="CK82" s="18">
        <f t="shared" si="150"/>
        <v>-2.1702400459838427</v>
      </c>
      <c r="CL82" s="18">
        <f t="shared" si="151"/>
        <v>-3.3546551029922975</v>
      </c>
      <c r="CM82" s="18">
        <f t="shared" si="151"/>
        <v>-4.6174716480291105</v>
      </c>
      <c r="CN82" s="18">
        <f t="shared" si="151"/>
        <v>-5.9691655072486576</v>
      </c>
      <c r="CO82" s="18">
        <f t="shared" si="151"/>
        <v>-7.4222109191583927</v>
      </c>
      <c r="CP82" s="18">
        <f t="shared" si="271"/>
        <v>-8.9884770652556725</v>
      </c>
      <c r="CQ82" s="18">
        <f t="shared" si="272"/>
        <v>-10.684131932299543</v>
      </c>
      <c r="CR82" s="18">
        <f t="shared" si="273"/>
        <v>-12.528245492239662</v>
      </c>
      <c r="CS82" s="18">
        <f t="shared" si="267"/>
        <v>-14.543876093357781</v>
      </c>
      <c r="CT82" s="18">
        <f t="shared" si="125"/>
        <v>-16.758524708177099</v>
      </c>
      <c r="CU82" s="18">
        <f t="shared" si="125"/>
        <v>-19.204490876138681</v>
      </c>
      <c r="CV82" s="18">
        <f t="shared" si="125"/>
        <v>-21.920699144626202</v>
      </c>
      <c r="CW82" s="18">
        <f t="shared" si="22"/>
        <v>-24.955025960443979</v>
      </c>
      <c r="CX82" s="17">
        <f t="shared" si="190"/>
        <v>1438.7982060767181</v>
      </c>
      <c r="CY82" s="17">
        <f t="shared" si="264"/>
        <v>1448.5800229109952</v>
      </c>
      <c r="CZ82" s="17">
        <f t="shared" si="264"/>
        <v>1481.6069404855843</v>
      </c>
      <c r="DA82" s="17">
        <f t="shared" si="264"/>
        <v>1521.8813441348364</v>
      </c>
      <c r="DB82" s="17">
        <f t="shared" si="264"/>
        <v>1581.6997642331289</v>
      </c>
      <c r="DC82" s="17">
        <f t="shared" si="264"/>
        <v>1633.6249845932373</v>
      </c>
      <c r="DD82" s="17">
        <f t="shared" si="263"/>
        <v>1699.5103587480305</v>
      </c>
      <c r="DE82" s="17">
        <f t="shared" si="263"/>
        <v>1756.4305867649496</v>
      </c>
      <c r="DF82" s="3" t="e">
        <f>#REF!+$AG$35*0.004*(1+$R$28)*#REF!-S82*#REF!</f>
        <v>#REF!</v>
      </c>
      <c r="DG82" s="19">
        <f t="shared" si="191"/>
        <v>2459.7571716476814</v>
      </c>
      <c r="DH82" s="19">
        <f t="shared" si="192"/>
        <v>2317.910584369351</v>
      </c>
      <c r="DI82" s="19">
        <f t="shared" si="193"/>
        <v>2192.5997680496348</v>
      </c>
      <c r="DJ82" s="19">
        <f t="shared" si="194"/>
        <v>2067.4346838403399</v>
      </c>
      <c r="DK82" s="19">
        <f t="shared" si="195"/>
        <v>1954.1119264724969</v>
      </c>
      <c r="DL82" s="19">
        <f t="shared" si="196"/>
        <v>1824.4940996643222</v>
      </c>
      <c r="DM82" s="19">
        <f t="shared" si="197"/>
        <v>1699.5103587480305</v>
      </c>
      <c r="DN82" s="19">
        <f t="shared" si="198"/>
        <v>1555.1535447482336</v>
      </c>
      <c r="DO82" s="173">
        <f t="shared" si="127"/>
        <v>62554.038207059304</v>
      </c>
      <c r="DP82" s="25">
        <f t="shared" si="279"/>
        <v>61115.240000982594</v>
      </c>
      <c r="DQ82" s="26">
        <f t="shared" si="279"/>
        <v>59666.659978071591</v>
      </c>
      <c r="DR82" s="26">
        <f t="shared" si="279"/>
        <v>58185.053037586011</v>
      </c>
      <c r="DS82" s="26">
        <f t="shared" si="279"/>
        <v>56663.171693451171</v>
      </c>
      <c r="DT82" s="26">
        <f t="shared" si="279"/>
        <v>55081.471929218045</v>
      </c>
      <c r="DU82" s="26">
        <f t="shared" si="279"/>
        <v>53447.84694462482</v>
      </c>
      <c r="DV82" s="26">
        <f t="shared" si="279"/>
        <v>51748.336585876787</v>
      </c>
      <c r="DW82" s="26">
        <f t="shared" si="279"/>
        <v>49991.905999111841</v>
      </c>
      <c r="DX82" s="26">
        <f t="shared" si="279"/>
        <v>48187.938512941255</v>
      </c>
      <c r="DY82" s="26">
        <f t="shared" si="279"/>
        <v>0</v>
      </c>
      <c r="DZ82" s="26">
        <f t="shared" si="279"/>
        <v>0</v>
      </c>
      <c r="EA82" s="26">
        <f t="shared" si="279"/>
        <v>0</v>
      </c>
      <c r="EB82" s="26">
        <f t="shared" si="279"/>
        <v>0</v>
      </c>
      <c r="EC82" s="26">
        <f t="shared" si="279"/>
        <v>0</v>
      </c>
      <c r="ED82" s="26">
        <f t="shared" si="279"/>
        <v>0</v>
      </c>
      <c r="EE82" s="26">
        <f t="shared" si="145"/>
        <v>0</v>
      </c>
      <c r="EF82" s="26">
        <f t="shared" si="34"/>
        <v>0</v>
      </c>
      <c r="EG82" s="26">
        <f t="shared" si="34"/>
        <v>0</v>
      </c>
      <c r="EH82" s="26">
        <f t="shared" si="34"/>
        <v>0</v>
      </c>
      <c r="EI82" s="26">
        <f t="shared" si="34"/>
        <v>0</v>
      </c>
      <c r="EJ82" s="26">
        <f t="shared" si="128"/>
        <v>7.2904141656736698E-2</v>
      </c>
      <c r="EK82" s="26">
        <f t="shared" si="128"/>
        <v>6.4286977025337644E-2</v>
      </c>
      <c r="EL82" s="26">
        <f t="shared" si="270"/>
        <v>5.4641526424135514E-2</v>
      </c>
      <c r="EM82" s="26">
        <f t="shared" si="270"/>
        <v>4.3658435332619518E-2</v>
      </c>
      <c r="EN82" s="26">
        <f t="shared" si="270"/>
        <v>3.1113775535221183E-2</v>
      </c>
      <c r="EO82" s="26">
        <f t="shared" si="270"/>
        <v>1.6620201203134524E-2</v>
      </c>
      <c r="EP82" s="26">
        <f t="shared" si="270"/>
        <v>0</v>
      </c>
      <c r="EQ82" s="26">
        <f t="shared" si="270"/>
        <v>-1.9196088336212891E-2</v>
      </c>
      <c r="ER82" s="26">
        <f t="shared" si="270"/>
        <v>-4.1233548013166789E-2</v>
      </c>
      <c r="ES82" s="26">
        <f t="shared" si="270"/>
        <v>-6.6407679639612596E-2</v>
      </c>
      <c r="ET82" s="26">
        <f t="shared" si="270"/>
        <v>-0.71551840738017769</v>
      </c>
      <c r="EU82" s="26">
        <f t="shared" si="270"/>
        <v>-0.7603149717068437</v>
      </c>
      <c r="EV82" s="26">
        <f t="shared" si="270"/>
        <v>-0.80974086196297179</v>
      </c>
      <c r="EW82" s="26">
        <f t="shared" si="270"/>
        <v>-0.86418367295909937</v>
      </c>
      <c r="EX82" s="26">
        <f t="shared" si="270"/>
        <v>-0.92437038352431566</v>
      </c>
      <c r="EY82" s="26">
        <f t="shared" si="269"/>
        <v>-0.99115100357046038</v>
      </c>
      <c r="EZ82" s="26">
        <f t="shared" si="269"/>
        <v>-1.065561487186576</v>
      </c>
      <c r="FA82" s="26">
        <f t="shared" si="269"/>
        <v>-1.1488278987715896</v>
      </c>
      <c r="FB82" s="26">
        <f t="shared" si="269"/>
        <v>-1.24236980620657</v>
      </c>
      <c r="FC82" s="26">
        <f t="shared" si="269"/>
        <v>-1.3478990841775889</v>
      </c>
      <c r="FD82" s="26">
        <f t="shared" si="269"/>
        <v>-1.4675318769932295</v>
      </c>
      <c r="FE82" s="26">
        <f t="shared" si="130"/>
        <v>5.0964554298728171</v>
      </c>
      <c r="FF82" s="26">
        <f t="shared" si="130"/>
        <v>4.3373793904729485</v>
      </c>
      <c r="FG82" s="26">
        <f t="shared" si="130"/>
        <v>3.5453513290571275</v>
      </c>
      <c r="FH82" s="26">
        <f t="shared" si="130"/>
        <v>2.7186888648585148</v>
      </c>
      <c r="FI82" s="26">
        <f t="shared" si="130"/>
        <v>1.854575220145843</v>
      </c>
      <c r="FJ82" s="26">
        <f t="shared" si="157"/>
        <v>0.9498468083653715</v>
      </c>
      <c r="FK82" s="26">
        <f t="shared" si="157"/>
        <v>0</v>
      </c>
      <c r="FL82" s="26">
        <f t="shared" si="157"/>
        <v>-0.999999999999996</v>
      </c>
      <c r="FM82" s="26">
        <f t="shared" si="157"/>
        <v>-2.0563199194529411</v>
      </c>
      <c r="FN82" s="26">
        <f t="shared" si="157"/>
        <v>-3.1759374719641271</v>
      </c>
      <c r="FO82" s="26">
        <f t="shared" si="170"/>
        <v>-4.3676148594708906</v>
      </c>
      <c r="FP82" s="26">
        <f t="shared" si="158"/>
        <v>-5.6410587541189194</v>
      </c>
      <c r="FQ82" s="26">
        <f t="shared" si="158"/>
        <v>-7.0077677645748579</v>
      </c>
      <c r="FR82" s="26">
        <f t="shared" si="158"/>
        <v>-8.4789340275526452</v>
      </c>
      <c r="FS82" s="26">
        <f t="shared" si="158"/>
        <v>-10.06945565413055</v>
      </c>
      <c r="FT82" s="26">
        <f t="shared" si="274"/>
        <v>-11.796917831733206</v>
      </c>
      <c r="FU82" s="26">
        <f t="shared" si="268"/>
        <v>-13.682569319626232</v>
      </c>
      <c r="FV82" s="26">
        <f t="shared" si="131"/>
        <v>-15.751769419487756</v>
      </c>
      <c r="FW82" s="26">
        <f t="shared" si="131"/>
        <v>-18.034337990942539</v>
      </c>
      <c r="FX82" s="26">
        <f t="shared" si="39"/>
        <v>1025373.0742617993</v>
      </c>
      <c r="FY82" s="26">
        <f t="shared" si="40"/>
        <v>83813.814528146351</v>
      </c>
      <c r="FZ82" s="26">
        <f t="shared" si="132"/>
        <v>0.74745506807657702</v>
      </c>
      <c r="GA82" s="26">
        <f t="shared" si="160"/>
        <v>0.7827893975629322</v>
      </c>
      <c r="GB82" s="26">
        <f t="shared" si="132"/>
        <v>0.82032317403447874</v>
      </c>
      <c r="GC82" s="26">
        <f t="shared" si="132"/>
        <v>0.86043000248403778</v>
      </c>
      <c r="GD82" s="26">
        <f t="shared" si="132"/>
        <v>0.90343628338978132</v>
      </c>
      <c r="GE82" s="26">
        <f t="shared" si="161"/>
        <v>0.94984680836537261</v>
      </c>
      <c r="GF82" s="26">
        <f t="shared" si="161"/>
        <v>1</v>
      </c>
      <c r="GG82" s="26">
        <f t="shared" si="161"/>
        <v>1.0545291308222124</v>
      </c>
      <c r="GH82" s="26">
        <f t="shared" si="161"/>
        <v>1.1139201265309033</v>
      </c>
      <c r="GI82" s="26">
        <f t="shared" si="161"/>
        <v>1.1787176310281726</v>
      </c>
      <c r="GJ82" s="26">
        <f t="shared" si="171"/>
        <v>1.2498567885582215</v>
      </c>
      <c r="GK82" s="26">
        <f t="shared" si="162"/>
        <v>1.3281067531297406</v>
      </c>
      <c r="GL82" s="26">
        <f t="shared" si="162"/>
        <v>1.4144431545835359</v>
      </c>
      <c r="GM82" s="26">
        <f t="shared" si="162"/>
        <v>1.5095430377030312</v>
      </c>
      <c r="GN82" s="26">
        <f t="shared" si="162"/>
        <v>1.6146762781689958</v>
      </c>
      <c r="GO82" s="26">
        <f t="shared" si="275"/>
        <v>1.7313276605064638</v>
      </c>
      <c r="GP82" s="26">
        <f t="shared" si="265"/>
        <v>1.8613067737315514</v>
      </c>
      <c r="GQ82" s="26">
        <f t="shared" si="134"/>
        <v>2.0067552886893449</v>
      </c>
      <c r="GR82" s="26">
        <f t="shared" si="134"/>
        <v>2.1701528851961456</v>
      </c>
      <c r="GS82" s="26">
        <f t="shared" si="134"/>
        <v>2.3544898401972829</v>
      </c>
      <c r="GT82" s="26">
        <f t="shared" si="134"/>
        <v>2.5634626027321836</v>
      </c>
      <c r="GU82" s="26">
        <f t="shared" si="135"/>
        <v>5.3490003617962403</v>
      </c>
      <c r="GV82" s="26">
        <f t="shared" si="164"/>
        <v>4.5545899929100182</v>
      </c>
      <c r="GW82" s="26">
        <f t="shared" si="135"/>
        <v>3.7250281550226498</v>
      </c>
      <c r="GX82" s="26">
        <f t="shared" si="135"/>
        <v>2.8582588623744796</v>
      </c>
      <c r="GY82" s="26">
        <f t="shared" si="135"/>
        <v>1.9511389367560625</v>
      </c>
      <c r="GZ82" s="26">
        <f t="shared" si="165"/>
        <v>0.99999999999999867</v>
      </c>
      <c r="HA82" s="26">
        <f t="shared" si="165"/>
        <v>0</v>
      </c>
      <c r="HB82" s="26">
        <f t="shared" si="165"/>
        <v>-1.0545291308222111</v>
      </c>
      <c r="HC82" s="26">
        <f t="shared" si="165"/>
        <v>-2.1702400459838427</v>
      </c>
      <c r="HD82" s="26">
        <f t="shared" si="165"/>
        <v>-3.3546551029922975</v>
      </c>
      <c r="HE82" s="26">
        <f t="shared" si="172"/>
        <v>-4.6174716480291105</v>
      </c>
      <c r="HF82" s="26">
        <f t="shared" si="166"/>
        <v>-5.9691655072486576</v>
      </c>
      <c r="HG82" s="26">
        <f t="shared" si="166"/>
        <v>-7.4222109191583927</v>
      </c>
      <c r="HH82" s="26">
        <f t="shared" si="166"/>
        <v>-8.9884770652556725</v>
      </c>
      <c r="HI82" s="26">
        <f t="shared" si="166"/>
        <v>-10.684131932299543</v>
      </c>
      <c r="HJ82" s="26">
        <f t="shared" si="276"/>
        <v>-12.528245492239662</v>
      </c>
      <c r="HK82" s="26">
        <f t="shared" si="266"/>
        <v>-14.543876093357781</v>
      </c>
      <c r="HL82" s="26">
        <f t="shared" si="137"/>
        <v>-16.758524708177099</v>
      </c>
      <c r="HM82" s="26">
        <f t="shared" si="137"/>
        <v>-19.204490876138681</v>
      </c>
      <c r="HN82" s="26">
        <f t="shared" si="137"/>
        <v>-21.920699144626202</v>
      </c>
      <c r="HO82" s="26">
        <f t="shared" si="137"/>
        <v>-24.955025960443979</v>
      </c>
      <c r="HP82" s="26">
        <f t="shared" si="199"/>
        <v>537522.02624937997</v>
      </c>
      <c r="HQ82" s="26">
        <f t="shared" si="200"/>
        <v>549576.55221489619</v>
      </c>
      <c r="HR82" s="26">
        <f t="shared" si="201"/>
        <v>562853.56763039168</v>
      </c>
      <c r="HS82" s="26">
        <f t="shared" si="202"/>
        <v>577474.84311606875</v>
      </c>
      <c r="HT82" s="26">
        <f t="shared" si="203"/>
        <v>593688.30910607218</v>
      </c>
      <c r="HU82" s="26">
        <f t="shared" si="204"/>
        <v>611789.25116510759</v>
      </c>
      <c r="HV82" s="26">
        <f t="shared" si="205"/>
        <v>632215.9078880985</v>
      </c>
      <c r="HW82" s="26">
        <f t="shared" si="206"/>
        <v>655481.91096312634</v>
      </c>
      <c r="HX82" s="26">
        <f t="shared" si="207"/>
        <v>682220.43014389882</v>
      </c>
      <c r="HY82" s="26">
        <f t="shared" si="208"/>
        <v>713158.62604827771</v>
      </c>
      <c r="HZ82" s="26">
        <f t="shared" si="209"/>
        <v>713703.19558769197</v>
      </c>
      <c r="IA82" s="26">
        <f t="shared" si="210"/>
        <v>755328.40029878868</v>
      </c>
      <c r="IB82" s="26">
        <f t="shared" si="211"/>
        <v>804430.12788504898</v>
      </c>
      <c r="IC82" s="26">
        <f t="shared" si="212"/>
        <v>862211.10286027845</v>
      </c>
      <c r="ID82" s="26">
        <f t="shared" si="213"/>
        <v>930342.64029506466</v>
      </c>
      <c r="IE82" s="26">
        <f t="shared" si="214"/>
        <v>1010816.7564466136</v>
      </c>
      <c r="IF82" s="26">
        <f t="shared" si="215"/>
        <v>1106066.9287566452</v>
      </c>
      <c r="IG82" s="26">
        <f t="shared" si="216"/>
        <v>1219019.7515498714</v>
      </c>
      <c r="IH82" s="26">
        <f t="shared" si="217"/>
        <v>1353135.3606223597</v>
      </c>
      <c r="II82" s="26">
        <f t="shared" si="218"/>
        <v>-117544092982.28284</v>
      </c>
      <c r="IJ82" s="26">
        <f t="shared" si="219"/>
        <v>557862.66321148712</v>
      </c>
      <c r="IK82" s="26">
        <f t="shared" si="220"/>
        <v>569456.29034518881</v>
      </c>
      <c r="IL82" s="26">
        <f t="shared" si="221"/>
        <v>582350.18992475094</v>
      </c>
      <c r="IM82" s="26">
        <f t="shared" si="222"/>
        <v>596674.89211826143</v>
      </c>
      <c r="IN82" s="26">
        <f t="shared" si="223"/>
        <v>612690.78550419828</v>
      </c>
      <c r="IO82" s="26">
        <f t="shared" si="224"/>
        <v>630707.5386639802</v>
      </c>
      <c r="IP82" s="26">
        <f t="shared" si="225"/>
        <v>651182.38512474147</v>
      </c>
      <c r="IQ82" s="26">
        <f t="shared" si="226"/>
        <v>674651.01726093073</v>
      </c>
      <c r="IR82" s="26">
        <f t="shared" si="227"/>
        <v>701773.23738545482</v>
      </c>
      <c r="IS82" s="26">
        <f t="shared" si="228"/>
        <v>733306.98665733985</v>
      </c>
      <c r="IT82" s="26">
        <f t="shared" si="229"/>
        <v>733631.32312319078</v>
      </c>
      <c r="IU82" s="26">
        <f t="shared" si="230"/>
        <v>776377.10140774178</v>
      </c>
      <c r="IV82" s="26">
        <f t="shared" si="231"/>
        <v>826946.6914865115</v>
      </c>
      <c r="IW82" s="26">
        <f t="shared" si="232"/>
        <v>886596.81297477393</v>
      </c>
      <c r="IX82" s="26">
        <f t="shared" si="233"/>
        <v>957069.56553794793</v>
      </c>
      <c r="IY82" s="26">
        <f t="shared" si="234"/>
        <v>1040441.4901166472</v>
      </c>
      <c r="IZ82" s="26">
        <f t="shared" si="235"/>
        <v>1139248.9366193446</v>
      </c>
      <c r="JA82" s="26">
        <f t="shared" si="236"/>
        <v>1256542.6367143525</v>
      </c>
      <c r="JB82" s="26">
        <f t="shared" si="237"/>
        <v>1395930.920866274</v>
      </c>
      <c r="JC82" s="26">
        <f t="shared" si="238"/>
        <v>-121070411969.65343</v>
      </c>
      <c r="JD82" s="26">
        <f t="shared" si="239"/>
        <v>147857.59293593769</v>
      </c>
      <c r="JE82" s="26">
        <f t="shared" si="240"/>
        <v>237540.44406068197</v>
      </c>
      <c r="JF82" s="26">
        <f t="shared" si="241"/>
        <v>332098.2309673407</v>
      </c>
      <c r="JG82" s="26">
        <f t="shared" si="242"/>
        <v>432082.2926472479</v>
      </c>
      <c r="JH82" s="26">
        <f t="shared" si="243"/>
        <v>538141.86358333856</v>
      </c>
      <c r="JI82" s="26">
        <f t="shared" si="244"/>
        <v>651182.38512474147</v>
      </c>
      <c r="JJ82" s="26">
        <f t="shared" si="245"/>
        <v>772264.21814769111</v>
      </c>
      <c r="JK82" s="26">
        <f t="shared" si="246"/>
        <v>902662.97232899221</v>
      </c>
      <c r="JL82" s="26">
        <f t="shared" si="247"/>
        <v>1043832.9009285416</v>
      </c>
      <c r="JM82" s="26">
        <f t="shared" si="248"/>
        <v>1161050.7033887287</v>
      </c>
      <c r="JN82" s="26">
        <f t="shared" si="249"/>
        <v>1328916.9362542951</v>
      </c>
      <c r="JO82" s="26">
        <f t="shared" si="250"/>
        <v>1513988.6558093186</v>
      </c>
      <c r="JP82" s="26">
        <f t="shared" si="251"/>
        <v>1718621.2604670306</v>
      </c>
      <c r="JQ82" s="26">
        <f t="shared" si="252"/>
        <v>1946053.4505018964</v>
      </c>
      <c r="JR82" s="26">
        <f t="shared" si="253"/>
        <v>2200126.9916818184</v>
      </c>
      <c r="JS82" s="26">
        <f t="shared" si="254"/>
        <v>2485512.6454902142</v>
      </c>
      <c r="JT82" s="26">
        <f t="shared" si="255"/>
        <v>2807806.7896823799</v>
      </c>
      <c r="JU82" s="26">
        <f t="shared" si="256"/>
        <v>3173607.5833960762</v>
      </c>
      <c r="JV82" s="26">
        <f t="shared" si="257"/>
        <v>-121068382865.33887</v>
      </c>
      <c r="JW82" s="26">
        <f t="shared" si="258"/>
        <v>2457836.4176193746</v>
      </c>
      <c r="JX82" s="26" t="e">
        <f>AH82+$AG$38*0.004*(1+$R$28)*#REF!-S82*#REF!</f>
        <v>#REF!</v>
      </c>
      <c r="JY82" s="34">
        <f t="shared" si="259"/>
        <v>5.8882862790815518E-2</v>
      </c>
      <c r="JZ82" s="4">
        <f t="shared" si="260"/>
        <v>43955.124738918268</v>
      </c>
      <c r="KA82" s="165"/>
    </row>
    <row r="83" spans="1:287" ht="15.75" x14ac:dyDescent="0.3">
      <c r="A83" s="34">
        <v>82</v>
      </c>
      <c r="B83" s="34">
        <v>55</v>
      </c>
      <c r="C83" s="2">
        <v>860365</v>
      </c>
      <c r="D83" s="1">
        <f t="shared" si="106"/>
        <v>8066</v>
      </c>
      <c r="E83" s="145">
        <f t="shared" si="107"/>
        <v>0.99062490919551582</v>
      </c>
      <c r="F83" s="146">
        <f t="shared" si="108"/>
        <v>9.3750908044841763E-3</v>
      </c>
      <c r="G83" s="158">
        <f t="shared" si="173"/>
        <v>1.171886350560522E-2</v>
      </c>
      <c r="H83" s="43">
        <f t="shared" si="109"/>
        <v>9709.3308732449368</v>
      </c>
      <c r="I83" s="43">
        <f>I82-H82</f>
        <v>828521.54294662538</v>
      </c>
      <c r="J83" s="43">
        <f t="shared" si="110"/>
        <v>856332</v>
      </c>
      <c r="K83" s="147">
        <f>SUM(J83:$J$138)</f>
        <v>20774841.5</v>
      </c>
      <c r="L83" s="147">
        <f t="shared" si="111"/>
        <v>24.146544199264266</v>
      </c>
      <c r="M83" s="43">
        <f t="shared" si="174"/>
        <v>1070415</v>
      </c>
      <c r="N83" s="148">
        <f t="shared" si="175"/>
        <v>25968551.875</v>
      </c>
      <c r="O83" s="147">
        <f t="shared" si="6"/>
        <v>30.183180249080333</v>
      </c>
      <c r="P83" s="157">
        <f t="shared" si="176"/>
        <v>124906.36410356843</v>
      </c>
      <c r="Q83" s="43">
        <f t="shared" si="177"/>
        <v>1075456.25</v>
      </c>
      <c r="R83" s="43">
        <f t="shared" si="178"/>
        <v>1438.7982060767181</v>
      </c>
      <c r="S83" s="43">
        <f>SUM(R83:$R$138)</f>
        <v>62554.038207059304</v>
      </c>
      <c r="T83" s="43">
        <f t="shared" si="112"/>
        <v>1169362.7590273265</v>
      </c>
      <c r="U83" s="153">
        <f>SUM(P83:$P$138)</f>
        <v>1875393.3577380853</v>
      </c>
      <c r="V83" s="129">
        <f t="shared" si="179"/>
        <v>1113907.2760732146</v>
      </c>
      <c r="W83" s="43">
        <f t="shared" si="180"/>
        <v>88534.201811415609</v>
      </c>
      <c r="X83" s="26">
        <f t="shared" si="114"/>
        <v>6.0964554298728162</v>
      </c>
      <c r="Y83" s="26">
        <f t="shared" si="115"/>
        <v>0.70880457090245486</v>
      </c>
      <c r="Z83" s="43">
        <f t="shared" si="181"/>
        <v>51748.336585876787</v>
      </c>
      <c r="AA83" s="149">
        <f t="shared" si="116"/>
        <v>8.6510416812891691E-2</v>
      </c>
      <c r="AB83" s="150">
        <f t="shared" si="138"/>
        <v>1750486.9936345171</v>
      </c>
      <c r="AC83" s="150">
        <f t="shared" si="117"/>
        <v>1025373.0742617993</v>
      </c>
      <c r="AD83" s="26">
        <f t="shared" si="118"/>
        <v>5.8052600007752693</v>
      </c>
      <c r="AE83" s="26">
        <f t="shared" si="182"/>
        <v>546140.77406463912</v>
      </c>
      <c r="AF83" s="43">
        <f t="shared" si="183"/>
        <v>89583.329255313307</v>
      </c>
      <c r="AG83" s="43">
        <f t="shared" si="184"/>
        <v>567668.26485222077</v>
      </c>
      <c r="AH83" s="27">
        <f t="shared" si="185"/>
        <v>96957.281195172429</v>
      </c>
      <c r="AI83" s="28">
        <f t="shared" si="186"/>
        <v>610395.98371206538</v>
      </c>
      <c r="AJ83" s="20">
        <f t="shared" si="187"/>
        <v>104255.14107007789</v>
      </c>
      <c r="AK83" s="3">
        <f t="shared" si="188"/>
        <v>9035.4455594067513</v>
      </c>
      <c r="AL83" s="3"/>
      <c r="AM83" s="46">
        <f t="shared" si="121"/>
        <v>1750486.9936345171</v>
      </c>
      <c r="AN83" s="46">
        <f t="shared" si="122"/>
        <v>1631218.7777198723</v>
      </c>
      <c r="AO83" s="46">
        <f t="shared" si="122"/>
        <v>1517407.6629794927</v>
      </c>
      <c r="AP83" s="3">
        <f t="shared" si="278"/>
        <v>1408901.5734490284</v>
      </c>
      <c r="AQ83" s="3">
        <f t="shared" si="278"/>
        <v>1305560.6997197517</v>
      </c>
      <c r="AR83" s="16">
        <f t="shared" si="278"/>
        <v>1207269.1709574449</v>
      </c>
      <c r="AS83" s="16">
        <f t="shared" si="278"/>
        <v>1113907.2760732146</v>
      </c>
      <c r="AT83" s="16">
        <f t="shared" si="278"/>
        <v>1025373.0742617993</v>
      </c>
      <c r="AU83" s="16">
        <f t="shared" si="278"/>
        <v>941559.25973365293</v>
      </c>
      <c r="AV83" s="16">
        <f t="shared" si="278"/>
        <v>862352.93208858941</v>
      </c>
      <c r="AW83" s="16">
        <f t="shared" si="278"/>
        <v>787654.85808610427</v>
      </c>
      <c r="AX83" s="16">
        <f t="shared" si="278"/>
        <v>717357.87731688586</v>
      </c>
      <c r="AY83" s="16">
        <f t="shared" si="278"/>
        <v>651351.76418205327</v>
      </c>
      <c r="AZ83" s="16">
        <f t="shared" si="278"/>
        <v>589503.97809554788</v>
      </c>
      <c r="BA83" s="16">
        <f t="shared" si="278"/>
        <v>531683.16525119205</v>
      </c>
      <c r="BB83" s="16">
        <f t="shared" si="278"/>
        <v>477758.13591450383</v>
      </c>
      <c r="BC83" s="16">
        <f t="shared" si="144"/>
        <v>427598.80903629219</v>
      </c>
      <c r="BD83" s="16">
        <f t="shared" si="18"/>
        <v>381075.0024663306</v>
      </c>
      <c r="BE83" s="16">
        <f t="shared" si="18"/>
        <v>338054.11876679707</v>
      </c>
      <c r="BF83" s="16">
        <f t="shared" si="18"/>
        <v>298401.41214207554</v>
      </c>
      <c r="BG83" s="16">
        <f t="shared" si="18"/>
        <v>261981.18319677183</v>
      </c>
      <c r="BH83" s="172">
        <f t="shared" si="123"/>
        <v>119268.21591464471</v>
      </c>
      <c r="BI83" s="16">
        <f t="shared" si="277"/>
        <v>113811.11474037961</v>
      </c>
      <c r="BJ83" s="16">
        <f t="shared" si="277"/>
        <v>108506.0895304641</v>
      </c>
      <c r="BK83" s="16">
        <f t="shared" si="277"/>
        <v>103340.87372927672</v>
      </c>
      <c r="BL83" s="16">
        <f t="shared" si="277"/>
        <v>98291.528762306916</v>
      </c>
      <c r="BM83" s="16">
        <f t="shared" si="277"/>
        <v>93361.894884230453</v>
      </c>
      <c r="BN83" s="16">
        <f t="shared" si="277"/>
        <v>88534.201811415609</v>
      </c>
      <c r="BO83" s="16">
        <f t="shared" si="277"/>
        <v>83813.814528146351</v>
      </c>
      <c r="BP83" s="16">
        <f t="shared" si="277"/>
        <v>79206.327645063458</v>
      </c>
      <c r="BQ83" s="16">
        <f t="shared" si="277"/>
        <v>74698.07400248514</v>
      </c>
      <c r="BR83" s="16">
        <f t="shared" si="277"/>
        <v>70296.980769218397</v>
      </c>
      <c r="BS83" s="16">
        <f t="shared" si="277"/>
        <v>66006.113134832645</v>
      </c>
      <c r="BT83" s="16">
        <f t="shared" si="277"/>
        <v>61847.786086505286</v>
      </c>
      <c r="BU83" s="16">
        <f t="shared" si="277"/>
        <v>57820.812844355773</v>
      </c>
      <c r="BV83" s="16">
        <f t="shared" si="277"/>
        <v>53925.029336687992</v>
      </c>
      <c r="BW83" s="16">
        <f t="shared" si="277"/>
        <v>50159.326878211672</v>
      </c>
      <c r="BX83" s="16">
        <f t="shared" si="168"/>
        <v>46523.806569961562</v>
      </c>
      <c r="BY83" s="16">
        <f t="shared" si="149"/>
        <v>43020.8836995335</v>
      </c>
      <c r="BZ83" s="16">
        <f t="shared" si="149"/>
        <v>39652.706624721577</v>
      </c>
      <c r="CA83" s="16">
        <f t="shared" si="149"/>
        <v>36420.228945303788</v>
      </c>
      <c r="CB83" s="16">
        <f t="shared" si="149"/>
        <v>33322.919282020994</v>
      </c>
      <c r="CC83" s="18">
        <f t="shared" si="124"/>
        <v>5.3373793904729494</v>
      </c>
      <c r="CD83" s="18">
        <f t="shared" si="124"/>
        <v>4.5453513290571275</v>
      </c>
      <c r="CE83" s="18">
        <f t="shared" si="124"/>
        <v>3.7186888648585161</v>
      </c>
      <c r="CF83" s="18">
        <f t="shared" si="124"/>
        <v>2.8545752201458425</v>
      </c>
      <c r="CG83" s="18">
        <f t="shared" si="124"/>
        <v>1.9498468083653702</v>
      </c>
      <c r="CH83" s="18">
        <f t="shared" si="150"/>
        <v>0.99999999999999878</v>
      </c>
      <c r="CI83" s="18">
        <f t="shared" si="150"/>
        <v>0</v>
      </c>
      <c r="CJ83" s="18">
        <f t="shared" si="150"/>
        <v>-1.0563199194529407</v>
      </c>
      <c r="CK83" s="18">
        <f t="shared" si="150"/>
        <v>-2.1759374719641262</v>
      </c>
      <c r="CL83" s="18">
        <f t="shared" si="151"/>
        <v>-3.3676148594708906</v>
      </c>
      <c r="CM83" s="18">
        <f t="shared" si="151"/>
        <v>-4.6410587541189186</v>
      </c>
      <c r="CN83" s="18">
        <f t="shared" si="151"/>
        <v>-6.0077677645748588</v>
      </c>
      <c r="CO83" s="18">
        <f t="shared" si="151"/>
        <v>-7.4789340275526435</v>
      </c>
      <c r="CP83" s="18">
        <f t="shared" si="271"/>
        <v>-9.0694556541305484</v>
      </c>
      <c r="CQ83" s="18">
        <f t="shared" si="272"/>
        <v>-10.7969178317332</v>
      </c>
      <c r="CR83" s="18">
        <f t="shared" si="273"/>
        <v>-12.682569319626232</v>
      </c>
      <c r="CS83" s="18">
        <f t="shared" si="267"/>
        <v>-14.751769419487754</v>
      </c>
      <c r="CT83" s="18">
        <f t="shared" si="125"/>
        <v>-17.034337990942539</v>
      </c>
      <c r="CU83" s="18">
        <f t="shared" si="125"/>
        <v>-19.56620930442892</v>
      </c>
      <c r="CV83" s="18">
        <f t="shared" si="125"/>
        <v>-22.391563357711799</v>
      </c>
      <c r="CW83" s="18">
        <f t="shared" si="22"/>
        <v>-25.565770083537963</v>
      </c>
      <c r="CX83" s="17">
        <f t="shared" si="190"/>
        <v>1448.5800229109952</v>
      </c>
      <c r="CY83" s="17">
        <f t="shared" si="264"/>
        <v>1481.6069404855843</v>
      </c>
      <c r="CZ83" s="17">
        <f t="shared" si="264"/>
        <v>1521.8813441348364</v>
      </c>
      <c r="DA83" s="17">
        <f t="shared" si="264"/>
        <v>1581.6997642331289</v>
      </c>
      <c r="DB83" s="17">
        <f t="shared" si="264"/>
        <v>1633.6249845932373</v>
      </c>
      <c r="DC83" s="17">
        <f t="shared" si="264"/>
        <v>1699.5103587480305</v>
      </c>
      <c r="DD83" s="17">
        <f t="shared" si="263"/>
        <v>1756.4305867649496</v>
      </c>
      <c r="DE83" s="17">
        <f t="shared" si="263"/>
        <v>1803.9674861705869</v>
      </c>
      <c r="DF83" s="3" t="e">
        <f>#REF!+$AG$35*0.004*(1+$R$28)*#REF!-S83*#REF!</f>
        <v>#REF!</v>
      </c>
      <c r="DG83" s="19">
        <f t="shared" si="191"/>
        <v>2472.5319751411366</v>
      </c>
      <c r="DH83" s="19">
        <f t="shared" si="192"/>
        <v>2353.6119126761596</v>
      </c>
      <c r="DI83" s="19">
        <f t="shared" si="193"/>
        <v>2235.2948836904266</v>
      </c>
      <c r="DJ83" s="19">
        <f t="shared" si="194"/>
        <v>2129.3370325662531</v>
      </c>
      <c r="DK83" s="19">
        <f t="shared" si="195"/>
        <v>2007.694223429661</v>
      </c>
      <c r="DL83" s="19">
        <f t="shared" si="196"/>
        <v>1891.3558089811281</v>
      </c>
      <c r="DM83" s="19">
        <f t="shared" si="197"/>
        <v>1756.4305867649496</v>
      </c>
      <c r="DN83" s="19">
        <f t="shared" si="198"/>
        <v>1601.3173156329476</v>
      </c>
      <c r="DO83" s="173">
        <f t="shared" si="127"/>
        <v>61115.240000982594</v>
      </c>
      <c r="DP83" s="25">
        <f t="shared" si="279"/>
        <v>59666.659978071591</v>
      </c>
      <c r="DQ83" s="26">
        <f t="shared" si="279"/>
        <v>58185.053037586011</v>
      </c>
      <c r="DR83" s="26">
        <f t="shared" si="279"/>
        <v>56663.171693451171</v>
      </c>
      <c r="DS83" s="26">
        <f t="shared" si="279"/>
        <v>55081.471929218045</v>
      </c>
      <c r="DT83" s="26">
        <f t="shared" si="279"/>
        <v>53447.84694462482</v>
      </c>
      <c r="DU83" s="26">
        <f t="shared" si="279"/>
        <v>51748.336585876787</v>
      </c>
      <c r="DV83" s="26">
        <f t="shared" si="279"/>
        <v>49991.905999111841</v>
      </c>
      <c r="DW83" s="26">
        <f t="shared" si="279"/>
        <v>48187.938512941255</v>
      </c>
      <c r="DX83" s="26">
        <f t="shared" si="279"/>
        <v>0</v>
      </c>
      <c r="DY83" s="26">
        <f t="shared" si="279"/>
        <v>0</v>
      </c>
      <c r="DZ83" s="26">
        <f t="shared" si="279"/>
        <v>0</v>
      </c>
      <c r="EA83" s="26">
        <f t="shared" si="279"/>
        <v>0</v>
      </c>
      <c r="EB83" s="26">
        <f t="shared" si="279"/>
        <v>0</v>
      </c>
      <c r="EC83" s="26">
        <f t="shared" si="279"/>
        <v>0</v>
      </c>
      <c r="ED83" s="26">
        <f t="shared" si="279"/>
        <v>0</v>
      </c>
      <c r="EE83" s="26">
        <f t="shared" si="145"/>
        <v>0</v>
      </c>
      <c r="EF83" s="26">
        <f t="shared" si="34"/>
        <v>0</v>
      </c>
      <c r="EG83" s="26">
        <f t="shared" si="34"/>
        <v>0</v>
      </c>
      <c r="EH83" s="26">
        <f t="shared" si="34"/>
        <v>0</v>
      </c>
      <c r="EI83" s="26">
        <f t="shared" si="34"/>
        <v>0</v>
      </c>
      <c r="EJ83" s="26">
        <f t="shared" si="128"/>
        <v>7.8536459552721996E-2</v>
      </c>
      <c r="EK83" s="26">
        <f t="shared" si="128"/>
        <v>6.9574253887748141E-2</v>
      </c>
      <c r="EL83" s="26">
        <f t="shared" si="270"/>
        <v>5.932124620436216E-2</v>
      </c>
      <c r="EM83" s="26">
        <f t="shared" si="270"/>
        <v>4.755944990797964E-2</v>
      </c>
      <c r="EN83" s="26">
        <f t="shared" si="270"/>
        <v>3.3910708128282341E-2</v>
      </c>
      <c r="EO83" s="26">
        <f t="shared" si="270"/>
        <v>1.8203468994019891E-2</v>
      </c>
      <c r="EP83" s="26">
        <f t="shared" si="270"/>
        <v>0</v>
      </c>
      <c r="EQ83" s="26">
        <f t="shared" si="270"/>
        <v>-2.0956337528046775E-2</v>
      </c>
      <c r="ER83" s="26">
        <f t="shared" si="270"/>
        <v>-4.4950929790486677E-2</v>
      </c>
      <c r="ES83" s="26">
        <f t="shared" si="270"/>
        <v>-0.69276667808269277</v>
      </c>
      <c r="ET83" s="26">
        <f t="shared" si="270"/>
        <v>-0.73613882160549804</v>
      </c>
      <c r="EU83" s="26">
        <f t="shared" si="270"/>
        <v>-0.78399308985470673</v>
      </c>
      <c r="EV83" s="26">
        <f t="shared" si="270"/>
        <v>-0.83670475307713366</v>
      </c>
      <c r="EW83" s="26">
        <f t="shared" si="270"/>
        <v>-0.89497767395928685</v>
      </c>
      <c r="EX83" s="26">
        <f t="shared" si="270"/>
        <v>-0.95963483418394191</v>
      </c>
      <c r="EY83" s="26">
        <f t="shared" si="269"/>
        <v>-1.0316792470425944</v>
      </c>
      <c r="EZ83" s="26">
        <f t="shared" si="269"/>
        <v>-1.1122979910953477</v>
      </c>
      <c r="FA83" s="26">
        <f t="shared" si="269"/>
        <v>-1.2028654954486191</v>
      </c>
      <c r="FB83" s="26">
        <f t="shared" si="269"/>
        <v>-1.3050392013748227</v>
      </c>
      <c r="FC83" s="26">
        <f t="shared" si="269"/>
        <v>-1.4208679649870648</v>
      </c>
      <c r="FD83" s="26">
        <f t="shared" si="269"/>
        <v>-1.5529352680032755</v>
      </c>
      <c r="FE83" s="26">
        <f t="shared" si="130"/>
        <v>5.0796911718009721</v>
      </c>
      <c r="FF83" s="26">
        <f t="shared" si="130"/>
        <v>4.3232560355822782</v>
      </c>
      <c r="FG83" s="26">
        <f t="shared" si="130"/>
        <v>3.5346264974331221</v>
      </c>
      <c r="FH83" s="26">
        <f t="shared" si="130"/>
        <v>2.7112953021082746</v>
      </c>
      <c r="FI83" s="26">
        <f t="shared" si="130"/>
        <v>1.8505775521664241</v>
      </c>
      <c r="FJ83" s="26">
        <f t="shared" si="157"/>
        <v>0.94829054103066812</v>
      </c>
      <c r="FK83" s="26">
        <f t="shared" si="157"/>
        <v>0</v>
      </c>
      <c r="FL83" s="26">
        <f t="shared" si="157"/>
        <v>-1.0000000000000007</v>
      </c>
      <c r="FM83" s="26">
        <f t="shared" si="157"/>
        <v>-2.0581706919140337</v>
      </c>
      <c r="FN83" s="26">
        <f t="shared" si="157"/>
        <v>-3.1823874892381614</v>
      </c>
      <c r="FO83" s="26">
        <f t="shared" si="170"/>
        <v>-4.3816276826470331</v>
      </c>
      <c r="FP83" s="26">
        <f t="shared" si="158"/>
        <v>-5.6664647002577118</v>
      </c>
      <c r="FQ83" s="26">
        <f t="shared" si="158"/>
        <v>-7.04744864362016</v>
      </c>
      <c r="FR83" s="26">
        <f t="shared" si="158"/>
        <v>-8.5382734127162863</v>
      </c>
      <c r="FS83" s="26">
        <f t="shared" si="158"/>
        <v>-10.155116187850169</v>
      </c>
      <c r="FT83" s="26">
        <f t="shared" si="274"/>
        <v>-11.917509712140291</v>
      </c>
      <c r="FU83" s="26">
        <f t="shared" si="268"/>
        <v>-13.84878236106038</v>
      </c>
      <c r="FV83" s="26">
        <f t="shared" si="131"/>
        <v>-15.976402537320618</v>
      </c>
      <c r="FW83" s="26">
        <f t="shared" si="131"/>
        <v>-18.333468860017025</v>
      </c>
      <c r="FX83" s="26">
        <f t="shared" si="39"/>
        <v>941559.25973365293</v>
      </c>
      <c r="FY83" s="26">
        <f t="shared" si="40"/>
        <v>79206.327645063458</v>
      </c>
      <c r="FZ83" s="26">
        <f t="shared" si="132"/>
        <v>0.74231178132802667</v>
      </c>
      <c r="GA83" s="26">
        <f t="shared" si="160"/>
        <v>0.77790470652515387</v>
      </c>
      <c r="GB83" s="26">
        <f t="shared" si="132"/>
        <v>0.81593763257461049</v>
      </c>
      <c r="GC83" s="26">
        <f t="shared" si="132"/>
        <v>0.8567200819624351</v>
      </c>
      <c r="GD83" s="26">
        <f t="shared" si="132"/>
        <v>0.90073074380105611</v>
      </c>
      <c r="GE83" s="26">
        <f t="shared" si="161"/>
        <v>0.94829054103067179</v>
      </c>
      <c r="GF83" s="26">
        <f t="shared" si="161"/>
        <v>1</v>
      </c>
      <c r="GG83" s="26">
        <f t="shared" si="161"/>
        <v>1.0563199194529449</v>
      </c>
      <c r="GH83" s="26">
        <f t="shared" si="161"/>
        <v>1.1177667800500977</v>
      </c>
      <c r="GI83" s="26">
        <f t="shared" si="161"/>
        <v>1.1852273702327338</v>
      </c>
      <c r="GJ83" s="26">
        <f t="shared" si="171"/>
        <v>1.2594310714718906</v>
      </c>
      <c r="GK83" s="26">
        <f t="shared" si="162"/>
        <v>1.3413030643171515</v>
      </c>
      <c r="GL83" s="26">
        <f t="shared" si="162"/>
        <v>1.4314853839324913</v>
      </c>
      <c r="GM83" s="26">
        <f t="shared" si="162"/>
        <v>1.5311822414142686</v>
      </c>
      <c r="GN83" s="26">
        <f t="shared" si="162"/>
        <v>1.6418016438830418</v>
      </c>
      <c r="GO83" s="26">
        <f t="shared" si="275"/>
        <v>1.765059607485947</v>
      </c>
      <c r="GP83" s="26">
        <f t="shared" si="265"/>
        <v>1.9029870584273809</v>
      </c>
      <c r="GQ83" s="26">
        <f t="shared" si="134"/>
        <v>2.0579354536219263</v>
      </c>
      <c r="GR83" s="26">
        <f t="shared" si="134"/>
        <v>2.2327404444119017</v>
      </c>
      <c r="GS83" s="26">
        <f t="shared" si="134"/>
        <v>2.4309073384567963</v>
      </c>
      <c r="GT83" s="26">
        <f t="shared" si="134"/>
        <v>2.6568561134193076</v>
      </c>
      <c r="GU83" s="26">
        <f t="shared" si="135"/>
        <v>5.3373793904729494</v>
      </c>
      <c r="GV83" s="26">
        <f t="shared" si="164"/>
        <v>4.5453513290571275</v>
      </c>
      <c r="GW83" s="26">
        <f t="shared" si="135"/>
        <v>3.7186888648585161</v>
      </c>
      <c r="GX83" s="26">
        <f t="shared" si="135"/>
        <v>2.8545752201458425</v>
      </c>
      <c r="GY83" s="26">
        <f t="shared" si="135"/>
        <v>1.9498468083653702</v>
      </c>
      <c r="GZ83" s="26">
        <f t="shared" si="165"/>
        <v>0.99999999999999878</v>
      </c>
      <c r="HA83" s="26">
        <f t="shared" si="165"/>
        <v>0</v>
      </c>
      <c r="HB83" s="26">
        <f t="shared" si="165"/>
        <v>-1.0563199194529407</v>
      </c>
      <c r="HC83" s="26">
        <f t="shared" si="165"/>
        <v>-2.1759374719641262</v>
      </c>
      <c r="HD83" s="26">
        <f t="shared" si="165"/>
        <v>-3.3676148594708906</v>
      </c>
      <c r="HE83" s="26">
        <f t="shared" si="172"/>
        <v>-4.6410587541189186</v>
      </c>
      <c r="HF83" s="26">
        <f t="shared" si="166"/>
        <v>-6.0077677645748588</v>
      </c>
      <c r="HG83" s="26">
        <f t="shared" si="166"/>
        <v>-7.4789340275526435</v>
      </c>
      <c r="HH83" s="26">
        <f t="shared" si="166"/>
        <v>-9.0694556541305484</v>
      </c>
      <c r="HI83" s="26">
        <f t="shared" si="166"/>
        <v>-10.7969178317332</v>
      </c>
      <c r="HJ83" s="26">
        <f t="shared" si="276"/>
        <v>-12.682569319626232</v>
      </c>
      <c r="HK83" s="26">
        <f t="shared" si="266"/>
        <v>-14.751769419487754</v>
      </c>
      <c r="HL83" s="26">
        <f t="shared" si="137"/>
        <v>-17.034337990942539</v>
      </c>
      <c r="HM83" s="26">
        <f t="shared" si="137"/>
        <v>-19.56620930442892</v>
      </c>
      <c r="HN83" s="26">
        <f t="shared" si="137"/>
        <v>-22.391563357711799</v>
      </c>
      <c r="HO83" s="26">
        <f t="shared" si="137"/>
        <v>-25.565770083537963</v>
      </c>
      <c r="HP83" s="26">
        <f t="shared" si="199"/>
        <v>539177.0211252867</v>
      </c>
      <c r="HQ83" s="26">
        <f t="shared" si="200"/>
        <v>550938.67536711751</v>
      </c>
      <c r="HR83" s="26">
        <f t="shared" si="201"/>
        <v>563848.49865872611</v>
      </c>
      <c r="HS83" s="26">
        <f t="shared" si="202"/>
        <v>578120.71167889121</v>
      </c>
      <c r="HT83" s="26">
        <f t="shared" si="203"/>
        <v>593996.74439319794</v>
      </c>
      <c r="HU83" s="26">
        <f t="shared" si="204"/>
        <v>611879.99981223745</v>
      </c>
      <c r="HV83" s="26">
        <f t="shared" si="205"/>
        <v>632215.9078880985</v>
      </c>
      <c r="HW83" s="26">
        <f t="shared" si="206"/>
        <v>655586.30458450271</v>
      </c>
      <c r="HX83" s="26">
        <f t="shared" si="207"/>
        <v>682660.48206469067</v>
      </c>
      <c r="HY83" s="26">
        <f t="shared" si="208"/>
        <v>678743.05130807206</v>
      </c>
      <c r="HZ83" s="26">
        <f t="shared" si="209"/>
        <v>715225.18779543822</v>
      </c>
      <c r="IA83" s="26">
        <f t="shared" si="210"/>
        <v>758396.38923690002</v>
      </c>
      <c r="IB83" s="26">
        <f t="shared" si="211"/>
        <v>809387.06195567211</v>
      </c>
      <c r="IC83" s="26">
        <f t="shared" si="212"/>
        <v>869729.02301993407</v>
      </c>
      <c r="ID83" s="26">
        <f t="shared" si="213"/>
        <v>941250.54512839287</v>
      </c>
      <c r="IE83" s="26">
        <f t="shared" si="214"/>
        <v>1026184.6392424334</v>
      </c>
      <c r="IF83" s="26">
        <f t="shared" si="215"/>
        <v>1127219.8896635815</v>
      </c>
      <c r="IG83" s="26">
        <f t="shared" si="216"/>
        <v>1247540.2115819659</v>
      </c>
      <c r="IH83" s="26">
        <f t="shared" si="217"/>
        <v>1391008.7725211894</v>
      </c>
      <c r="II83" s="26">
        <f t="shared" si="218"/>
        <v>-107936124012.22054</v>
      </c>
      <c r="IJ83" s="26">
        <f t="shared" si="219"/>
        <v>559558.15068672015</v>
      </c>
      <c r="IK83" s="26">
        <f t="shared" si="220"/>
        <v>570852.39586406411</v>
      </c>
      <c r="IL83" s="26">
        <f t="shared" si="221"/>
        <v>583370.52543204674</v>
      </c>
      <c r="IM83" s="26">
        <f t="shared" si="222"/>
        <v>597337.71925582748</v>
      </c>
      <c r="IN83" s="26">
        <f t="shared" si="223"/>
        <v>613007.68457059143</v>
      </c>
      <c r="IO83" s="26">
        <f t="shared" si="224"/>
        <v>630801.00977052399</v>
      </c>
      <c r="IP83" s="26">
        <f t="shared" si="225"/>
        <v>651182.38512474147</v>
      </c>
      <c r="IQ83" s="26">
        <f t="shared" si="226"/>
        <v>674757.70149181143</v>
      </c>
      <c r="IR83" s="26">
        <f t="shared" si="227"/>
        <v>702224.09189416503</v>
      </c>
      <c r="IS83" s="26">
        <f t="shared" si="228"/>
        <v>697854.12956985948</v>
      </c>
      <c r="IT83" s="26">
        <f t="shared" si="229"/>
        <v>735191.39975420164</v>
      </c>
      <c r="IU83" s="26">
        <f t="shared" si="230"/>
        <v>779526.71079181903</v>
      </c>
      <c r="IV83" s="26">
        <f t="shared" si="231"/>
        <v>832039.98094695061</v>
      </c>
      <c r="IW83" s="26">
        <f t="shared" si="232"/>
        <v>894326.93157642207</v>
      </c>
      <c r="IX83" s="26">
        <f t="shared" si="233"/>
        <v>968292.21556632186</v>
      </c>
      <c r="IY83" s="26">
        <f t="shared" si="234"/>
        <v>1056261.7895912749</v>
      </c>
      <c r="IZ83" s="26">
        <f t="shared" si="235"/>
        <v>1161036.4863534889</v>
      </c>
      <c r="JA83" s="26">
        <f t="shared" si="236"/>
        <v>1285934.3834635941</v>
      </c>
      <c r="JB83" s="26">
        <f t="shared" si="237"/>
        <v>1434982.0005749734</v>
      </c>
      <c r="JC83" s="26">
        <f t="shared" si="238"/>
        <v>-111174203848.81888</v>
      </c>
      <c r="JD83" s="26">
        <f t="shared" si="239"/>
        <v>147614.37964462559</v>
      </c>
      <c r="JE83" s="26">
        <f t="shared" si="240"/>
        <v>237106.75302822754</v>
      </c>
      <c r="JF83" s="26">
        <f t="shared" si="241"/>
        <v>331535.43779075285</v>
      </c>
      <c r="JG83" s="26">
        <f t="shared" si="242"/>
        <v>431448.71687786741</v>
      </c>
      <c r="JH83" s="26">
        <f t="shared" si="243"/>
        <v>537686.53179523547</v>
      </c>
      <c r="JI83" s="26">
        <f t="shared" si="244"/>
        <v>651182.38512474147</v>
      </c>
      <c r="JJ83" s="26">
        <f t="shared" si="245"/>
        <v>773116.37936657085</v>
      </c>
      <c r="JK83" s="26">
        <f t="shared" si="246"/>
        <v>904835.37370297371</v>
      </c>
      <c r="JL83" s="26">
        <f t="shared" si="247"/>
        <v>1011427.8292313162</v>
      </c>
      <c r="JM83" s="26">
        <f t="shared" si="248"/>
        <v>1167341.162896628</v>
      </c>
      <c r="JN83" s="26">
        <f t="shared" si="249"/>
        <v>1338936.8699869732</v>
      </c>
      <c r="JO83" s="26">
        <f t="shared" si="250"/>
        <v>1528437.0187341375</v>
      </c>
      <c r="JP83" s="26">
        <f t="shared" si="251"/>
        <v>1738824.5603308175</v>
      </c>
      <c r="JQ83" s="26">
        <f t="shared" si="252"/>
        <v>1973641.5832102434</v>
      </c>
      <c r="JR83" s="26">
        <f t="shared" si="253"/>
        <v>2237192.6111736824</v>
      </c>
      <c r="JS83" s="26">
        <f t="shared" si="254"/>
        <v>2534639.7950609168</v>
      </c>
      <c r="JT83" s="26">
        <f t="shared" si="255"/>
        <v>2872077.8731448343</v>
      </c>
      <c r="JU83" s="26">
        <f t="shared" si="256"/>
        <v>3256879.3659121068</v>
      </c>
      <c r="JV83" s="26">
        <f t="shared" si="257"/>
        <v>-111172118870.08577</v>
      </c>
      <c r="JW83" s="26">
        <f t="shared" si="258"/>
        <v>2528157.7150095128</v>
      </c>
      <c r="JX83" s="26" t="e">
        <f>AH83+$AG$38*0.004*(1+$R$28)*#REF!-S83*#REF!</f>
        <v>#REF!</v>
      </c>
      <c r="JY83" s="34">
        <f t="shared" si="259"/>
        <v>5.9375090804484179E-2</v>
      </c>
      <c r="JZ83" s="4">
        <f t="shared" si="260"/>
        <v>43837.932833962142</v>
      </c>
      <c r="KA83" s="165"/>
    </row>
    <row r="84" spans="1:287" ht="15.75" x14ac:dyDescent="0.3">
      <c r="A84" s="34">
        <v>83</v>
      </c>
      <c r="B84" s="34">
        <v>56</v>
      </c>
      <c r="C84" s="2">
        <v>852299</v>
      </c>
      <c r="D84" s="1">
        <f t="shared" si="106"/>
        <v>8425</v>
      </c>
      <c r="E84" s="145">
        <f t="shared" si="107"/>
        <v>0.99011497138914861</v>
      </c>
      <c r="F84" s="146">
        <f t="shared" si="108"/>
        <v>9.8850286108513874E-3</v>
      </c>
      <c r="G84" s="158">
        <f t="shared" si="173"/>
        <v>1.2356285763564234E-2</v>
      </c>
      <c r="H84" s="43">
        <f t="shared" si="109"/>
        <v>10117.477679074849</v>
      </c>
      <c r="I84" s="43">
        <f t="shared" si="139"/>
        <v>818812.21207338048</v>
      </c>
      <c r="J84" s="43">
        <f t="shared" si="110"/>
        <v>848086.5</v>
      </c>
      <c r="K84" s="147">
        <f>SUM(J84:$J$138)</f>
        <v>19918509.5</v>
      </c>
      <c r="L84" s="147">
        <f t="shared" si="111"/>
        <v>23.370330717271756</v>
      </c>
      <c r="M84" s="43">
        <f t="shared" si="174"/>
        <v>1060108.125</v>
      </c>
      <c r="N84" s="148">
        <f t="shared" si="175"/>
        <v>24898136.875</v>
      </c>
      <c r="O84" s="147">
        <f t="shared" si="6"/>
        <v>29.212913396589695</v>
      </c>
      <c r="P84" s="157">
        <f t="shared" si="176"/>
        <v>119268.21591464471</v>
      </c>
      <c r="Q84" s="43">
        <f t="shared" si="177"/>
        <v>1065373.75</v>
      </c>
      <c r="R84" s="43">
        <f t="shared" si="178"/>
        <v>1448.5800229109952</v>
      </c>
      <c r="S84" s="43">
        <f>SUM(R84:$R$138)</f>
        <v>61115.240000982594</v>
      </c>
      <c r="T84" s="43">
        <f t="shared" si="112"/>
        <v>1106808.720820267</v>
      </c>
      <c r="U84" s="153">
        <f>SUM(P84:$P$138)</f>
        <v>1750486.9936345171</v>
      </c>
      <c r="V84" s="129">
        <f t="shared" si="179"/>
        <v>1025373.0742617993</v>
      </c>
      <c r="W84" s="43">
        <f t="shared" si="180"/>
        <v>83813.814528146351</v>
      </c>
      <c r="X84" s="26">
        <f t="shared" si="114"/>
        <v>6.079691171800973</v>
      </c>
      <c r="Y84" s="26">
        <f t="shared" si="115"/>
        <v>0.70273386656616388</v>
      </c>
      <c r="Z84" s="43">
        <f t="shared" si="181"/>
        <v>49991.905999111841</v>
      </c>
      <c r="AA84" s="149">
        <f t="shared" si="116"/>
        <v>9.3263187652871907E-2</v>
      </c>
      <c r="AB84" s="150">
        <f t="shared" si="138"/>
        <v>1631218.7777198723</v>
      </c>
      <c r="AC84" s="150">
        <f t="shared" si="117"/>
        <v>941559.25973365293</v>
      </c>
      <c r="AD84" s="26">
        <f t="shared" si="118"/>
        <v>5.7824250383671369</v>
      </c>
      <c r="AE84" s="26">
        <f t="shared" si="182"/>
        <v>548449.5889849239</v>
      </c>
      <c r="AF84" s="43">
        <f t="shared" si="183"/>
        <v>90210.106646331173</v>
      </c>
      <c r="AG84" s="43">
        <f t="shared" si="184"/>
        <v>570032.20107319963</v>
      </c>
      <c r="AH84" s="27">
        <f t="shared" si="185"/>
        <v>97602.861907920829</v>
      </c>
      <c r="AI84" s="28">
        <f t="shared" si="186"/>
        <v>612937.85061634367</v>
      </c>
      <c r="AJ84" s="20">
        <f t="shared" si="187"/>
        <v>104949.31387948478</v>
      </c>
      <c r="AK84" s="3">
        <f t="shared" si="188"/>
        <v>9095.6072028886811</v>
      </c>
      <c r="AL84" s="3"/>
      <c r="AM84" s="46">
        <f t="shared" si="121"/>
        <v>1631218.7777198723</v>
      </c>
      <c r="AN84" s="46">
        <f t="shared" si="122"/>
        <v>1517407.6629794927</v>
      </c>
      <c r="AO84" s="46">
        <f t="shared" si="122"/>
        <v>1408901.5734490284</v>
      </c>
      <c r="AP84" s="3">
        <f t="shared" si="278"/>
        <v>1305560.6997197517</v>
      </c>
      <c r="AQ84" s="3">
        <f t="shared" si="278"/>
        <v>1207269.1709574449</v>
      </c>
      <c r="AR84" s="16">
        <f t="shared" si="278"/>
        <v>1113907.2760732146</v>
      </c>
      <c r="AS84" s="16">
        <f t="shared" si="278"/>
        <v>1025373.0742617993</v>
      </c>
      <c r="AT84" s="16">
        <f t="shared" si="278"/>
        <v>941559.25973365293</v>
      </c>
      <c r="AU84" s="16">
        <f t="shared" si="278"/>
        <v>862352.93208858941</v>
      </c>
      <c r="AV84" s="16">
        <f t="shared" si="278"/>
        <v>787654.85808610427</v>
      </c>
      <c r="AW84" s="16">
        <f t="shared" si="278"/>
        <v>717357.87731688586</v>
      </c>
      <c r="AX84" s="16">
        <f t="shared" si="278"/>
        <v>651351.76418205327</v>
      </c>
      <c r="AY84" s="16">
        <f t="shared" si="278"/>
        <v>589503.97809554788</v>
      </c>
      <c r="AZ84" s="16">
        <f t="shared" si="278"/>
        <v>531683.16525119205</v>
      </c>
      <c r="BA84" s="16">
        <f t="shared" si="278"/>
        <v>477758.13591450383</v>
      </c>
      <c r="BB84" s="16">
        <f t="shared" si="278"/>
        <v>427598.80903629219</v>
      </c>
      <c r="BC84" s="16">
        <f t="shared" si="144"/>
        <v>381075.0024663306</v>
      </c>
      <c r="BD84" s="16">
        <f t="shared" si="18"/>
        <v>338054.11876679707</v>
      </c>
      <c r="BE84" s="16">
        <f t="shared" si="18"/>
        <v>298401.41214207554</v>
      </c>
      <c r="BF84" s="16">
        <f t="shared" si="18"/>
        <v>261981.18319677183</v>
      </c>
      <c r="BG84" s="16">
        <f t="shared" si="18"/>
        <v>228658.26391475086</v>
      </c>
      <c r="BH84" s="172">
        <f t="shared" si="123"/>
        <v>113811.11474037961</v>
      </c>
      <c r="BI84" s="16">
        <f t="shared" si="277"/>
        <v>108506.0895304641</v>
      </c>
      <c r="BJ84" s="16">
        <f t="shared" si="277"/>
        <v>103340.87372927672</v>
      </c>
      <c r="BK84" s="16">
        <f t="shared" si="277"/>
        <v>98291.528762306916</v>
      </c>
      <c r="BL84" s="16">
        <f t="shared" si="277"/>
        <v>93361.894884230453</v>
      </c>
      <c r="BM84" s="16">
        <f t="shared" si="277"/>
        <v>88534.201811415609</v>
      </c>
      <c r="BN84" s="16">
        <f t="shared" si="277"/>
        <v>83813.814528146351</v>
      </c>
      <c r="BO84" s="16">
        <f t="shared" si="277"/>
        <v>79206.327645063458</v>
      </c>
      <c r="BP84" s="16">
        <f t="shared" si="277"/>
        <v>74698.07400248514</v>
      </c>
      <c r="BQ84" s="16">
        <f t="shared" si="277"/>
        <v>70296.980769218397</v>
      </c>
      <c r="BR84" s="16">
        <f t="shared" si="277"/>
        <v>66006.113134832645</v>
      </c>
      <c r="BS84" s="16">
        <f t="shared" si="277"/>
        <v>61847.786086505286</v>
      </c>
      <c r="BT84" s="16">
        <f t="shared" si="277"/>
        <v>57820.812844355773</v>
      </c>
      <c r="BU84" s="16">
        <f t="shared" si="277"/>
        <v>53925.029336687992</v>
      </c>
      <c r="BV84" s="16">
        <f t="shared" si="277"/>
        <v>50159.326878211672</v>
      </c>
      <c r="BW84" s="16">
        <f t="shared" si="277"/>
        <v>46523.806569961562</v>
      </c>
      <c r="BX84" s="16">
        <f t="shared" si="168"/>
        <v>43020.8836995335</v>
      </c>
      <c r="BY84" s="16">
        <f t="shared" si="149"/>
        <v>39652.706624721577</v>
      </c>
      <c r="BZ84" s="16">
        <f t="shared" si="149"/>
        <v>36420.228945303788</v>
      </c>
      <c r="CA84" s="16">
        <f t="shared" si="149"/>
        <v>33322.919282020994</v>
      </c>
      <c r="CB84" s="16">
        <f t="shared" si="149"/>
        <v>30359.942805006591</v>
      </c>
      <c r="CC84" s="18">
        <f t="shared" si="124"/>
        <v>5.3232560355822782</v>
      </c>
      <c r="CD84" s="18">
        <f t="shared" si="124"/>
        <v>4.5346264974331234</v>
      </c>
      <c r="CE84" s="18">
        <f t="shared" si="124"/>
        <v>3.7112953021082746</v>
      </c>
      <c r="CF84" s="18">
        <f t="shared" si="124"/>
        <v>2.8505775521664227</v>
      </c>
      <c r="CG84" s="18">
        <f t="shared" si="124"/>
        <v>1.9482905410306668</v>
      </c>
      <c r="CH84" s="18">
        <f t="shared" si="150"/>
        <v>0.999999999999996</v>
      </c>
      <c r="CI84" s="18">
        <f t="shared" si="150"/>
        <v>0</v>
      </c>
      <c r="CJ84" s="18">
        <f t="shared" si="150"/>
        <v>-1.058170691914033</v>
      </c>
      <c r="CK84" s="18">
        <f t="shared" si="150"/>
        <v>-2.1823874892381614</v>
      </c>
      <c r="CL84" s="18">
        <f t="shared" si="151"/>
        <v>-3.3816276826470331</v>
      </c>
      <c r="CM84" s="18">
        <f t="shared" si="151"/>
        <v>-4.6664647002577127</v>
      </c>
      <c r="CN84" s="18">
        <f t="shared" si="151"/>
        <v>-6.0474486436201582</v>
      </c>
      <c r="CO84" s="18">
        <f t="shared" si="151"/>
        <v>-7.5382734127162863</v>
      </c>
      <c r="CP84" s="18">
        <f t="shared" si="271"/>
        <v>-9.1551161878501652</v>
      </c>
      <c r="CQ84" s="18">
        <f t="shared" si="272"/>
        <v>-10.917509712140292</v>
      </c>
      <c r="CR84" s="18">
        <f t="shared" si="273"/>
        <v>-12.84878236106038</v>
      </c>
      <c r="CS84" s="18">
        <f t="shared" si="267"/>
        <v>-14.976402537320617</v>
      </c>
      <c r="CT84" s="18">
        <f t="shared" si="125"/>
        <v>-17.333468860017025</v>
      </c>
      <c r="CU84" s="18">
        <f t="shared" si="125"/>
        <v>-19.960656019255016</v>
      </c>
      <c r="CV84" s="18">
        <f t="shared" si="125"/>
        <v>-22.908913970118672</v>
      </c>
      <c r="CW84" s="18">
        <f t="shared" si="22"/>
        <v>-26.24230274293086</v>
      </c>
      <c r="CX84" s="17">
        <f t="shared" si="190"/>
        <v>1481.6069404855843</v>
      </c>
      <c r="CY84" s="17">
        <f t="shared" si="264"/>
        <v>1521.8813441348364</v>
      </c>
      <c r="CZ84" s="17">
        <f t="shared" si="264"/>
        <v>1581.6997642331289</v>
      </c>
      <c r="DA84" s="17">
        <f t="shared" si="264"/>
        <v>1633.6249845932373</v>
      </c>
      <c r="DB84" s="17">
        <f t="shared" si="264"/>
        <v>1699.5103587480305</v>
      </c>
      <c r="DC84" s="17">
        <f t="shared" si="264"/>
        <v>1756.4305867649496</v>
      </c>
      <c r="DD84" s="17">
        <f t="shared" si="263"/>
        <v>1803.9674861705869</v>
      </c>
      <c r="DE84" s="17">
        <f t="shared" si="263"/>
        <v>1861.5245372443221</v>
      </c>
      <c r="DF84" s="3" t="e">
        <f>#REF!+$AG$35*0.004*(1+$R$28)*#REF!-S84*#REF!</f>
        <v>#REF!</v>
      </c>
      <c r="DG84" s="19">
        <f t="shared" si="191"/>
        <v>2508.0143702165692</v>
      </c>
      <c r="DH84" s="19">
        <f t="shared" si="192"/>
        <v>2396.2286039527153</v>
      </c>
      <c r="DI84" s="19">
        <f t="shared" si="193"/>
        <v>2297.2958292255121</v>
      </c>
      <c r="DJ84" s="19">
        <f t="shared" si="194"/>
        <v>2183.2611394222881</v>
      </c>
      <c r="DK84" s="19">
        <f t="shared" si="195"/>
        <v>2075.171396507928</v>
      </c>
      <c r="DL84" s="19">
        <f t="shared" si="196"/>
        <v>1949.2463038505375</v>
      </c>
      <c r="DM84" s="19">
        <f t="shared" si="197"/>
        <v>1803.9674861705869</v>
      </c>
      <c r="DN84" s="19">
        <f t="shared" si="198"/>
        <v>1657.4925964839642</v>
      </c>
      <c r="DO84" s="173">
        <f t="shared" si="127"/>
        <v>59666.659978071591</v>
      </c>
      <c r="DP84" s="25">
        <f t="shared" si="279"/>
        <v>58185.053037586011</v>
      </c>
      <c r="DQ84" s="26">
        <f t="shared" si="279"/>
        <v>56663.171693451171</v>
      </c>
      <c r="DR84" s="26">
        <f t="shared" si="279"/>
        <v>55081.471929218045</v>
      </c>
      <c r="DS84" s="26">
        <f t="shared" si="279"/>
        <v>53447.84694462482</v>
      </c>
      <c r="DT84" s="26">
        <f t="shared" si="279"/>
        <v>51748.336585876787</v>
      </c>
      <c r="DU84" s="26">
        <f t="shared" si="279"/>
        <v>49991.905999111841</v>
      </c>
      <c r="DV84" s="26">
        <f t="shared" si="279"/>
        <v>48187.938512941255</v>
      </c>
      <c r="DW84" s="26">
        <f t="shared" si="279"/>
        <v>0</v>
      </c>
      <c r="DX84" s="26">
        <f t="shared" si="279"/>
        <v>0</v>
      </c>
      <c r="DY84" s="26">
        <f t="shared" si="279"/>
        <v>0</v>
      </c>
      <c r="DZ84" s="26">
        <f t="shared" si="279"/>
        <v>0</v>
      </c>
      <c r="EA84" s="26">
        <f t="shared" si="279"/>
        <v>0</v>
      </c>
      <c r="EB84" s="26">
        <f t="shared" si="279"/>
        <v>0</v>
      </c>
      <c r="EC84" s="26">
        <f t="shared" si="279"/>
        <v>0</v>
      </c>
      <c r="ED84" s="26">
        <f t="shared" si="279"/>
        <v>0</v>
      </c>
      <c r="EE84" s="26">
        <f t="shared" si="145"/>
        <v>0</v>
      </c>
      <c r="EF84" s="26">
        <f t="shared" si="34"/>
        <v>0</v>
      </c>
      <c r="EG84" s="26">
        <f t="shared" si="34"/>
        <v>0</v>
      </c>
      <c r="EH84" s="26">
        <f t="shared" si="34"/>
        <v>0</v>
      </c>
      <c r="EI84" s="26">
        <f t="shared" si="34"/>
        <v>0</v>
      </c>
      <c r="EJ84" s="26">
        <f t="shared" si="128"/>
        <v>8.500711025482291E-2</v>
      </c>
      <c r="EK84" s="26">
        <f t="shared" si="128"/>
        <v>7.5508638030622854E-2</v>
      </c>
      <c r="EL84" s="26">
        <f t="shared" si="270"/>
        <v>6.4555925004235223E-2</v>
      </c>
      <c r="EM84" s="26">
        <f t="shared" si="270"/>
        <v>5.1780311021655041E-2</v>
      </c>
      <c r="EN84" s="26">
        <f t="shared" si="270"/>
        <v>3.7016611003861645E-2</v>
      </c>
      <c r="EO84" s="26">
        <f t="shared" si="270"/>
        <v>1.9839006291673272E-2</v>
      </c>
      <c r="EP84" s="26">
        <f t="shared" si="270"/>
        <v>0</v>
      </c>
      <c r="EQ84" s="26">
        <f t="shared" si="270"/>
        <v>-2.2775547608449419E-2</v>
      </c>
      <c r="ER84" s="26">
        <f t="shared" si="270"/>
        <v>-0.66925294482758224</v>
      </c>
      <c r="ES84" s="26">
        <f t="shared" si="270"/>
        <v>-0.7111529606546384</v>
      </c>
      <c r="ET84" s="26">
        <f t="shared" si="270"/>
        <v>-0.75738296992267806</v>
      </c>
      <c r="EU84" s="26">
        <f t="shared" si="270"/>
        <v>-0.8083055055388586</v>
      </c>
      <c r="EV84" s="26">
        <f t="shared" si="270"/>
        <v>-0.86460053983817076</v>
      </c>
      <c r="EW84" s="26">
        <f t="shared" si="270"/>
        <v>-0.92706312104126676</v>
      </c>
      <c r="EX84" s="26">
        <f t="shared" si="270"/>
        <v>-0.99666221838450242</v>
      </c>
      <c r="EY84" s="26">
        <f t="shared" si="269"/>
        <v>-1.0745446188702341</v>
      </c>
      <c r="EZ84" s="26">
        <f t="shared" si="269"/>
        <v>-1.1620381010363563</v>
      </c>
      <c r="FA84" s="26">
        <f t="shared" si="269"/>
        <v>-1.2607438496504615</v>
      </c>
      <c r="FB84" s="26">
        <f t="shared" si="269"/>
        <v>-1.3726411790049458</v>
      </c>
      <c r="FC84" s="26">
        <f t="shared" si="269"/>
        <v>-1.5002258828530792</v>
      </c>
      <c r="FD84" s="26">
        <f t="shared" si="269"/>
        <v>-1.6466403220913772</v>
      </c>
      <c r="FE84" s="26">
        <f t="shared" si="130"/>
        <v>5.0596851156360012</v>
      </c>
      <c r="FF84" s="26">
        <f t="shared" si="130"/>
        <v>4.3070606980464889</v>
      </c>
      <c r="FG84" s="26">
        <f t="shared" si="130"/>
        <v>3.5223375499966991</v>
      </c>
      <c r="FH84" s="26">
        <f t="shared" si="130"/>
        <v>2.7032839408403535</v>
      </c>
      <c r="FI84" s="26">
        <f t="shared" si="130"/>
        <v>1.8460209762588333</v>
      </c>
      <c r="FJ84" s="26">
        <f t="shared" si="157"/>
        <v>0.94668289557380347</v>
      </c>
      <c r="FK84" s="26">
        <f t="shared" si="157"/>
        <v>0</v>
      </c>
      <c r="FL84" s="26">
        <f t="shared" si="157"/>
        <v>-1.0000000000000007</v>
      </c>
      <c r="FM84" s="26">
        <f t="shared" si="157"/>
        <v>-2.0603530104729124</v>
      </c>
      <c r="FN84" s="26">
        <f t="shared" si="157"/>
        <v>-3.1893458291304064</v>
      </c>
      <c r="FO84" s="26">
        <f t="shared" si="170"/>
        <v>-4.3966760314879352</v>
      </c>
      <c r="FP84" s="26">
        <f t="shared" si="158"/>
        <v>-5.6922859153873713</v>
      </c>
      <c r="FQ84" s="26">
        <f t="shared" si="158"/>
        <v>-7.0887293747630409</v>
      </c>
      <c r="FR84" s="26">
        <f t="shared" si="158"/>
        <v>-8.6008506536611407</v>
      </c>
      <c r="FS84" s="26">
        <f t="shared" si="158"/>
        <v>-10.246557972065133</v>
      </c>
      <c r="FT84" s="26">
        <f t="shared" si="274"/>
        <v>-12.047257062348875</v>
      </c>
      <c r="FU84" s="26">
        <f t="shared" si="268"/>
        <v>-14.028190243181827</v>
      </c>
      <c r="FV84" s="26">
        <f t="shared" si="131"/>
        <v>-16.219771671036423</v>
      </c>
      <c r="FW84" s="26">
        <f t="shared" si="131"/>
        <v>-18.659357621213122</v>
      </c>
      <c r="FX84" s="26">
        <f t="shared" si="39"/>
        <v>862352.93208858941</v>
      </c>
      <c r="FY84" s="26">
        <f t="shared" si="40"/>
        <v>74698.07400248514</v>
      </c>
      <c r="FZ84" s="26">
        <f t="shared" si="132"/>
        <v>0.73642908005372198</v>
      </c>
      <c r="GA84" s="26">
        <f t="shared" si="160"/>
        <v>0.77243420061336587</v>
      </c>
      <c r="GB84" s="26">
        <f t="shared" si="132"/>
        <v>0.81104224788842383</v>
      </c>
      <c r="GC84" s="26">
        <f t="shared" si="132"/>
        <v>0.85270638867392901</v>
      </c>
      <c r="GD84" s="26">
        <f t="shared" si="132"/>
        <v>0.89773043522816454</v>
      </c>
      <c r="GE84" s="26">
        <f t="shared" si="161"/>
        <v>0.94668289557380292</v>
      </c>
      <c r="GF84" s="26">
        <f t="shared" si="161"/>
        <v>1</v>
      </c>
      <c r="GG84" s="26">
        <f t="shared" si="161"/>
        <v>1.0581706919140323</v>
      </c>
      <c r="GH84" s="26">
        <f t="shared" si="161"/>
        <v>1.1220344787652481</v>
      </c>
      <c r="GI84" s="26">
        <f t="shared" si="161"/>
        <v>1.1922818535166264</v>
      </c>
      <c r="GJ84" s="26">
        <f t="shared" si="171"/>
        <v>1.2697886687697757</v>
      </c>
      <c r="GK84" s="26">
        <f t="shared" si="162"/>
        <v>1.3551627282327876</v>
      </c>
      <c r="GL84" s="26">
        <f t="shared" si="162"/>
        <v>1.4495440379532456</v>
      </c>
      <c r="GM84" s="26">
        <f t="shared" si="162"/>
        <v>1.5542655341890277</v>
      </c>
      <c r="GN84" s="26">
        <f t="shared" si="162"/>
        <v>1.6709517400751563</v>
      </c>
      <c r="GO84" s="26">
        <f t="shared" si="275"/>
        <v>1.8015252987115065</v>
      </c>
      <c r="GP84" s="26">
        <f t="shared" si="265"/>
        <v>1.9482122941387927</v>
      </c>
      <c r="GQ84" s="26">
        <f t="shared" si="134"/>
        <v>2.1136971889805984</v>
      </c>
      <c r="GR84" s="26">
        <f t="shared" si="134"/>
        <v>2.3012983980418866</v>
      </c>
      <c r="GS84" s="26">
        <f t="shared" si="134"/>
        <v>2.5152002385747503</v>
      </c>
      <c r="GT84" s="26">
        <f t="shared" si="134"/>
        <v>2.7606710284818061</v>
      </c>
      <c r="GU84" s="26">
        <f t="shared" si="135"/>
        <v>5.3232560355822782</v>
      </c>
      <c r="GV84" s="26">
        <f t="shared" si="164"/>
        <v>4.5346264974331234</v>
      </c>
      <c r="GW84" s="26">
        <f t="shared" si="135"/>
        <v>3.7112953021082746</v>
      </c>
      <c r="GX84" s="26">
        <f t="shared" si="135"/>
        <v>2.8505775521664227</v>
      </c>
      <c r="GY84" s="26">
        <f t="shared" si="135"/>
        <v>1.9482905410306668</v>
      </c>
      <c r="GZ84" s="26">
        <f t="shared" si="165"/>
        <v>0.999999999999996</v>
      </c>
      <c r="HA84" s="26">
        <f t="shared" si="165"/>
        <v>0</v>
      </c>
      <c r="HB84" s="26">
        <f t="shared" si="165"/>
        <v>-1.058170691914033</v>
      </c>
      <c r="HC84" s="26">
        <f t="shared" si="165"/>
        <v>-2.1823874892381614</v>
      </c>
      <c r="HD84" s="26">
        <f t="shared" si="165"/>
        <v>-3.3816276826470331</v>
      </c>
      <c r="HE84" s="26">
        <f t="shared" si="172"/>
        <v>-4.6664647002577127</v>
      </c>
      <c r="HF84" s="26">
        <f t="shared" si="166"/>
        <v>-6.0474486436201582</v>
      </c>
      <c r="HG84" s="26">
        <f t="shared" si="166"/>
        <v>-7.5382734127162863</v>
      </c>
      <c r="HH84" s="26">
        <f t="shared" si="166"/>
        <v>-9.1551161878501652</v>
      </c>
      <c r="HI84" s="26">
        <f t="shared" si="166"/>
        <v>-10.917509712140292</v>
      </c>
      <c r="HJ84" s="26">
        <f t="shared" si="276"/>
        <v>-12.84878236106038</v>
      </c>
      <c r="HK84" s="26">
        <f t="shared" si="266"/>
        <v>-14.976402537320617</v>
      </c>
      <c r="HL84" s="26">
        <f t="shared" si="137"/>
        <v>-17.333468860017025</v>
      </c>
      <c r="HM84" s="26">
        <f t="shared" si="137"/>
        <v>-19.960656019255016</v>
      </c>
      <c r="HN84" s="26">
        <f t="shared" si="137"/>
        <v>-22.908913970118672</v>
      </c>
      <c r="HO84" s="26">
        <f t="shared" si="137"/>
        <v>-26.24230274293086</v>
      </c>
      <c r="HP84" s="26">
        <f t="shared" si="199"/>
        <v>541166.92675838026</v>
      </c>
      <c r="HQ84" s="26">
        <f t="shared" si="200"/>
        <v>552508.25523728109</v>
      </c>
      <c r="HR84" s="26">
        <f t="shared" si="201"/>
        <v>564996.09457636415</v>
      </c>
      <c r="HS84" s="26">
        <f t="shared" si="202"/>
        <v>578820.91120532574</v>
      </c>
      <c r="HT84" s="26">
        <f t="shared" si="203"/>
        <v>594353.16849132895</v>
      </c>
      <c r="HU84" s="26">
        <f t="shared" si="204"/>
        <v>611973.74440676894</v>
      </c>
      <c r="HV84" s="26">
        <f t="shared" si="205"/>
        <v>632215.9078880985</v>
      </c>
      <c r="HW84" s="26">
        <f t="shared" si="206"/>
        <v>655694.19494980841</v>
      </c>
      <c r="HX84" s="26">
        <f t="shared" si="207"/>
        <v>647616.5666253143</v>
      </c>
      <c r="HY84" s="26">
        <f t="shared" si="208"/>
        <v>679295.55368782731</v>
      </c>
      <c r="HZ84" s="26">
        <f t="shared" si="209"/>
        <v>716919.93127378356</v>
      </c>
      <c r="IA84" s="26">
        <f t="shared" si="210"/>
        <v>761551.66933386924</v>
      </c>
      <c r="IB84" s="26">
        <f t="shared" si="211"/>
        <v>814590.49815796362</v>
      </c>
      <c r="IC84" s="26">
        <f t="shared" si="212"/>
        <v>877709.63391367975</v>
      </c>
      <c r="ID84" s="26">
        <f t="shared" si="213"/>
        <v>952952.23898410099</v>
      </c>
      <c r="IE84" s="26">
        <f t="shared" si="214"/>
        <v>1042781.4796127535</v>
      </c>
      <c r="IF84" s="26">
        <f t="shared" si="215"/>
        <v>1150119.6515428601</v>
      </c>
      <c r="IG84" s="26">
        <f t="shared" si="216"/>
        <v>1278513.532271473</v>
      </c>
      <c r="IH84" s="26">
        <f t="shared" si="217"/>
        <v>1432351.2566125682</v>
      </c>
      <c r="II84" s="26">
        <f t="shared" si="218"/>
        <v>-98856331992.298859</v>
      </c>
      <c r="IJ84" s="26">
        <f t="shared" si="219"/>
        <v>561596.62438049761</v>
      </c>
      <c r="IK84" s="26">
        <f t="shared" si="220"/>
        <v>572461.07484497142</v>
      </c>
      <c r="IL84" s="26">
        <f t="shared" si="221"/>
        <v>584547.36679518828</v>
      </c>
      <c r="IM84" s="26">
        <f t="shared" si="222"/>
        <v>598056.30119867844</v>
      </c>
      <c r="IN84" s="26">
        <f t="shared" si="223"/>
        <v>613373.85076657846</v>
      </c>
      <c r="IO84" s="26">
        <f t="shared" si="224"/>
        <v>630897.56670289137</v>
      </c>
      <c r="IP84" s="26">
        <f t="shared" si="225"/>
        <v>651182.38512474147</v>
      </c>
      <c r="IQ84" s="26">
        <f t="shared" si="226"/>
        <v>674867.95919233304</v>
      </c>
      <c r="IR84" s="26">
        <f t="shared" si="227"/>
        <v>666126.14313428965</v>
      </c>
      <c r="IS84" s="26">
        <f t="shared" si="228"/>
        <v>698418.00065651967</v>
      </c>
      <c r="IT84" s="26">
        <f t="shared" si="229"/>
        <v>736928.82604693319</v>
      </c>
      <c r="IU84" s="26">
        <f t="shared" si="230"/>
        <v>782765.93893630372</v>
      </c>
      <c r="IV84" s="26">
        <f t="shared" si="231"/>
        <v>837386.59785452567</v>
      </c>
      <c r="IW84" s="26">
        <f t="shared" si="232"/>
        <v>902532.85040285671</v>
      </c>
      <c r="IX84" s="26">
        <f t="shared" si="233"/>
        <v>980331.6037122627</v>
      </c>
      <c r="IY84" s="26">
        <f t="shared" si="234"/>
        <v>1073347.2512919132</v>
      </c>
      <c r="IZ84" s="26">
        <f t="shared" si="235"/>
        <v>1184623.2410891459</v>
      </c>
      <c r="JA84" s="26">
        <f t="shared" si="236"/>
        <v>1317853.9016971353</v>
      </c>
      <c r="JB84" s="26">
        <f t="shared" si="237"/>
        <v>1477609.9764365372</v>
      </c>
      <c r="JC84" s="26">
        <f t="shared" si="238"/>
        <v>-101822017978.56621</v>
      </c>
      <c r="JD84" s="26">
        <f t="shared" si="239"/>
        <v>147294.22831731424</v>
      </c>
      <c r="JE84" s="26">
        <f t="shared" si="240"/>
        <v>236576.10146088054</v>
      </c>
      <c r="JF84" s="26">
        <f t="shared" si="241"/>
        <v>330785.98261275393</v>
      </c>
      <c r="JG84" s="26">
        <f t="shared" si="242"/>
        <v>430702.01529819577</v>
      </c>
      <c r="JH84" s="26">
        <f t="shared" si="243"/>
        <v>537137.50801485474</v>
      </c>
      <c r="JI84" s="26">
        <f t="shared" si="244"/>
        <v>651182.38512474147</v>
      </c>
      <c r="JJ84" s="26">
        <f t="shared" si="245"/>
        <v>774082.10536815342</v>
      </c>
      <c r="JK84" s="26">
        <f t="shared" si="246"/>
        <v>870746.92220529728</v>
      </c>
      <c r="JL84" s="26">
        <f t="shared" si="247"/>
        <v>1015479.6106425959</v>
      </c>
      <c r="JM84" s="26">
        <f t="shared" si="248"/>
        <v>1174456.830208749</v>
      </c>
      <c r="JN84" s="26">
        <f t="shared" si="249"/>
        <v>1349775.0786750193</v>
      </c>
      <c r="JO84" s="26">
        <f t="shared" si="250"/>
        <v>1544175.5554372733</v>
      </c>
      <c r="JP84" s="26">
        <f t="shared" si="251"/>
        <v>1760917.0814714856</v>
      </c>
      <c r="JQ84" s="26">
        <f t="shared" si="252"/>
        <v>2003957.9550497502</v>
      </c>
      <c r="JR84" s="26">
        <f t="shared" si="253"/>
        <v>2278049.8395347488</v>
      </c>
      <c r="JS84" s="26">
        <f t="shared" si="254"/>
        <v>2588811.6219239929</v>
      </c>
      <c r="JT84" s="26">
        <f t="shared" si="255"/>
        <v>2943040.9592795931</v>
      </c>
      <c r="JU84" s="26">
        <f t="shared" si="256"/>
        <v>3349122.2562536057</v>
      </c>
      <c r="JV84" s="26">
        <f t="shared" si="257"/>
        <v>-101819870037.44789</v>
      </c>
      <c r="JW84" s="26">
        <f t="shared" si="258"/>
        <v>2607774.0736037451</v>
      </c>
      <c r="JX84" s="26" t="e">
        <f>AH84+$AG$38*0.004*(1+$R$28)*#REF!-S84*#REF!</f>
        <v>#REF!</v>
      </c>
      <c r="JY84" s="34">
        <f t="shared" si="259"/>
        <v>5.988502861085139E-2</v>
      </c>
      <c r="JZ84" s="4">
        <f t="shared" si="260"/>
        <v>43804.473509983975</v>
      </c>
      <c r="KA84" s="165"/>
    </row>
    <row r="85" spans="1:287" ht="15.75" x14ac:dyDescent="0.3">
      <c r="A85" s="34">
        <v>84</v>
      </c>
      <c r="B85" s="34">
        <v>57</v>
      </c>
      <c r="C85" s="2">
        <v>843874</v>
      </c>
      <c r="D85" s="1">
        <f t="shared" si="106"/>
        <v>8941</v>
      </c>
      <c r="E85" s="145">
        <f t="shared" si="107"/>
        <v>0.98940481635884026</v>
      </c>
      <c r="F85" s="146">
        <f t="shared" si="108"/>
        <v>1.0595183641159744E-2</v>
      </c>
      <c r="G85" s="158">
        <f t="shared" si="173"/>
        <v>1.3243979551449681E-2</v>
      </c>
      <c r="H85" s="43">
        <f t="shared" si="109"/>
        <v>10710.336525683215</v>
      </c>
      <c r="I85" s="43">
        <f t="shared" si="139"/>
        <v>808694.73439430562</v>
      </c>
      <c r="J85" s="43">
        <f t="shared" si="110"/>
        <v>839403.5</v>
      </c>
      <c r="K85" s="147">
        <f>SUM(J85:$J$138)</f>
        <v>19070423</v>
      </c>
      <c r="L85" s="147">
        <f t="shared" si="111"/>
        <v>22.598661648539949</v>
      </c>
      <c r="M85" s="43">
        <f t="shared" si="174"/>
        <v>1049254.375</v>
      </c>
      <c r="N85" s="148">
        <f t="shared" si="175"/>
        <v>23838028.75</v>
      </c>
      <c r="O85" s="147">
        <f t="shared" si="6"/>
        <v>28.248327060674935</v>
      </c>
      <c r="P85" s="157">
        <f t="shared" si="176"/>
        <v>113811.11474037961</v>
      </c>
      <c r="Q85" s="43">
        <f t="shared" si="177"/>
        <v>1054842.5</v>
      </c>
      <c r="R85" s="43">
        <f t="shared" si="178"/>
        <v>1481.6069404855843</v>
      </c>
      <c r="S85" s="43">
        <f>SUM(R85:$R$138)</f>
        <v>59666.659978071591</v>
      </c>
      <c r="T85" s="43">
        <f t="shared" si="112"/>
        <v>1045693.4808192843</v>
      </c>
      <c r="U85" s="153">
        <f>SUM(P85:$P$138)</f>
        <v>1631218.7777198723</v>
      </c>
      <c r="V85" s="129">
        <f t="shared" si="179"/>
        <v>941559.25973365293</v>
      </c>
      <c r="W85" s="43">
        <f t="shared" si="180"/>
        <v>79206.327645063458</v>
      </c>
      <c r="X85" s="26">
        <f t="shared" si="114"/>
        <v>6.0596851156360012</v>
      </c>
      <c r="Y85" s="26">
        <f t="shared" si="115"/>
        <v>0.6959454515997413</v>
      </c>
      <c r="Z85" s="43">
        <f t="shared" si="181"/>
        <v>48187.938512941255</v>
      </c>
      <c r="AA85" s="149">
        <f t="shared" si="116"/>
        <v>0.10085764902061665</v>
      </c>
      <c r="AB85" s="150">
        <f t="shared" si="138"/>
        <v>1517407.6629794927</v>
      </c>
      <c r="AC85" s="150">
        <f t="shared" si="117"/>
        <v>862352.93208858941</v>
      </c>
      <c r="AD85" s="26">
        <f t="shared" si="118"/>
        <v>5.7556305672357428</v>
      </c>
      <c r="AE85" s="26">
        <f t="shared" si="182"/>
        <v>551178.26961773087</v>
      </c>
      <c r="AF85" s="43">
        <f t="shared" si="183"/>
        <v>90958.236129383644</v>
      </c>
      <c r="AG85" s="43">
        <f t="shared" si="184"/>
        <v>572825.86403886788</v>
      </c>
      <c r="AH85" s="27">
        <f t="shared" si="185"/>
        <v>98373.435275464872</v>
      </c>
      <c r="AI85" s="28">
        <f t="shared" si="186"/>
        <v>615941.78928910533</v>
      </c>
      <c r="AJ85" s="20">
        <f t="shared" si="187"/>
        <v>105777.88739297299</v>
      </c>
      <c r="AK85" s="3">
        <f t="shared" si="188"/>
        <v>9167.4169073909925</v>
      </c>
      <c r="AL85" s="3"/>
      <c r="AM85" s="46">
        <f t="shared" si="121"/>
        <v>1517407.6629794927</v>
      </c>
      <c r="AN85" s="46">
        <f t="shared" si="122"/>
        <v>1408901.5734490284</v>
      </c>
      <c r="AO85" s="46">
        <f t="shared" si="122"/>
        <v>1305560.6997197517</v>
      </c>
      <c r="AP85" s="3">
        <f t="shared" si="278"/>
        <v>1207269.1709574449</v>
      </c>
      <c r="AQ85" s="3">
        <f t="shared" si="278"/>
        <v>1113907.2760732146</v>
      </c>
      <c r="AR85" s="16">
        <f t="shared" si="278"/>
        <v>1025373.0742617993</v>
      </c>
      <c r="AS85" s="16">
        <f t="shared" si="278"/>
        <v>941559.25973365293</v>
      </c>
      <c r="AT85" s="16">
        <f t="shared" si="278"/>
        <v>862352.93208858941</v>
      </c>
      <c r="AU85" s="16">
        <f t="shared" si="278"/>
        <v>787654.85808610427</v>
      </c>
      <c r="AV85" s="16">
        <f t="shared" si="278"/>
        <v>717357.87731688586</v>
      </c>
      <c r="AW85" s="16">
        <f t="shared" si="278"/>
        <v>651351.76418205327</v>
      </c>
      <c r="AX85" s="16">
        <f t="shared" si="278"/>
        <v>589503.97809554788</v>
      </c>
      <c r="AY85" s="16">
        <f t="shared" si="278"/>
        <v>531683.16525119205</v>
      </c>
      <c r="AZ85" s="16">
        <f t="shared" si="278"/>
        <v>477758.13591450383</v>
      </c>
      <c r="BA85" s="16">
        <f t="shared" si="278"/>
        <v>427598.80903629219</v>
      </c>
      <c r="BB85" s="16">
        <f t="shared" si="278"/>
        <v>381075.0024663306</v>
      </c>
      <c r="BC85" s="16">
        <f t="shared" si="144"/>
        <v>338054.11876679707</v>
      </c>
      <c r="BD85" s="16">
        <f t="shared" si="18"/>
        <v>298401.41214207554</v>
      </c>
      <c r="BE85" s="16">
        <f t="shared" si="18"/>
        <v>261981.18319677183</v>
      </c>
      <c r="BF85" s="16">
        <f t="shared" si="18"/>
        <v>228658.26391475086</v>
      </c>
      <c r="BG85" s="16">
        <f t="shared" si="18"/>
        <v>198298.32110974428</v>
      </c>
      <c r="BH85" s="172">
        <f t="shared" si="123"/>
        <v>108506.0895304641</v>
      </c>
      <c r="BI85" s="16">
        <f t="shared" si="277"/>
        <v>103340.87372927672</v>
      </c>
      <c r="BJ85" s="16">
        <f t="shared" si="277"/>
        <v>98291.528762306916</v>
      </c>
      <c r="BK85" s="16">
        <f t="shared" si="277"/>
        <v>93361.894884230453</v>
      </c>
      <c r="BL85" s="16">
        <f t="shared" si="277"/>
        <v>88534.201811415609</v>
      </c>
      <c r="BM85" s="16">
        <f t="shared" si="277"/>
        <v>83813.814528146351</v>
      </c>
      <c r="BN85" s="16">
        <f t="shared" si="277"/>
        <v>79206.327645063458</v>
      </c>
      <c r="BO85" s="16">
        <f t="shared" si="277"/>
        <v>74698.07400248514</v>
      </c>
      <c r="BP85" s="16">
        <f t="shared" si="277"/>
        <v>70296.980769218397</v>
      </c>
      <c r="BQ85" s="16">
        <f t="shared" si="277"/>
        <v>66006.113134832645</v>
      </c>
      <c r="BR85" s="16">
        <f t="shared" si="277"/>
        <v>61847.786086505286</v>
      </c>
      <c r="BS85" s="16">
        <f t="shared" si="277"/>
        <v>57820.812844355773</v>
      </c>
      <c r="BT85" s="16">
        <f t="shared" si="277"/>
        <v>53925.029336687992</v>
      </c>
      <c r="BU85" s="16">
        <f t="shared" si="277"/>
        <v>50159.326878211672</v>
      </c>
      <c r="BV85" s="16">
        <f t="shared" si="277"/>
        <v>46523.806569961562</v>
      </c>
      <c r="BW85" s="16">
        <f t="shared" si="277"/>
        <v>43020.8836995335</v>
      </c>
      <c r="BX85" s="16">
        <f t="shared" si="168"/>
        <v>39652.706624721577</v>
      </c>
      <c r="BY85" s="16">
        <f t="shared" si="149"/>
        <v>36420.228945303788</v>
      </c>
      <c r="BZ85" s="16">
        <f t="shared" si="149"/>
        <v>33322.919282020994</v>
      </c>
      <c r="CA85" s="16">
        <f t="shared" si="149"/>
        <v>30359.942805006591</v>
      </c>
      <c r="CB85" s="16">
        <f t="shared" si="149"/>
        <v>27532.156326787204</v>
      </c>
      <c r="CC85" s="18">
        <f t="shared" si="124"/>
        <v>5.3070606980464898</v>
      </c>
      <c r="CD85" s="18">
        <f t="shared" si="124"/>
        <v>4.5223375499966991</v>
      </c>
      <c r="CE85" s="18">
        <f t="shared" si="124"/>
        <v>3.7032839408403522</v>
      </c>
      <c r="CF85" s="18">
        <f t="shared" si="124"/>
        <v>2.8460209762588322</v>
      </c>
      <c r="CG85" s="18">
        <f t="shared" si="124"/>
        <v>1.9466828955737996</v>
      </c>
      <c r="CH85" s="18">
        <f t="shared" si="150"/>
        <v>1.0000000000000007</v>
      </c>
      <c r="CI85" s="18">
        <f t="shared" si="150"/>
        <v>0</v>
      </c>
      <c r="CJ85" s="18">
        <f t="shared" si="150"/>
        <v>-1.0603530104729124</v>
      </c>
      <c r="CK85" s="18">
        <f t="shared" si="150"/>
        <v>-2.189345829130406</v>
      </c>
      <c r="CL85" s="18">
        <f t="shared" si="151"/>
        <v>-3.3966760314879361</v>
      </c>
      <c r="CM85" s="18">
        <f t="shared" si="151"/>
        <v>-4.6922859153873695</v>
      </c>
      <c r="CN85" s="18">
        <f t="shared" si="151"/>
        <v>-6.08872937476304</v>
      </c>
      <c r="CO85" s="18">
        <f t="shared" si="151"/>
        <v>-7.6008506536611362</v>
      </c>
      <c r="CP85" s="18">
        <f t="shared" si="271"/>
        <v>-9.2465579720651334</v>
      </c>
      <c r="CQ85" s="18">
        <f t="shared" si="272"/>
        <v>-11.047257062348873</v>
      </c>
      <c r="CR85" s="18">
        <f t="shared" si="273"/>
        <v>-13.028190243181825</v>
      </c>
      <c r="CS85" s="18">
        <f t="shared" si="267"/>
        <v>-15.219771671036428</v>
      </c>
      <c r="CT85" s="18">
        <f t="shared" si="125"/>
        <v>-17.659357621213125</v>
      </c>
      <c r="CU85" s="18">
        <f t="shared" si="125"/>
        <v>-20.393713731543915</v>
      </c>
      <c r="CV85" s="18">
        <f t="shared" si="125"/>
        <v>-23.481631714449051</v>
      </c>
      <c r="CW85" s="18">
        <f t="shared" si="22"/>
        <v>-26.996103385507752</v>
      </c>
      <c r="CX85" s="17">
        <f t="shared" si="190"/>
        <v>1521.8813441348364</v>
      </c>
      <c r="CY85" s="17">
        <f t="shared" si="264"/>
        <v>1581.6997642331289</v>
      </c>
      <c r="CZ85" s="17">
        <f t="shared" si="264"/>
        <v>1633.6249845932373</v>
      </c>
      <c r="DA85" s="17">
        <f t="shared" si="264"/>
        <v>1699.5103587480305</v>
      </c>
      <c r="DB85" s="17">
        <f t="shared" si="264"/>
        <v>1756.4305867649496</v>
      </c>
      <c r="DC85" s="17">
        <f t="shared" si="264"/>
        <v>1803.9674861705869</v>
      </c>
      <c r="DD85" s="17">
        <f t="shared" si="263"/>
        <v>1861.5245372443221</v>
      </c>
      <c r="DE85" s="17">
        <f t="shared" si="263"/>
        <v>1907.6029537269662</v>
      </c>
      <c r="DF85" s="3" t="e">
        <f>#REF!+$AG$35*0.004*(1+$R$28)*#REF!-S85*#REF!</f>
        <v>#REF!</v>
      </c>
      <c r="DG85" s="19">
        <f t="shared" si="191"/>
        <v>2550.2851764786205</v>
      </c>
      <c r="DH85" s="19">
        <f t="shared" si="192"/>
        <v>2458.0397068459479</v>
      </c>
      <c r="DI85" s="19">
        <f t="shared" si="193"/>
        <v>2351.2484703052614</v>
      </c>
      <c r="DJ85" s="19">
        <f t="shared" si="194"/>
        <v>2251.0131670714304</v>
      </c>
      <c r="DK85" s="19">
        <f t="shared" si="195"/>
        <v>2133.6593889346914</v>
      </c>
      <c r="DL85" s="19">
        <f t="shared" si="196"/>
        <v>1997.7477895920904</v>
      </c>
      <c r="DM85" s="19">
        <f t="shared" si="197"/>
        <v>1861.5245372443221</v>
      </c>
      <c r="DN85" s="19">
        <f t="shared" si="198"/>
        <v>1702.1274256236206</v>
      </c>
      <c r="DO85" s="173">
        <f t="shared" si="127"/>
        <v>58185.053037586011</v>
      </c>
      <c r="DP85" s="25">
        <f t="shared" si="279"/>
        <v>56663.171693451171</v>
      </c>
      <c r="DQ85" s="26">
        <f t="shared" si="279"/>
        <v>55081.471929218045</v>
      </c>
      <c r="DR85" s="26">
        <f t="shared" si="279"/>
        <v>53447.84694462482</v>
      </c>
      <c r="DS85" s="26">
        <f t="shared" si="279"/>
        <v>51748.336585876787</v>
      </c>
      <c r="DT85" s="26">
        <f t="shared" si="279"/>
        <v>49991.905999111841</v>
      </c>
      <c r="DU85" s="26">
        <f t="shared" si="279"/>
        <v>48187.938512941255</v>
      </c>
      <c r="DV85" s="26">
        <f t="shared" si="279"/>
        <v>0</v>
      </c>
      <c r="DW85" s="26">
        <f t="shared" si="279"/>
        <v>0</v>
      </c>
      <c r="DX85" s="26">
        <f t="shared" si="279"/>
        <v>0</v>
      </c>
      <c r="DY85" s="26">
        <f t="shared" si="279"/>
        <v>0</v>
      </c>
      <c r="DZ85" s="26">
        <f t="shared" si="279"/>
        <v>0</v>
      </c>
      <c r="EA85" s="26">
        <f t="shared" si="279"/>
        <v>0</v>
      </c>
      <c r="EB85" s="26">
        <f t="shared" si="279"/>
        <v>0</v>
      </c>
      <c r="EC85" s="26">
        <f t="shared" si="279"/>
        <v>0</v>
      </c>
      <c r="ED85" s="26">
        <f t="shared" si="279"/>
        <v>0</v>
      </c>
      <c r="EE85" s="26">
        <f t="shared" si="145"/>
        <v>0</v>
      </c>
      <c r="EF85" s="26">
        <f t="shared" si="34"/>
        <v>0</v>
      </c>
      <c r="EG85" s="26">
        <f t="shared" si="34"/>
        <v>0</v>
      </c>
      <c r="EH85" s="26">
        <f t="shared" si="34"/>
        <v>0</v>
      </c>
      <c r="EI85" s="26">
        <f t="shared" si="34"/>
        <v>0</v>
      </c>
      <c r="EJ85" s="26">
        <f t="shared" si="128"/>
        <v>9.2134133373574137E-2</v>
      </c>
      <c r="EK85" s="26">
        <f t="shared" si="128"/>
        <v>8.2012401043875277E-2</v>
      </c>
      <c r="EL85" s="26">
        <f t="shared" si="270"/>
        <v>7.0133545617619281E-2</v>
      </c>
      <c r="EM85" s="26">
        <f t="shared" si="270"/>
        <v>5.6338921122004823E-2</v>
      </c>
      <c r="EN85" s="26">
        <f t="shared" si="270"/>
        <v>4.0214945186036043E-2</v>
      </c>
      <c r="EO85" s="26">
        <f t="shared" si="270"/>
        <v>2.1523510131671409E-2</v>
      </c>
      <c r="EP85" s="26">
        <f t="shared" si="270"/>
        <v>0</v>
      </c>
      <c r="EQ85" s="26">
        <f t="shared" si="270"/>
        <v>-0.6451028243557938</v>
      </c>
      <c r="ER85" s="26">
        <f t="shared" si="270"/>
        <v>-0.68549087010066534</v>
      </c>
      <c r="ES85" s="26">
        <f t="shared" si="270"/>
        <v>-0.73005266064533025</v>
      </c>
      <c r="ET85" s="26">
        <f t="shared" si="270"/>
        <v>-0.77913764682767672</v>
      </c>
      <c r="EU85" s="26">
        <f t="shared" si="270"/>
        <v>-0.83340126405098025</v>
      </c>
      <c r="EV85" s="26">
        <f t="shared" si="270"/>
        <v>-0.8936098710688416</v>
      </c>
      <c r="EW85" s="26">
        <f t="shared" si="270"/>
        <v>-0.96069747167746078</v>
      </c>
      <c r="EX85" s="26">
        <f t="shared" si="270"/>
        <v>-1.0357694708509546</v>
      </c>
      <c r="EY85" s="26">
        <f t="shared" si="269"/>
        <v>-1.1201057339848131</v>
      </c>
      <c r="EZ85" s="26">
        <f t="shared" si="269"/>
        <v>-1.2152496667881523</v>
      </c>
      <c r="FA85" s="26">
        <f t="shared" si="269"/>
        <v>-1.3231091596186919</v>
      </c>
      <c r="FB85" s="26">
        <f t="shared" si="269"/>
        <v>-1.4460899450349332</v>
      </c>
      <c r="FC85" s="26">
        <f t="shared" si="269"/>
        <v>-1.5872209912396373</v>
      </c>
      <c r="FD85" s="26">
        <f t="shared" si="269"/>
        <v>-1.7502420784258428</v>
      </c>
      <c r="FE85" s="26">
        <f t="shared" si="130"/>
        <v>5.0370319649846964</v>
      </c>
      <c r="FF85" s="26">
        <f t="shared" si="130"/>
        <v>4.2887944686072501</v>
      </c>
      <c r="FG85" s="26">
        <f t="shared" si="130"/>
        <v>3.5091146023676951</v>
      </c>
      <c r="FH85" s="26">
        <f t="shared" si="130"/>
        <v>2.6944005827704625</v>
      </c>
      <c r="FI85" s="26">
        <f t="shared" si="130"/>
        <v>1.8413239046358025</v>
      </c>
      <c r="FJ85" s="26">
        <f t="shared" si="157"/>
        <v>0.94502711863167199</v>
      </c>
      <c r="FK85" s="26">
        <f t="shared" si="157"/>
        <v>0</v>
      </c>
      <c r="FL85" s="26">
        <f t="shared" si="157"/>
        <v>-1</v>
      </c>
      <c r="FM85" s="26">
        <f t="shared" si="157"/>
        <v>-2.0626071445047596</v>
      </c>
      <c r="FN85" s="26">
        <f t="shared" si="157"/>
        <v>-3.1966913045692875</v>
      </c>
      <c r="FO85" s="26">
        <f t="shared" si="170"/>
        <v>-4.4116203870485045</v>
      </c>
      <c r="FP85" s="26">
        <f t="shared" si="158"/>
        <v>-5.7188709492463659</v>
      </c>
      <c r="FQ85" s="26">
        <f t="shared" si="158"/>
        <v>-7.1320275742979673</v>
      </c>
      <c r="FR85" s="26">
        <f t="shared" si="158"/>
        <v>-8.6674632637693296</v>
      </c>
      <c r="FS85" s="26">
        <f t="shared" si="158"/>
        <v>-10.344766800165477</v>
      </c>
      <c r="FT85" s="26">
        <f t="shared" si="274"/>
        <v>-12.187076792369041</v>
      </c>
      <c r="FU85" s="26">
        <f t="shared" si="268"/>
        <v>-14.222270506874226</v>
      </c>
      <c r="FV85" s="26">
        <f t="shared" si="131"/>
        <v>-16.484568226999919</v>
      </c>
      <c r="FW85" s="26">
        <f t="shared" si="131"/>
        <v>-19.016781297301925</v>
      </c>
      <c r="FX85" s="26">
        <f t="shared" si="39"/>
        <v>787654.85808610427</v>
      </c>
      <c r="FY85" s="26">
        <f t="shared" si="40"/>
        <v>70296.980769218397</v>
      </c>
      <c r="FZ85" s="26">
        <f t="shared" si="132"/>
        <v>0.72997126693820757</v>
      </c>
      <c r="GA85" s="26">
        <f t="shared" si="160"/>
        <v>0.76645691861055087</v>
      </c>
      <c r="GB85" s="26">
        <f t="shared" si="132"/>
        <v>0.80583066152734106</v>
      </c>
      <c r="GC85" s="26">
        <f t="shared" si="132"/>
        <v>0.84837960651162858</v>
      </c>
      <c r="GD85" s="26">
        <f t="shared" si="132"/>
        <v>0.89464100906199828</v>
      </c>
      <c r="GE85" s="26">
        <f t="shared" si="161"/>
        <v>0.94502711863167133</v>
      </c>
      <c r="GF85" s="26">
        <f t="shared" si="161"/>
        <v>1</v>
      </c>
      <c r="GG85" s="26">
        <f t="shared" si="161"/>
        <v>1.0603530104729118</v>
      </c>
      <c r="GH85" s="26">
        <f t="shared" si="161"/>
        <v>1.1267386846256457</v>
      </c>
      <c r="GI85" s="26">
        <f t="shared" si="161"/>
        <v>1.1999847269186468</v>
      </c>
      <c r="GJ85" s="26">
        <f t="shared" si="171"/>
        <v>1.2806655283388659</v>
      </c>
      <c r="GK85" s="26">
        <f t="shared" si="162"/>
        <v>1.3698584255166737</v>
      </c>
      <c r="GL85" s="26">
        <f t="shared" si="162"/>
        <v>1.4688230793631722</v>
      </c>
      <c r="GM85" s="26">
        <f t="shared" si="162"/>
        <v>1.5790947082958025</v>
      </c>
      <c r="GN85" s="26">
        <f t="shared" si="162"/>
        <v>1.7024902621833959</v>
      </c>
      <c r="GO85" s="26">
        <f t="shared" si="275"/>
        <v>1.8411134508127813</v>
      </c>
      <c r="GP85" s="26">
        <f t="shared" si="265"/>
        <v>1.9975011641621983</v>
      </c>
      <c r="GQ85" s="26">
        <f t="shared" si="134"/>
        <v>2.1747893942132048</v>
      </c>
      <c r="GR85" s="26">
        <f t="shared" si="134"/>
        <v>2.3769324342419886</v>
      </c>
      <c r="GS85" s="26">
        <f t="shared" si="134"/>
        <v>2.6089089875360938</v>
      </c>
      <c r="GT85" s="26">
        <f t="shared" si="134"/>
        <v>2.876866116294722</v>
      </c>
      <c r="GU85" s="26">
        <f t="shared" si="135"/>
        <v>5.3070606980464898</v>
      </c>
      <c r="GV85" s="26">
        <f t="shared" si="164"/>
        <v>4.5223375499966991</v>
      </c>
      <c r="GW85" s="26">
        <f t="shared" si="135"/>
        <v>3.7032839408403522</v>
      </c>
      <c r="GX85" s="26">
        <f t="shared" si="135"/>
        <v>2.8460209762588322</v>
      </c>
      <c r="GY85" s="26">
        <f t="shared" si="135"/>
        <v>1.9466828955737996</v>
      </c>
      <c r="GZ85" s="26">
        <f t="shared" si="165"/>
        <v>1.0000000000000007</v>
      </c>
      <c r="HA85" s="26">
        <f t="shared" si="165"/>
        <v>0</v>
      </c>
      <c r="HB85" s="26">
        <f t="shared" si="165"/>
        <v>-1.0603530104729124</v>
      </c>
      <c r="HC85" s="26">
        <f t="shared" si="165"/>
        <v>-2.189345829130406</v>
      </c>
      <c r="HD85" s="26">
        <f t="shared" si="165"/>
        <v>-3.3966760314879361</v>
      </c>
      <c r="HE85" s="26">
        <f t="shared" si="172"/>
        <v>-4.6922859153873695</v>
      </c>
      <c r="HF85" s="26">
        <f t="shared" si="166"/>
        <v>-6.08872937476304</v>
      </c>
      <c r="HG85" s="26">
        <f t="shared" si="166"/>
        <v>-7.6008506536611362</v>
      </c>
      <c r="HH85" s="26">
        <f t="shared" si="166"/>
        <v>-9.2465579720651334</v>
      </c>
      <c r="HI85" s="26">
        <f t="shared" si="166"/>
        <v>-11.047257062348873</v>
      </c>
      <c r="HJ85" s="26">
        <f t="shared" si="276"/>
        <v>-13.028190243181825</v>
      </c>
      <c r="HK85" s="26">
        <f t="shared" si="266"/>
        <v>-15.219771671036428</v>
      </c>
      <c r="HL85" s="26">
        <f t="shared" si="137"/>
        <v>-17.659357621213125</v>
      </c>
      <c r="HM85" s="26">
        <f t="shared" si="137"/>
        <v>-20.393713731543915</v>
      </c>
      <c r="HN85" s="26">
        <f t="shared" si="137"/>
        <v>-23.481631714449051</v>
      </c>
      <c r="HO85" s="26">
        <f t="shared" si="137"/>
        <v>-26.996103385507752</v>
      </c>
      <c r="HP85" s="26">
        <f t="shared" si="199"/>
        <v>543431.9748248473</v>
      </c>
      <c r="HQ85" s="26">
        <f t="shared" si="200"/>
        <v>554289.77218592586</v>
      </c>
      <c r="HR85" s="26">
        <f t="shared" si="201"/>
        <v>566234.16809090774</v>
      </c>
      <c r="HS85" s="26">
        <f t="shared" si="202"/>
        <v>579604.53978973429</v>
      </c>
      <c r="HT85" s="26">
        <f t="shared" si="203"/>
        <v>594720.78021437395</v>
      </c>
      <c r="HU85" s="26">
        <f t="shared" si="204"/>
        <v>612070.29563167493</v>
      </c>
      <c r="HV85" s="26">
        <f t="shared" si="205"/>
        <v>632215.9078880985</v>
      </c>
      <c r="HW85" s="26">
        <f t="shared" si="206"/>
        <v>620274.24019180879</v>
      </c>
      <c r="HX85" s="26">
        <f t="shared" si="207"/>
        <v>647483.51908341527</v>
      </c>
      <c r="HY85" s="26">
        <f t="shared" si="208"/>
        <v>679937.33544971875</v>
      </c>
      <c r="HZ85" s="26">
        <f t="shared" si="209"/>
        <v>718633.01682902477</v>
      </c>
      <c r="IA85" s="26">
        <f t="shared" si="210"/>
        <v>764845.44875881774</v>
      </c>
      <c r="IB85" s="26">
        <f t="shared" si="211"/>
        <v>820101.27934141085</v>
      </c>
      <c r="IC85" s="26">
        <f t="shared" si="212"/>
        <v>886264.19725279952</v>
      </c>
      <c r="ID85" s="26">
        <f t="shared" si="213"/>
        <v>965584.2541498146</v>
      </c>
      <c r="IE85" s="26">
        <f t="shared" si="214"/>
        <v>1060736.3927228865</v>
      </c>
      <c r="IF85" s="26">
        <f t="shared" si="215"/>
        <v>1174968.2348958733</v>
      </c>
      <c r="IG85" s="26">
        <f t="shared" si="216"/>
        <v>1312297.0534085818</v>
      </c>
      <c r="IH85" s="26">
        <f t="shared" si="217"/>
        <v>1477784.7753779874</v>
      </c>
      <c r="II85" s="26">
        <f t="shared" si="218"/>
        <v>-90293341253.111465</v>
      </c>
      <c r="IJ85" s="26">
        <f t="shared" si="219"/>
        <v>563916.86207231332</v>
      </c>
      <c r="IK85" s="26">
        <f t="shared" si="220"/>
        <v>574286.88400043384</v>
      </c>
      <c r="IL85" s="26">
        <f t="shared" si="221"/>
        <v>585816.96704443963</v>
      </c>
      <c r="IM85" s="26">
        <f t="shared" si="222"/>
        <v>598860.44827396667</v>
      </c>
      <c r="IN85" s="26">
        <f t="shared" si="223"/>
        <v>613751.50883258821</v>
      </c>
      <c r="IO85" s="26">
        <f t="shared" si="224"/>
        <v>630997.0144645446</v>
      </c>
      <c r="IP85" s="26">
        <f t="shared" si="225"/>
        <v>651182.38512474147</v>
      </c>
      <c r="IQ85" s="26">
        <f t="shared" si="226"/>
        <v>638384.38067648117</v>
      </c>
      <c r="IR85" s="26">
        <f t="shared" si="227"/>
        <v>665986.17427346634</v>
      </c>
      <c r="IS85" s="26">
        <f t="shared" si="228"/>
        <v>699073.44476460665</v>
      </c>
      <c r="IT85" s="26">
        <f t="shared" si="229"/>
        <v>738685.0113091775</v>
      </c>
      <c r="IU85" s="26">
        <f t="shared" si="230"/>
        <v>786147.38956892549</v>
      </c>
      <c r="IV85" s="26">
        <f t="shared" si="231"/>
        <v>843049.07498249807</v>
      </c>
      <c r="IW85" s="26">
        <f t="shared" si="232"/>
        <v>911328.98793405574</v>
      </c>
      <c r="IX85" s="26">
        <f t="shared" si="233"/>
        <v>993328.20876522956</v>
      </c>
      <c r="IY85" s="26">
        <f t="shared" si="234"/>
        <v>1091830.7909126547</v>
      </c>
      <c r="IZ85" s="26">
        <f t="shared" si="235"/>
        <v>1210217.2819427496</v>
      </c>
      <c r="JA85" s="26">
        <f t="shared" si="236"/>
        <v>1352669.4468920836</v>
      </c>
      <c r="JB85" s="26">
        <f t="shared" si="237"/>
        <v>1524456.1441692065</v>
      </c>
      <c r="JC85" s="26">
        <f t="shared" si="238"/>
        <v>-93002137417.866547</v>
      </c>
      <c r="JD85" s="26">
        <f t="shared" si="239"/>
        <v>146787.4570305582</v>
      </c>
      <c r="JE85" s="26">
        <f t="shared" si="240"/>
        <v>235743.19543551822</v>
      </c>
      <c r="JF85" s="26">
        <f t="shared" si="241"/>
        <v>329824.28654477757</v>
      </c>
      <c r="JG85" s="26">
        <f t="shared" si="242"/>
        <v>429730.34430220834</v>
      </c>
      <c r="JH85" s="26">
        <f t="shared" si="243"/>
        <v>536466.38240896352</v>
      </c>
      <c r="JI85" s="26">
        <f t="shared" si="244"/>
        <v>651182.38512474147</v>
      </c>
      <c r="JJ85" s="26">
        <f t="shared" si="245"/>
        <v>738620.22095852369</v>
      </c>
      <c r="JK85" s="26">
        <f t="shared" si="246"/>
        <v>872946.41928941361</v>
      </c>
      <c r="JL85" s="26">
        <f t="shared" si="247"/>
        <v>1020163.3769092038</v>
      </c>
      <c r="JM85" s="26">
        <f t="shared" si="248"/>
        <v>1182249.7646762461</v>
      </c>
      <c r="JN85" s="26">
        <f t="shared" si="249"/>
        <v>1361718.8257806583</v>
      </c>
      <c r="JO85" s="26">
        <f t="shared" si="250"/>
        <v>1561562.2914331614</v>
      </c>
      <c r="JP85" s="26">
        <f t="shared" si="251"/>
        <v>1785411.9573719441</v>
      </c>
      <c r="JQ85" s="26">
        <f t="shared" si="252"/>
        <v>2037632.4013495496</v>
      </c>
      <c r="JR85" s="26">
        <f t="shared" si="253"/>
        <v>2323393.8491409863</v>
      </c>
      <c r="JS85" s="26">
        <f t="shared" si="254"/>
        <v>2648951.9177474496</v>
      </c>
      <c r="JT85" s="26">
        <f t="shared" si="255"/>
        <v>3022019.6845209021</v>
      </c>
      <c r="JU85" s="26">
        <f t="shared" si="256"/>
        <v>3452286.7931726342</v>
      </c>
      <c r="JV85" s="26">
        <f t="shared" si="257"/>
        <v>-92999917684.378891</v>
      </c>
      <c r="JW85" s="26">
        <f t="shared" si="258"/>
        <v>2698746.1731004165</v>
      </c>
      <c r="JX85" s="26" t="e">
        <f>AH85+$AG$38*0.004*(1+$R$28)*#REF!-S85*#REF!</f>
        <v>#REF!</v>
      </c>
      <c r="JY85" s="34">
        <f t="shared" si="259"/>
        <v>6.0595183641159747E-2</v>
      </c>
      <c r="JZ85" s="4">
        <f t="shared" si="260"/>
        <v>43610.549118083145</v>
      </c>
      <c r="KA85" s="165"/>
    </row>
    <row r="86" spans="1:287" ht="15.75" x14ac:dyDescent="0.3">
      <c r="A86" s="34">
        <v>85</v>
      </c>
      <c r="B86" s="34">
        <v>58</v>
      </c>
      <c r="C86" s="2">
        <v>834933</v>
      </c>
      <c r="D86" s="1">
        <f t="shared" si="106"/>
        <v>9531</v>
      </c>
      <c r="E86" s="145">
        <f t="shared" si="107"/>
        <v>0.98858471278533722</v>
      </c>
      <c r="F86" s="146">
        <f t="shared" si="108"/>
        <v>1.1415287214662784E-2</v>
      </c>
      <c r="G86" s="158">
        <f t="shared" si="173"/>
        <v>1.426910901832848E-2</v>
      </c>
      <c r="H86" s="43">
        <f t="shared" si="109"/>
        <v>11386.526368112582</v>
      </c>
      <c r="I86" s="43">
        <f t="shared" si="139"/>
        <v>797984.39786862244</v>
      </c>
      <c r="J86" s="43">
        <f t="shared" si="110"/>
        <v>830167.5</v>
      </c>
      <c r="K86" s="147">
        <f>SUM(J86:$J$138)</f>
        <v>18231019.5</v>
      </c>
      <c r="L86" s="147">
        <f t="shared" si="111"/>
        <v>21.835308342106494</v>
      </c>
      <c r="M86" s="43">
        <f t="shared" si="174"/>
        <v>1037709.375</v>
      </c>
      <c r="N86" s="148">
        <f t="shared" si="175"/>
        <v>22788774.375</v>
      </c>
      <c r="O86" s="147">
        <f t="shared" si="6"/>
        <v>27.294135427633115</v>
      </c>
      <c r="P86" s="157">
        <f t="shared" si="176"/>
        <v>108506.0895304641</v>
      </c>
      <c r="Q86" s="43">
        <f t="shared" si="177"/>
        <v>1043666.25</v>
      </c>
      <c r="R86" s="43">
        <f t="shared" si="178"/>
        <v>1521.8813441348364</v>
      </c>
      <c r="S86" s="43">
        <f>SUM(R86:$R$138)</f>
        <v>58185.053037586011</v>
      </c>
      <c r="T86" s="43">
        <f t="shared" si="112"/>
        <v>986026.82084121276</v>
      </c>
      <c r="U86" s="153">
        <f>SUM(P86:$P$138)</f>
        <v>1517407.6629794927</v>
      </c>
      <c r="V86" s="129">
        <f t="shared" si="179"/>
        <v>862352.93208858941</v>
      </c>
      <c r="W86" s="43">
        <f t="shared" si="180"/>
        <v>74698.07400248514</v>
      </c>
      <c r="X86" s="26">
        <f t="shared" si="114"/>
        <v>6.0370319649846982</v>
      </c>
      <c r="Y86" s="26">
        <f t="shared" si="115"/>
        <v>0.68842287401310276</v>
      </c>
      <c r="Z86" s="43">
        <f t="shared" si="181"/>
        <v>46326.413975696931</v>
      </c>
      <c r="AA86" s="149">
        <f t="shared" si="116"/>
        <v>0.10929007867857643</v>
      </c>
      <c r="AB86" s="150">
        <f t="shared" si="138"/>
        <v>1408901.5734490284</v>
      </c>
      <c r="AC86" s="150">
        <f t="shared" si="117"/>
        <v>787654.85808610427</v>
      </c>
      <c r="AD86" s="26">
        <f t="shared" si="118"/>
        <v>5.7254548389977993</v>
      </c>
      <c r="AE86" s="26">
        <f t="shared" si="182"/>
        <v>554258.42899519182</v>
      </c>
      <c r="AF86" s="43">
        <f t="shared" si="183"/>
        <v>91809.755557025055</v>
      </c>
      <c r="AG86" s="43">
        <f t="shared" si="184"/>
        <v>575979.31689333078</v>
      </c>
      <c r="AH86" s="27">
        <f t="shared" si="185"/>
        <v>99250.50028593553</v>
      </c>
      <c r="AI86" s="28">
        <f t="shared" si="186"/>
        <v>619332.59881003317</v>
      </c>
      <c r="AJ86" s="20">
        <f t="shared" si="187"/>
        <v>106720.96804939305</v>
      </c>
      <c r="AK86" s="3">
        <f t="shared" si="188"/>
        <v>9249.1505642807315</v>
      </c>
      <c r="AL86" s="3"/>
      <c r="AM86" s="46">
        <f t="shared" si="121"/>
        <v>1408901.5734490284</v>
      </c>
      <c r="AN86" s="46">
        <f t="shared" si="122"/>
        <v>1305560.6997197517</v>
      </c>
      <c r="AO86" s="46">
        <f t="shared" si="122"/>
        <v>1207269.1709574449</v>
      </c>
      <c r="AP86" s="3">
        <f t="shared" si="278"/>
        <v>1113907.2760732146</v>
      </c>
      <c r="AQ86" s="3">
        <f t="shared" si="278"/>
        <v>1025373.0742617993</v>
      </c>
      <c r="AR86" s="16">
        <f t="shared" si="278"/>
        <v>941559.25973365293</v>
      </c>
      <c r="AS86" s="16">
        <f t="shared" si="278"/>
        <v>862352.93208858941</v>
      </c>
      <c r="AT86" s="16">
        <f t="shared" si="278"/>
        <v>787654.85808610427</v>
      </c>
      <c r="AU86" s="16">
        <f t="shared" si="278"/>
        <v>717357.87731688586</v>
      </c>
      <c r="AV86" s="16">
        <f t="shared" si="278"/>
        <v>651351.76418205327</v>
      </c>
      <c r="AW86" s="16">
        <f t="shared" si="278"/>
        <v>589503.97809554788</v>
      </c>
      <c r="AX86" s="16">
        <f t="shared" si="278"/>
        <v>531683.16525119205</v>
      </c>
      <c r="AY86" s="16">
        <f t="shared" si="278"/>
        <v>477758.13591450383</v>
      </c>
      <c r="AZ86" s="16">
        <f t="shared" si="278"/>
        <v>427598.80903629219</v>
      </c>
      <c r="BA86" s="16">
        <f t="shared" si="278"/>
        <v>381075.0024663306</v>
      </c>
      <c r="BB86" s="16">
        <f t="shared" si="278"/>
        <v>338054.11876679707</v>
      </c>
      <c r="BC86" s="16">
        <f t="shared" si="144"/>
        <v>298401.41214207554</v>
      </c>
      <c r="BD86" s="16">
        <f t="shared" si="18"/>
        <v>261981.18319677183</v>
      </c>
      <c r="BE86" s="16">
        <f t="shared" si="18"/>
        <v>228658.26391475086</v>
      </c>
      <c r="BF86" s="16">
        <f t="shared" si="18"/>
        <v>198298.32110974428</v>
      </c>
      <c r="BG86" s="16">
        <f t="shared" si="18"/>
        <v>170766.16478295706</v>
      </c>
      <c r="BH86" s="172">
        <f t="shared" si="123"/>
        <v>103340.87372927672</v>
      </c>
      <c r="BI86" s="16">
        <f t="shared" si="277"/>
        <v>98291.528762306916</v>
      </c>
      <c r="BJ86" s="16">
        <f t="shared" si="277"/>
        <v>93361.894884230453</v>
      </c>
      <c r="BK86" s="16">
        <f t="shared" si="277"/>
        <v>88534.201811415609</v>
      </c>
      <c r="BL86" s="16">
        <f t="shared" si="277"/>
        <v>83813.814528146351</v>
      </c>
      <c r="BM86" s="16">
        <f t="shared" si="277"/>
        <v>79206.327645063458</v>
      </c>
      <c r="BN86" s="16">
        <f t="shared" si="277"/>
        <v>74698.07400248514</v>
      </c>
      <c r="BO86" s="16">
        <f t="shared" si="277"/>
        <v>70296.980769218397</v>
      </c>
      <c r="BP86" s="16">
        <f t="shared" si="277"/>
        <v>66006.113134832645</v>
      </c>
      <c r="BQ86" s="16">
        <f t="shared" si="277"/>
        <v>61847.786086505286</v>
      </c>
      <c r="BR86" s="16">
        <f t="shared" si="277"/>
        <v>57820.812844355773</v>
      </c>
      <c r="BS86" s="16">
        <f t="shared" si="277"/>
        <v>53925.029336687992</v>
      </c>
      <c r="BT86" s="16">
        <f t="shared" si="277"/>
        <v>50159.326878211672</v>
      </c>
      <c r="BU86" s="16">
        <f t="shared" si="277"/>
        <v>46523.806569961562</v>
      </c>
      <c r="BV86" s="16">
        <f t="shared" si="277"/>
        <v>43020.8836995335</v>
      </c>
      <c r="BW86" s="16">
        <f t="shared" si="277"/>
        <v>39652.706624721577</v>
      </c>
      <c r="BX86" s="16">
        <f t="shared" si="168"/>
        <v>36420.228945303788</v>
      </c>
      <c r="BY86" s="16">
        <f t="shared" si="149"/>
        <v>33322.919282020994</v>
      </c>
      <c r="BZ86" s="16">
        <f t="shared" si="149"/>
        <v>30359.942805006591</v>
      </c>
      <c r="CA86" s="16">
        <f t="shared" si="149"/>
        <v>27532.156326787204</v>
      </c>
      <c r="CB86" s="16">
        <f t="shared" si="149"/>
        <v>24838.755519463502</v>
      </c>
      <c r="CC86" s="18">
        <f t="shared" si="124"/>
        <v>5.2887944686072501</v>
      </c>
      <c r="CD86" s="18">
        <f t="shared" si="124"/>
        <v>4.5091146023676938</v>
      </c>
      <c r="CE86" s="18">
        <f t="shared" si="124"/>
        <v>3.6944005827704611</v>
      </c>
      <c r="CF86" s="18">
        <f t="shared" si="124"/>
        <v>2.8413239046357988</v>
      </c>
      <c r="CG86" s="18">
        <f t="shared" si="124"/>
        <v>1.9450271186316728</v>
      </c>
      <c r="CH86" s="18">
        <f t="shared" si="150"/>
        <v>1.0000000000000007</v>
      </c>
      <c r="CI86" s="18">
        <f t="shared" si="150"/>
        <v>0</v>
      </c>
      <c r="CJ86" s="18">
        <f t="shared" si="150"/>
        <v>-1.0626071445047593</v>
      </c>
      <c r="CK86" s="18">
        <f t="shared" si="150"/>
        <v>-2.196691304569288</v>
      </c>
      <c r="CL86" s="18">
        <f t="shared" si="151"/>
        <v>-3.4116203870485022</v>
      </c>
      <c r="CM86" s="18">
        <f t="shared" si="151"/>
        <v>-4.718870949246365</v>
      </c>
      <c r="CN86" s="18">
        <f t="shared" si="151"/>
        <v>-6.1320275742979629</v>
      </c>
      <c r="CO86" s="18">
        <f t="shared" si="151"/>
        <v>-7.6674632637693305</v>
      </c>
      <c r="CP86" s="18">
        <f t="shared" si="271"/>
        <v>-9.3447668001654751</v>
      </c>
      <c r="CQ86" s="18">
        <f t="shared" si="272"/>
        <v>-11.187076792369041</v>
      </c>
      <c r="CR86" s="18">
        <f t="shared" si="273"/>
        <v>-13.222270506874224</v>
      </c>
      <c r="CS86" s="18">
        <f t="shared" si="267"/>
        <v>-15.484568226999922</v>
      </c>
      <c r="CT86" s="18">
        <f t="shared" si="125"/>
        <v>-18.016781297301929</v>
      </c>
      <c r="CU86" s="18">
        <f t="shared" si="125"/>
        <v>-20.872722726912954</v>
      </c>
      <c r="CV86" s="18">
        <f t="shared" si="125"/>
        <v>-24.119237269213027</v>
      </c>
      <c r="CW86" s="18">
        <f t="shared" si="22"/>
        <v>-27.843052231973097</v>
      </c>
      <c r="CX86" s="17">
        <f t="shared" si="190"/>
        <v>1581.6997642331289</v>
      </c>
      <c r="CY86" s="17">
        <f t="shared" si="264"/>
        <v>1633.6249845932373</v>
      </c>
      <c r="CZ86" s="17">
        <f t="shared" si="264"/>
        <v>1699.5103587480305</v>
      </c>
      <c r="DA86" s="17">
        <f t="shared" si="264"/>
        <v>1756.4305867649496</v>
      </c>
      <c r="DB86" s="17">
        <f t="shared" si="264"/>
        <v>1803.9674861705869</v>
      </c>
      <c r="DC86" s="17">
        <f t="shared" si="264"/>
        <v>1861.5245372443221</v>
      </c>
      <c r="DD86" s="17">
        <f t="shared" si="263"/>
        <v>1907.6029537269662</v>
      </c>
      <c r="DE86" s="17">
        <f t="shared" si="263"/>
        <v>1946.8763483882083</v>
      </c>
      <c r="DF86" s="3" t="e">
        <f>#REF!+$AG$35*0.004*(1+$R$28)*#REF!-S86*#REF!</f>
        <v>#REF!</v>
      </c>
      <c r="DG86" s="19">
        <f t="shared" si="191"/>
        <v>2611.6104845246336</v>
      </c>
      <c r="DH86" s="19">
        <f t="shared" si="192"/>
        <v>2511.7051398283861</v>
      </c>
      <c r="DI86" s="19">
        <f t="shared" si="193"/>
        <v>2418.9375907630538</v>
      </c>
      <c r="DJ86" s="19">
        <f t="shared" si="194"/>
        <v>2309.7343626206107</v>
      </c>
      <c r="DK86" s="19">
        <f t="shared" si="195"/>
        <v>2182.731359984723</v>
      </c>
      <c r="DL86" s="19">
        <f t="shared" si="196"/>
        <v>2056.2590322988676</v>
      </c>
      <c r="DM86" s="19">
        <f t="shared" si="197"/>
        <v>1907.6029537269662</v>
      </c>
      <c r="DN86" s="19">
        <f t="shared" si="198"/>
        <v>1739.9500826617218</v>
      </c>
      <c r="DO86" s="173">
        <f t="shared" si="127"/>
        <v>56663.171693451171</v>
      </c>
      <c r="DP86" s="25">
        <f t="shared" si="279"/>
        <v>55081.471929218045</v>
      </c>
      <c r="DQ86" s="26">
        <f t="shared" si="279"/>
        <v>53447.84694462482</v>
      </c>
      <c r="DR86" s="26">
        <f t="shared" si="279"/>
        <v>51748.336585876787</v>
      </c>
      <c r="DS86" s="26">
        <f t="shared" si="279"/>
        <v>49991.905999111841</v>
      </c>
      <c r="DT86" s="26">
        <f t="shared" si="279"/>
        <v>48187.938512941255</v>
      </c>
      <c r="DU86" s="26">
        <f t="shared" si="279"/>
        <v>0</v>
      </c>
      <c r="DV86" s="26">
        <f t="shared" si="279"/>
        <v>0</v>
      </c>
      <c r="DW86" s="26">
        <f t="shared" si="279"/>
        <v>0</v>
      </c>
      <c r="DX86" s="26">
        <f t="shared" si="279"/>
        <v>0</v>
      </c>
      <c r="DY86" s="26">
        <f t="shared" si="279"/>
        <v>0</v>
      </c>
      <c r="DZ86" s="26">
        <f t="shared" si="279"/>
        <v>0</v>
      </c>
      <c r="EA86" s="26">
        <f t="shared" si="279"/>
        <v>0</v>
      </c>
      <c r="EB86" s="26">
        <f t="shared" si="279"/>
        <v>0</v>
      </c>
      <c r="EC86" s="26">
        <f t="shared" si="279"/>
        <v>0</v>
      </c>
      <c r="ED86" s="26">
        <f t="shared" si="279"/>
        <v>0</v>
      </c>
      <c r="EE86" s="26">
        <f t="shared" si="145"/>
        <v>0</v>
      </c>
      <c r="EF86" s="26">
        <f t="shared" si="34"/>
        <v>0</v>
      </c>
      <c r="EG86" s="26">
        <f t="shared" si="34"/>
        <v>0</v>
      </c>
      <c r="EH86" s="26">
        <f t="shared" si="34"/>
        <v>0</v>
      </c>
      <c r="EI86" s="26">
        <f t="shared" si="34"/>
        <v>0</v>
      </c>
      <c r="EJ86" s="26">
        <f t="shared" si="128"/>
        <v>0.10002584016111152</v>
      </c>
      <c r="EK86" s="26">
        <f t="shared" si="128"/>
        <v>8.9072355102879697E-2</v>
      </c>
      <c r="EL86" s="26">
        <f t="shared" si="270"/>
        <v>7.6277725272805644E-2</v>
      </c>
      <c r="EM86" s="26">
        <f t="shared" si="270"/>
        <v>6.1240994996814353E-2</v>
      </c>
      <c r="EN86" s="26">
        <f t="shared" si="270"/>
        <v>4.3733745374206358E-2</v>
      </c>
      <c r="EO86" s="26">
        <f t="shared" si="270"/>
        <v>2.3502219994166639E-2</v>
      </c>
      <c r="EP86" s="26">
        <f t="shared" si="270"/>
        <v>-0.6201821746321825</v>
      </c>
      <c r="EQ86" s="26">
        <f t="shared" si="270"/>
        <v>-0.65901000965865542</v>
      </c>
      <c r="ER86" s="26">
        <f t="shared" si="270"/>
        <v>-0.70185035560364828</v>
      </c>
      <c r="ES86" s="26">
        <f t="shared" si="270"/>
        <v>-0.7490391638417111</v>
      </c>
      <c r="ET86" s="26">
        <f t="shared" si="270"/>
        <v>-0.80120654997362462</v>
      </c>
      <c r="EU86" s="26">
        <f t="shared" si="270"/>
        <v>-0.85908926792513896</v>
      </c>
      <c r="EV86" s="26">
        <f t="shared" si="270"/>
        <v>-0.92358524045146839</v>
      </c>
      <c r="EW86" s="26">
        <f t="shared" si="270"/>
        <v>-0.99575717017119403</v>
      </c>
      <c r="EX86" s="26">
        <f t="shared" si="270"/>
        <v>-1.0768354806295919</v>
      </c>
      <c r="EY86" s="26">
        <f t="shared" si="269"/>
        <v>-1.1683039549894083</v>
      </c>
      <c r="EZ86" s="26">
        <f t="shared" si="269"/>
        <v>-1.2719967808349129</v>
      </c>
      <c r="FA86" s="26">
        <f t="shared" si="269"/>
        <v>-1.3902267560541079</v>
      </c>
      <c r="FB86" s="26">
        <f t="shared" si="269"/>
        <v>-1.5259058382698054</v>
      </c>
      <c r="FC86" s="26">
        <f t="shared" si="269"/>
        <v>-1.6826293380669204</v>
      </c>
      <c r="FD86" s="26">
        <f t="shared" si="269"/>
        <v>-1.8650859516450342</v>
      </c>
      <c r="FE86" s="26">
        <f t="shared" si="130"/>
        <v>5.0116263095511595</v>
      </c>
      <c r="FF86" s="26">
        <f t="shared" si="130"/>
        <v>4.2690791175511293</v>
      </c>
      <c r="FG86" s="26">
        <f t="shared" si="130"/>
        <v>3.4944922485952765</v>
      </c>
      <c r="FH86" s="26">
        <f t="shared" si="130"/>
        <v>2.6850438735761397</v>
      </c>
      <c r="FI86" s="26">
        <f t="shared" si="130"/>
        <v>1.8362653282635704</v>
      </c>
      <c r="FJ86" s="26">
        <f t="shared" si="157"/>
        <v>0.94308215294640929</v>
      </c>
      <c r="FK86" s="26">
        <f t="shared" si="157"/>
        <v>0</v>
      </c>
      <c r="FL86" s="26">
        <f t="shared" si="157"/>
        <v>-1.0000000000000002</v>
      </c>
      <c r="FM86" s="26">
        <f t="shared" si="157"/>
        <v>-2.0650071248040409</v>
      </c>
      <c r="FN86" s="26">
        <f t="shared" si="157"/>
        <v>-3.2038475833784354</v>
      </c>
      <c r="FO86" s="26">
        <f t="shared" si="170"/>
        <v>-4.426981916078323</v>
      </c>
      <c r="FP86" s="26">
        <f t="shared" si="158"/>
        <v>-5.7468067423147726</v>
      </c>
      <c r="FQ86" s="26">
        <f t="shared" si="158"/>
        <v>-7.1782472265634425</v>
      </c>
      <c r="FR86" s="26">
        <f t="shared" si="158"/>
        <v>-8.7391786183352629</v>
      </c>
      <c r="FS86" s="26">
        <f t="shared" si="158"/>
        <v>-10.450755555357931</v>
      </c>
      <c r="FT86" s="26">
        <f t="shared" si="274"/>
        <v>-12.338462808463181</v>
      </c>
      <c r="FU86" s="26">
        <f t="shared" si="268"/>
        <v>-14.43356316290031</v>
      </c>
      <c r="FV86" s="26">
        <f t="shared" si="131"/>
        <v>-16.775138739808842</v>
      </c>
      <c r="FW86" s="26">
        <f t="shared" si="131"/>
        <v>-19.412307222106179</v>
      </c>
      <c r="FX86" s="26">
        <f t="shared" si="39"/>
        <v>717357.87731688586</v>
      </c>
      <c r="FY86" s="26">
        <f t="shared" si="40"/>
        <v>66006.113134832645</v>
      </c>
      <c r="FZ86" s="26">
        <f t="shared" si="132"/>
        <v>0.72283184094390907</v>
      </c>
      <c r="GA86" s="26">
        <f t="shared" si="160"/>
        <v>0.75996451518343411</v>
      </c>
      <c r="GB86" s="26">
        <f t="shared" si="132"/>
        <v>0.80009166582481417</v>
      </c>
      <c r="GC86" s="26">
        <f t="shared" si="132"/>
        <v>0.84371996894033741</v>
      </c>
      <c r="GD86" s="26">
        <f t="shared" si="132"/>
        <v>0.89123820963189826</v>
      </c>
      <c r="GE86" s="26">
        <f t="shared" si="161"/>
        <v>0.94308215294640929</v>
      </c>
      <c r="GF86" s="26">
        <f t="shared" si="161"/>
        <v>1</v>
      </c>
      <c r="GG86" s="26">
        <f t="shared" si="161"/>
        <v>1.0626071445047593</v>
      </c>
      <c r="GH86" s="26">
        <f t="shared" si="161"/>
        <v>1.1316841797652464</v>
      </c>
      <c r="GI86" s="26">
        <f t="shared" si="161"/>
        <v>1.2077728036700683</v>
      </c>
      <c r="GJ86" s="26">
        <f t="shared" si="171"/>
        <v>1.291889033168043</v>
      </c>
      <c r="GK86" s="26">
        <f t="shared" si="162"/>
        <v>1.3852208319831951</v>
      </c>
      <c r="GL86" s="26">
        <f t="shared" si="162"/>
        <v>1.4892160372058874</v>
      </c>
      <c r="GM86" s="26">
        <f t="shared" si="162"/>
        <v>1.6055881818302138</v>
      </c>
      <c r="GN86" s="26">
        <f t="shared" si="162"/>
        <v>1.7363212370111107</v>
      </c>
      <c r="GO86" s="26">
        <f t="shared" si="275"/>
        <v>1.8838076984110448</v>
      </c>
      <c r="GP86" s="26">
        <f t="shared" si="265"/>
        <v>2.0510050640996065</v>
      </c>
      <c r="GQ86" s="26">
        <f t="shared" si="134"/>
        <v>2.2416425574930838</v>
      </c>
      <c r="GR86" s="26">
        <f t="shared" si="134"/>
        <v>2.4604155048067762</v>
      </c>
      <c r="GS86" s="26">
        <f t="shared" si="134"/>
        <v>2.713121090693801</v>
      </c>
      <c r="GT86" s="26">
        <f t="shared" si="134"/>
        <v>3.007319506967737</v>
      </c>
      <c r="GU86" s="26">
        <f t="shared" si="135"/>
        <v>5.2887944686072501</v>
      </c>
      <c r="GV86" s="26">
        <f t="shared" si="164"/>
        <v>4.5091146023676938</v>
      </c>
      <c r="GW86" s="26">
        <f t="shared" si="135"/>
        <v>3.6944005827704611</v>
      </c>
      <c r="GX86" s="26">
        <f t="shared" si="135"/>
        <v>2.8413239046357988</v>
      </c>
      <c r="GY86" s="26">
        <f t="shared" si="135"/>
        <v>1.9450271186316728</v>
      </c>
      <c r="GZ86" s="26">
        <f t="shared" si="165"/>
        <v>1.0000000000000007</v>
      </c>
      <c r="HA86" s="26">
        <f t="shared" si="165"/>
        <v>0</v>
      </c>
      <c r="HB86" s="26">
        <f t="shared" si="165"/>
        <v>-1.0626071445047593</v>
      </c>
      <c r="HC86" s="26">
        <f t="shared" si="165"/>
        <v>-2.196691304569288</v>
      </c>
      <c r="HD86" s="26">
        <f t="shared" si="165"/>
        <v>-3.4116203870485022</v>
      </c>
      <c r="HE86" s="26">
        <f t="shared" si="172"/>
        <v>-4.718870949246365</v>
      </c>
      <c r="HF86" s="26">
        <f t="shared" si="166"/>
        <v>-6.1320275742979629</v>
      </c>
      <c r="HG86" s="26">
        <f t="shared" si="166"/>
        <v>-7.6674632637693305</v>
      </c>
      <c r="HH86" s="26">
        <f t="shared" si="166"/>
        <v>-9.3447668001654751</v>
      </c>
      <c r="HI86" s="26">
        <f t="shared" si="166"/>
        <v>-11.187076792369041</v>
      </c>
      <c r="HJ86" s="26">
        <f t="shared" si="276"/>
        <v>-13.222270506874224</v>
      </c>
      <c r="HK86" s="26">
        <f t="shared" si="266"/>
        <v>-15.484568226999922</v>
      </c>
      <c r="HL86" s="26">
        <f t="shared" si="137"/>
        <v>-18.016781297301929</v>
      </c>
      <c r="HM86" s="26">
        <f t="shared" si="137"/>
        <v>-20.872722726912954</v>
      </c>
      <c r="HN86" s="26">
        <f t="shared" si="137"/>
        <v>-24.119237269213027</v>
      </c>
      <c r="HO86" s="26">
        <f t="shared" si="137"/>
        <v>-27.843052231973097</v>
      </c>
      <c r="HP86" s="26">
        <f t="shared" si="199"/>
        <v>545978.24839730049</v>
      </c>
      <c r="HQ86" s="26">
        <f t="shared" si="200"/>
        <v>556210.23726072104</v>
      </c>
      <c r="HR86" s="26">
        <f t="shared" si="201"/>
        <v>567604.67626238684</v>
      </c>
      <c r="HS86" s="26">
        <f t="shared" si="202"/>
        <v>580423.96046528721</v>
      </c>
      <c r="HT86" s="26">
        <f t="shared" si="203"/>
        <v>595112.27772039117</v>
      </c>
      <c r="HU86" s="26">
        <f t="shared" si="204"/>
        <v>612183.70995369751</v>
      </c>
      <c r="HV86" s="26">
        <f t="shared" si="205"/>
        <v>596668.73535942123</v>
      </c>
      <c r="HW86" s="26">
        <f t="shared" si="206"/>
        <v>619735.51956043695</v>
      </c>
      <c r="HX86" s="26">
        <f t="shared" si="207"/>
        <v>647387.88317090634</v>
      </c>
      <c r="HY86" s="26">
        <f t="shared" si="208"/>
        <v>680562.2206558676</v>
      </c>
      <c r="HZ86" s="26">
        <f t="shared" si="209"/>
        <v>720415.65184838977</v>
      </c>
      <c r="IA86" s="26">
        <f t="shared" si="210"/>
        <v>768336.55398729432</v>
      </c>
      <c r="IB86" s="26">
        <f t="shared" si="211"/>
        <v>826019.282810834</v>
      </c>
      <c r="IC86" s="26">
        <f t="shared" si="212"/>
        <v>895512.80096329132</v>
      </c>
      <c r="ID86" s="26">
        <f t="shared" si="213"/>
        <v>979258.6420056799</v>
      </c>
      <c r="IE86" s="26">
        <f t="shared" si="214"/>
        <v>1080222.1168414676</v>
      </c>
      <c r="IF86" s="26">
        <f t="shared" si="215"/>
        <v>1202070.4944474504</v>
      </c>
      <c r="IG86" s="26">
        <f t="shared" si="216"/>
        <v>1349423.1791199199</v>
      </c>
      <c r="IH86" s="26">
        <f t="shared" si="217"/>
        <v>1528120.9552166087</v>
      </c>
      <c r="II86" s="26">
        <f t="shared" si="218"/>
        <v>-82234867422.167603</v>
      </c>
      <c r="IJ86" s="26">
        <f t="shared" si="219"/>
        <v>566525.13018645509</v>
      </c>
      <c r="IK86" s="26">
        <f t="shared" si="220"/>
        <v>576255.11404497328</v>
      </c>
      <c r="IL86" s="26">
        <f t="shared" si="221"/>
        <v>587222.36377429357</v>
      </c>
      <c r="IM86" s="26">
        <f t="shared" si="222"/>
        <v>599701.36899931403</v>
      </c>
      <c r="IN86" s="26">
        <f t="shared" si="223"/>
        <v>614153.73985458526</v>
      </c>
      <c r="IO86" s="26">
        <f t="shared" si="224"/>
        <v>631113.83121622785</v>
      </c>
      <c r="IP86" s="26">
        <f t="shared" si="225"/>
        <v>614568.79742020392</v>
      </c>
      <c r="IQ86" s="26">
        <f t="shared" si="226"/>
        <v>637828.43957669288</v>
      </c>
      <c r="IR86" s="26">
        <f t="shared" si="227"/>
        <v>665884.57638283866</v>
      </c>
      <c r="IS86" s="26">
        <f t="shared" si="228"/>
        <v>699711.52405824</v>
      </c>
      <c r="IT86" s="26">
        <f t="shared" si="229"/>
        <v>740512.5872079496</v>
      </c>
      <c r="IU86" s="26">
        <f t="shared" si="230"/>
        <v>789731.5412397458</v>
      </c>
      <c r="IV86" s="26">
        <f t="shared" si="231"/>
        <v>849130.11227976705</v>
      </c>
      <c r="IW86" s="26">
        <f t="shared" si="232"/>
        <v>920838.87234941009</v>
      </c>
      <c r="IX86" s="26">
        <f t="shared" si="233"/>
        <v>1007397.3420915784</v>
      </c>
      <c r="IY86" s="26">
        <f t="shared" si="234"/>
        <v>1111890.2463416914</v>
      </c>
      <c r="IZ86" s="26">
        <f t="shared" si="235"/>
        <v>1238132.609280874</v>
      </c>
      <c r="JA86" s="26">
        <f t="shared" si="236"/>
        <v>1390929.6667501773</v>
      </c>
      <c r="JB86" s="26">
        <f t="shared" si="237"/>
        <v>1576357.3204149364</v>
      </c>
      <c r="JC86" s="26">
        <f t="shared" si="238"/>
        <v>-84701909261.403046</v>
      </c>
      <c r="JD86" s="26">
        <f t="shared" si="239"/>
        <v>146050.87402616633</v>
      </c>
      <c r="JE86" s="26">
        <f t="shared" si="240"/>
        <v>234748.11213268462</v>
      </c>
      <c r="JF86" s="26">
        <f t="shared" si="241"/>
        <v>328617.19863929064</v>
      </c>
      <c r="JG86" s="26">
        <f t="shared" si="242"/>
        <v>428583.18173491932</v>
      </c>
      <c r="JH86" s="26">
        <f t="shared" si="243"/>
        <v>535706.13415017608</v>
      </c>
      <c r="JI86" s="26">
        <f t="shared" si="244"/>
        <v>614568.79742020392</v>
      </c>
      <c r="JJ86" s="26">
        <f t="shared" si="245"/>
        <v>739209.34011982521</v>
      </c>
      <c r="JK86" s="26">
        <f t="shared" si="246"/>
        <v>875465.83491681516</v>
      </c>
      <c r="JL86" s="26">
        <f t="shared" si="247"/>
        <v>1025206.3684501294</v>
      </c>
      <c r="JM86" s="26">
        <f t="shared" si="248"/>
        <v>1190729.1972274384</v>
      </c>
      <c r="JN86" s="26">
        <f t="shared" si="249"/>
        <v>1374774.1704490415</v>
      </c>
      <c r="JO86" s="26">
        <f t="shared" si="250"/>
        <v>1580665.1246145512</v>
      </c>
      <c r="JP86" s="26">
        <f t="shared" si="251"/>
        <v>1812401.5523724947</v>
      </c>
      <c r="JQ86" s="26">
        <f t="shared" si="252"/>
        <v>2074730.575752581</v>
      </c>
      <c r="JR86" s="26">
        <f t="shared" si="253"/>
        <v>2373396.6253869371</v>
      </c>
      <c r="JS86" s="26">
        <f t="shared" si="254"/>
        <v>2715479.6038810913</v>
      </c>
      <c r="JT86" s="26">
        <f t="shared" si="255"/>
        <v>3109869.2788684648</v>
      </c>
      <c r="JU86" s="26">
        <f t="shared" si="256"/>
        <v>3567775.7272879397</v>
      </c>
      <c r="JV86" s="26">
        <f t="shared" si="257"/>
        <v>-84699608100.520203</v>
      </c>
      <c r="JW86" s="26">
        <f t="shared" si="258"/>
        <v>2802492.3667685096</v>
      </c>
      <c r="JX86" s="26" t="e">
        <f>AH86+$AG$38*0.004*(1+$R$28)*#REF!-S86*#REF!</f>
        <v>#REF!</v>
      </c>
      <c r="JY86" s="34">
        <f t="shared" si="259"/>
        <v>6.1415287214662787E-2</v>
      </c>
      <c r="JZ86" s="4">
        <f t="shared" si="260"/>
        <v>43371.0289568468</v>
      </c>
      <c r="KA86" s="165"/>
    </row>
    <row r="87" spans="1:287" ht="15.75" x14ac:dyDescent="0.3">
      <c r="A87" s="34">
        <v>86</v>
      </c>
      <c r="B87" s="34">
        <v>59</v>
      </c>
      <c r="C87" s="2">
        <v>825402</v>
      </c>
      <c r="D87" s="1">
        <f t="shared" si="106"/>
        <v>10282</v>
      </c>
      <c r="E87" s="145">
        <f t="shared" si="107"/>
        <v>0.98754303963402079</v>
      </c>
      <c r="F87" s="146">
        <f t="shared" si="108"/>
        <v>1.2456960365979208E-2</v>
      </c>
      <c r="G87" s="158">
        <f t="shared" si="173"/>
        <v>1.557120045747401E-2</v>
      </c>
      <c r="H87" s="43">
        <f t="shared" si="109"/>
        <v>12248.273136556823</v>
      </c>
      <c r="I87" s="43">
        <f t="shared" si="139"/>
        <v>786597.87150050991</v>
      </c>
      <c r="J87" s="43">
        <f t="shared" si="110"/>
        <v>820261</v>
      </c>
      <c r="K87" s="147">
        <f>SUM(J87:$J$138)</f>
        <v>17400852</v>
      </c>
      <c r="L87" s="147">
        <f t="shared" si="111"/>
        <v>21.081669295688645</v>
      </c>
      <c r="M87" s="43">
        <f t="shared" si="174"/>
        <v>1025326.25</v>
      </c>
      <c r="N87" s="148">
        <f t="shared" si="175"/>
        <v>21751065</v>
      </c>
      <c r="O87" s="147">
        <f t="shared" si="6"/>
        <v>26.352086619610805</v>
      </c>
      <c r="P87" s="157">
        <f t="shared" si="176"/>
        <v>103340.87372927672</v>
      </c>
      <c r="Q87" s="43">
        <f t="shared" si="177"/>
        <v>1031752.5</v>
      </c>
      <c r="R87" s="43">
        <f t="shared" si="178"/>
        <v>1581.6997642331289</v>
      </c>
      <c r="S87" s="43">
        <f>SUM(R87:$R$138)</f>
        <v>56663.171693451171</v>
      </c>
      <c r="T87" s="43">
        <f t="shared" si="112"/>
        <v>927841.76780362672</v>
      </c>
      <c r="U87" s="153">
        <f>SUM(P87:$P$138)</f>
        <v>1408901.5734490284</v>
      </c>
      <c r="V87" s="129">
        <f t="shared" si="179"/>
        <v>787654.85808610427</v>
      </c>
      <c r="W87" s="43">
        <f t="shared" si="180"/>
        <v>70296.980769218397</v>
      </c>
      <c r="X87" s="26">
        <f t="shared" si="114"/>
        <v>6.0116263095511595</v>
      </c>
      <c r="Y87" s="26">
        <f t="shared" si="115"/>
        <v>0.68024372382776843</v>
      </c>
      <c r="Z87" s="43">
        <f t="shared" si="181"/>
        <v>44418.811021969959</v>
      </c>
      <c r="AA87" s="149">
        <f t="shared" si="116"/>
        <v>0.11848516690073577</v>
      </c>
      <c r="AB87" s="150">
        <f t="shared" si="138"/>
        <v>1305560.6997197517</v>
      </c>
      <c r="AC87" s="150">
        <f t="shared" si="117"/>
        <v>717357.87731688586</v>
      </c>
      <c r="AD87" s="26">
        <f t="shared" si="118"/>
        <v>5.6918700333789278</v>
      </c>
      <c r="AE87" s="26">
        <f t="shared" si="182"/>
        <v>557697.83423529693</v>
      </c>
      <c r="AF87" s="43">
        <f t="shared" si="183"/>
        <v>92769.877154412781</v>
      </c>
      <c r="AG87" s="43">
        <f t="shared" si="184"/>
        <v>579500.47083884431</v>
      </c>
      <c r="AH87" s="27">
        <f t="shared" si="185"/>
        <v>100239.42553124489</v>
      </c>
      <c r="AI87" s="28">
        <f t="shared" si="186"/>
        <v>623118.78584821976</v>
      </c>
      <c r="AJ87" s="20">
        <f t="shared" si="187"/>
        <v>107784.32852822033</v>
      </c>
      <c r="AK87" s="3">
        <f t="shared" si="188"/>
        <v>9341.3084724457622</v>
      </c>
      <c r="AL87" s="3"/>
      <c r="AM87" s="46">
        <f t="shared" si="121"/>
        <v>1305560.6997197517</v>
      </c>
      <c r="AN87" s="46">
        <f t="shared" si="122"/>
        <v>1207269.1709574449</v>
      </c>
      <c r="AO87" s="46">
        <f t="shared" si="122"/>
        <v>1113907.2760732146</v>
      </c>
      <c r="AP87" s="3">
        <f t="shared" si="278"/>
        <v>1025373.0742617993</v>
      </c>
      <c r="AQ87" s="3">
        <f t="shared" si="278"/>
        <v>941559.25973365293</v>
      </c>
      <c r="AR87" s="16">
        <f t="shared" si="278"/>
        <v>862352.93208858941</v>
      </c>
      <c r="AS87" s="16">
        <f t="shared" si="278"/>
        <v>787654.85808610427</v>
      </c>
      <c r="AT87" s="16">
        <f t="shared" si="278"/>
        <v>717357.87731688586</v>
      </c>
      <c r="AU87" s="16">
        <f t="shared" si="278"/>
        <v>651351.76418205327</v>
      </c>
      <c r="AV87" s="16">
        <f t="shared" si="278"/>
        <v>589503.97809554788</v>
      </c>
      <c r="AW87" s="16">
        <f t="shared" si="278"/>
        <v>531683.16525119205</v>
      </c>
      <c r="AX87" s="16">
        <f t="shared" si="278"/>
        <v>477758.13591450383</v>
      </c>
      <c r="AY87" s="16">
        <f t="shared" si="278"/>
        <v>427598.80903629219</v>
      </c>
      <c r="AZ87" s="16">
        <f t="shared" si="278"/>
        <v>381075.0024663306</v>
      </c>
      <c r="BA87" s="16">
        <f t="shared" si="278"/>
        <v>338054.11876679707</v>
      </c>
      <c r="BB87" s="16">
        <f t="shared" si="278"/>
        <v>298401.41214207554</v>
      </c>
      <c r="BC87" s="16">
        <f t="shared" si="144"/>
        <v>261981.18319677183</v>
      </c>
      <c r="BD87" s="16">
        <f t="shared" si="18"/>
        <v>228658.26391475086</v>
      </c>
      <c r="BE87" s="16">
        <f t="shared" si="18"/>
        <v>198298.32110974428</v>
      </c>
      <c r="BF87" s="16">
        <f t="shared" si="18"/>
        <v>170766.16478295706</v>
      </c>
      <c r="BG87" s="16">
        <f t="shared" si="18"/>
        <v>145927.40926349355</v>
      </c>
      <c r="BH87" s="172">
        <f t="shared" si="123"/>
        <v>98291.528762306916</v>
      </c>
      <c r="BI87" s="16">
        <f t="shared" si="277"/>
        <v>93361.894884230453</v>
      </c>
      <c r="BJ87" s="16">
        <f t="shared" si="277"/>
        <v>88534.201811415609</v>
      </c>
      <c r="BK87" s="16">
        <f t="shared" si="277"/>
        <v>83813.814528146351</v>
      </c>
      <c r="BL87" s="16">
        <f t="shared" si="277"/>
        <v>79206.327645063458</v>
      </c>
      <c r="BM87" s="16">
        <f t="shared" si="277"/>
        <v>74698.07400248514</v>
      </c>
      <c r="BN87" s="16">
        <f t="shared" si="277"/>
        <v>70296.980769218397</v>
      </c>
      <c r="BO87" s="16">
        <f t="shared" si="277"/>
        <v>66006.113134832645</v>
      </c>
      <c r="BP87" s="16">
        <f t="shared" si="277"/>
        <v>61847.786086505286</v>
      </c>
      <c r="BQ87" s="16">
        <f t="shared" si="277"/>
        <v>57820.812844355773</v>
      </c>
      <c r="BR87" s="16">
        <f t="shared" si="277"/>
        <v>53925.029336687992</v>
      </c>
      <c r="BS87" s="16">
        <f t="shared" si="277"/>
        <v>50159.326878211672</v>
      </c>
      <c r="BT87" s="16">
        <f t="shared" si="277"/>
        <v>46523.806569961562</v>
      </c>
      <c r="BU87" s="16">
        <f t="shared" si="277"/>
        <v>43020.8836995335</v>
      </c>
      <c r="BV87" s="16">
        <f t="shared" si="277"/>
        <v>39652.706624721577</v>
      </c>
      <c r="BW87" s="16">
        <f t="shared" si="277"/>
        <v>36420.228945303788</v>
      </c>
      <c r="BX87" s="16">
        <f t="shared" si="168"/>
        <v>33322.919282020994</v>
      </c>
      <c r="BY87" s="16">
        <f t="shared" si="149"/>
        <v>30359.942805006591</v>
      </c>
      <c r="BZ87" s="16">
        <f t="shared" si="149"/>
        <v>27532.156326787204</v>
      </c>
      <c r="CA87" s="16">
        <f t="shared" si="149"/>
        <v>24838.755519463502</v>
      </c>
      <c r="CB87" s="16">
        <f t="shared" si="149"/>
        <v>22275.712763596202</v>
      </c>
      <c r="CC87" s="18">
        <f t="shared" si="124"/>
        <v>5.2690791175511285</v>
      </c>
      <c r="CD87" s="18">
        <f t="shared" si="124"/>
        <v>4.4944922485952752</v>
      </c>
      <c r="CE87" s="18">
        <f t="shared" si="124"/>
        <v>3.6850438735761357</v>
      </c>
      <c r="CF87" s="18">
        <f t="shared" si="124"/>
        <v>2.836265328263571</v>
      </c>
      <c r="CG87" s="18">
        <f t="shared" si="124"/>
        <v>1.94308215294641</v>
      </c>
      <c r="CH87" s="18">
        <f t="shared" si="150"/>
        <v>1</v>
      </c>
      <c r="CI87" s="18">
        <f t="shared" si="150"/>
        <v>0</v>
      </c>
      <c r="CJ87" s="18">
        <f t="shared" si="150"/>
        <v>-1.0650071248040418</v>
      </c>
      <c r="CK87" s="18">
        <f t="shared" si="150"/>
        <v>-2.2038475833784337</v>
      </c>
      <c r="CL87" s="18">
        <f t="shared" si="151"/>
        <v>-3.4269819160783221</v>
      </c>
      <c r="CM87" s="18">
        <f t="shared" si="151"/>
        <v>-4.7468067423147682</v>
      </c>
      <c r="CN87" s="18">
        <f t="shared" si="151"/>
        <v>-6.1782472265634434</v>
      </c>
      <c r="CO87" s="18">
        <f t="shared" si="151"/>
        <v>-7.7391786183352611</v>
      </c>
      <c r="CP87" s="18">
        <f t="shared" si="271"/>
        <v>-9.4507555553579312</v>
      </c>
      <c r="CQ87" s="18">
        <f t="shared" si="272"/>
        <v>-11.338462808463181</v>
      </c>
      <c r="CR87" s="18">
        <f t="shared" si="273"/>
        <v>-13.433563162900315</v>
      </c>
      <c r="CS87" s="18">
        <f t="shared" si="267"/>
        <v>-15.77513873980884</v>
      </c>
      <c r="CT87" s="18">
        <f t="shared" si="125"/>
        <v>-18.412307222106179</v>
      </c>
      <c r="CU87" s="18">
        <f t="shared" si="125"/>
        <v>-21.406116178519227</v>
      </c>
      <c r="CV87" s="18">
        <f t="shared" si="125"/>
        <v>-24.835732725005361</v>
      </c>
      <c r="CW87" s="18">
        <f t="shared" si="22"/>
        <v>-28.808391257017178</v>
      </c>
      <c r="CX87" s="17">
        <f t="shared" si="190"/>
        <v>1633.6249845932373</v>
      </c>
      <c r="CY87" s="17">
        <f t="shared" si="264"/>
        <v>1699.5103587480305</v>
      </c>
      <c r="CZ87" s="17">
        <f t="shared" si="264"/>
        <v>1756.4305867649496</v>
      </c>
      <c r="DA87" s="17">
        <f t="shared" si="264"/>
        <v>1803.9674861705869</v>
      </c>
      <c r="DB87" s="17">
        <f t="shared" si="264"/>
        <v>1861.5245372443221</v>
      </c>
      <c r="DC87" s="17">
        <f t="shared" si="264"/>
        <v>1907.6029537269662</v>
      </c>
      <c r="DD87" s="17">
        <f t="shared" si="263"/>
        <v>1946.8763483882083</v>
      </c>
      <c r="DE87" s="17">
        <f t="shared" si="263"/>
        <v>1959.6554972111114</v>
      </c>
      <c r="DF87" s="3" t="e">
        <f>#REF!+$AG$35*0.004*(1+$R$28)*#REF!-S87*#REF!</f>
        <v>#REF!</v>
      </c>
      <c r="DG87" s="19">
        <f t="shared" si="191"/>
        <v>2664.6601756540695</v>
      </c>
      <c r="DH87" s="19">
        <f t="shared" si="192"/>
        <v>2578.9770683702536</v>
      </c>
      <c r="DI87" s="19">
        <f t="shared" si="193"/>
        <v>2477.5072359282563</v>
      </c>
      <c r="DJ87" s="19">
        <f t="shared" si="194"/>
        <v>2358.9580830824329</v>
      </c>
      <c r="DK87" s="19">
        <f t="shared" si="195"/>
        <v>2241.7401373739121</v>
      </c>
      <c r="DL87" s="19">
        <f t="shared" si="196"/>
        <v>2103.2794975895335</v>
      </c>
      <c r="DM87" s="19">
        <f t="shared" si="197"/>
        <v>1946.8763483882083</v>
      </c>
      <c r="DN87" s="19">
        <f t="shared" si="198"/>
        <v>1751.2585838404466</v>
      </c>
      <c r="DO87" s="173">
        <f t="shared" si="127"/>
        <v>55081.471929218045</v>
      </c>
      <c r="DP87" s="25">
        <f t="shared" si="279"/>
        <v>53447.84694462482</v>
      </c>
      <c r="DQ87" s="26">
        <f t="shared" si="279"/>
        <v>51748.336585876787</v>
      </c>
      <c r="DR87" s="26">
        <f t="shared" si="279"/>
        <v>49991.905999111841</v>
      </c>
      <c r="DS87" s="26">
        <f t="shared" si="279"/>
        <v>48187.938512941255</v>
      </c>
      <c r="DT87" s="26">
        <f t="shared" si="279"/>
        <v>0</v>
      </c>
      <c r="DU87" s="26">
        <f t="shared" si="279"/>
        <v>0</v>
      </c>
      <c r="DV87" s="26">
        <f t="shared" si="279"/>
        <v>0</v>
      </c>
      <c r="DW87" s="26">
        <f t="shared" si="279"/>
        <v>0</v>
      </c>
      <c r="DX87" s="26">
        <f t="shared" si="279"/>
        <v>0</v>
      </c>
      <c r="DY87" s="26">
        <f t="shared" si="279"/>
        <v>0</v>
      </c>
      <c r="DZ87" s="26">
        <f t="shared" si="279"/>
        <v>0</v>
      </c>
      <c r="EA87" s="26">
        <f t="shared" si="279"/>
        <v>0</v>
      </c>
      <c r="EB87" s="26">
        <f t="shared" si="279"/>
        <v>0</v>
      </c>
      <c r="EC87" s="26">
        <f t="shared" si="279"/>
        <v>0</v>
      </c>
      <c r="ED87" s="26">
        <f t="shared" si="279"/>
        <v>0</v>
      </c>
      <c r="EE87" s="26">
        <f t="shared" si="145"/>
        <v>0</v>
      </c>
      <c r="EF87" s="26">
        <f t="shared" si="34"/>
        <v>0</v>
      </c>
      <c r="EG87" s="26">
        <f t="shared" si="34"/>
        <v>0</v>
      </c>
      <c r="EH87" s="26">
        <f t="shared" si="34"/>
        <v>0</v>
      </c>
      <c r="EI87" s="26">
        <f t="shared" si="34"/>
        <v>0</v>
      </c>
      <c r="EJ87" s="26">
        <f t="shared" si="128"/>
        <v>0.10847995795276541</v>
      </c>
      <c r="EK87" s="26">
        <f t="shared" si="128"/>
        <v>9.6710075709698723E-2</v>
      </c>
      <c r="EL87" s="26">
        <f t="shared" si="270"/>
        <v>8.2787503743686069E-2</v>
      </c>
      <c r="EM87" s="26">
        <f t="shared" si="270"/>
        <v>6.6493751758194053E-2</v>
      </c>
      <c r="EN87" s="26">
        <f t="shared" si="270"/>
        <v>4.7586191697478693E-2</v>
      </c>
      <c r="EO87" s="26">
        <f t="shared" si="270"/>
        <v>-0.59464466273243111</v>
      </c>
      <c r="EP87" s="26">
        <f t="shared" si="270"/>
        <v>-0.63187366706110437</v>
      </c>
      <c r="EQ87" s="26">
        <f t="shared" si="270"/>
        <v>-0.67294995739613295</v>
      </c>
      <c r="ER87" s="26">
        <f t="shared" si="270"/>
        <v>-0.71819565149579068</v>
      </c>
      <c r="ES87" s="26">
        <f t="shared" si="270"/>
        <v>-0.76821491841593748</v>
      </c>
      <c r="ET87" s="26">
        <f t="shared" si="270"/>
        <v>-0.82371417444458472</v>
      </c>
      <c r="EU87" s="26">
        <f t="shared" si="270"/>
        <v>-0.88555436818002253</v>
      </c>
      <c r="EV87" s="26">
        <f t="shared" si="270"/>
        <v>-0.95475444287160482</v>
      </c>
      <c r="EW87" s="26">
        <f t="shared" si="270"/>
        <v>-1.0324941563776295</v>
      </c>
      <c r="EX87" s="26">
        <f t="shared" si="270"/>
        <v>-1.1201961934743931</v>
      </c>
      <c r="EY87" s="26">
        <f t="shared" si="269"/>
        <v>-1.2196192146040188</v>
      </c>
      <c r="EZ87" s="26">
        <f t="shared" si="269"/>
        <v>-1.3329807825671394</v>
      </c>
      <c r="FA87" s="26">
        <f t="shared" si="269"/>
        <v>-1.4630729480374698</v>
      </c>
      <c r="FB87" s="26">
        <f t="shared" si="269"/>
        <v>-1.6133429759278612</v>
      </c>
      <c r="FC87" s="26">
        <f t="shared" si="269"/>
        <v>-1.7882864939494911</v>
      </c>
      <c r="FD87" s="26">
        <f t="shared" si="269"/>
        <v>-1.9940466773552956</v>
      </c>
      <c r="FE87" s="26">
        <f t="shared" si="130"/>
        <v>4.9842677167559888</v>
      </c>
      <c r="FF87" s="26">
        <f t="shared" si="130"/>
        <v>4.2474437697312526</v>
      </c>
      <c r="FG87" s="26">
        <f t="shared" si="130"/>
        <v>3.4790531867109236</v>
      </c>
      <c r="FH87" s="26">
        <f t="shared" si="130"/>
        <v>2.6749931819589929</v>
      </c>
      <c r="FI87" s="26">
        <f t="shared" si="130"/>
        <v>1.8305993862188659</v>
      </c>
      <c r="FJ87" s="26">
        <f t="shared" si="157"/>
        <v>0.94108157014703875</v>
      </c>
      <c r="FK87" s="26">
        <f t="shared" si="157"/>
        <v>0</v>
      </c>
      <c r="FL87" s="26">
        <f t="shared" si="157"/>
        <v>-0.99999999999999911</v>
      </c>
      <c r="FM87" s="26">
        <f t="shared" si="157"/>
        <v>-2.0672348569197165</v>
      </c>
      <c r="FN87" s="26">
        <f t="shared" si="157"/>
        <v>-3.2112089562888011</v>
      </c>
      <c r="FO87" s="26">
        <f t="shared" si="170"/>
        <v>-4.4432009467516398</v>
      </c>
      <c r="FP87" s="26">
        <f t="shared" si="158"/>
        <v>-5.776773459981575</v>
      </c>
      <c r="FQ87" s="26">
        <f t="shared" si="158"/>
        <v>-7.2281891711689559</v>
      </c>
      <c r="FR87" s="26">
        <f t="shared" si="158"/>
        <v>-8.816735639351867</v>
      </c>
      <c r="FS87" s="26">
        <f t="shared" si="158"/>
        <v>-10.565646101787435</v>
      </c>
      <c r="FT87" s="26">
        <f t="shared" si="274"/>
        <v>-12.503400096797927</v>
      </c>
      <c r="FU87" s="26">
        <f t="shared" si="268"/>
        <v>-14.665570242094827</v>
      </c>
      <c r="FV87" s="26">
        <f t="shared" si="131"/>
        <v>-17.096855535628499</v>
      </c>
      <c r="FW87" s="26">
        <f t="shared" si="131"/>
        <v>-19.852847922490056</v>
      </c>
      <c r="FX87" s="26">
        <f t="shared" si="39"/>
        <v>651351.76418205327</v>
      </c>
      <c r="FY87" s="26">
        <f t="shared" si="40"/>
        <v>61847.786086505286</v>
      </c>
      <c r="FZ87" s="26">
        <f t="shared" si="132"/>
        <v>0.715188599204859</v>
      </c>
      <c r="GA87" s="26">
        <f t="shared" si="160"/>
        <v>0.75295152113597585</v>
      </c>
      <c r="GB87" s="26">
        <f t="shared" si="132"/>
        <v>0.79400931313478329</v>
      </c>
      <c r="GC87" s="26">
        <f t="shared" si="132"/>
        <v>0.83872785369542235</v>
      </c>
      <c r="GD87" s="26">
        <f t="shared" si="132"/>
        <v>0.88751723327245635</v>
      </c>
      <c r="GE87" s="26">
        <f t="shared" si="161"/>
        <v>0.94108157014703853</v>
      </c>
      <c r="GF87" s="26">
        <f t="shared" si="161"/>
        <v>1</v>
      </c>
      <c r="GG87" s="26">
        <f t="shared" si="161"/>
        <v>1.0650071248040416</v>
      </c>
      <c r="GH87" s="26">
        <f t="shared" si="161"/>
        <v>1.1366127264587189</v>
      </c>
      <c r="GI87" s="26">
        <f t="shared" si="161"/>
        <v>1.2157729597895215</v>
      </c>
      <c r="GJ87" s="26">
        <f t="shared" si="171"/>
        <v>1.3036057955631322</v>
      </c>
      <c r="GK87" s="26">
        <f t="shared" si="162"/>
        <v>1.4014737665818671</v>
      </c>
      <c r="GL87" s="26">
        <f t="shared" si="162"/>
        <v>1.5109894471663066</v>
      </c>
      <c r="GM87" s="26">
        <f t="shared" si="162"/>
        <v>1.6340199160060644</v>
      </c>
      <c r="GN87" s="26">
        <f t="shared" si="162"/>
        <v>1.7728167066757448</v>
      </c>
      <c r="GO87" s="26">
        <f t="shared" si="275"/>
        <v>1.9301630661023852</v>
      </c>
      <c r="GP87" s="26">
        <f t="shared" si="265"/>
        <v>2.1095684977140148</v>
      </c>
      <c r="GQ87" s="26">
        <f t="shared" si="134"/>
        <v>2.3154516864776795</v>
      </c>
      <c r="GR87" s="26">
        <f t="shared" si="134"/>
        <v>2.5532682560291682</v>
      </c>
      <c r="GS87" s="26">
        <f t="shared" si="134"/>
        <v>2.8301329635510157</v>
      </c>
      <c r="GT87" s="26">
        <f t="shared" si="134"/>
        <v>3.1557679664509024</v>
      </c>
      <c r="GU87" s="26">
        <f t="shared" si="135"/>
        <v>5.2690791175511285</v>
      </c>
      <c r="GV87" s="26">
        <f t="shared" si="164"/>
        <v>4.4944922485952752</v>
      </c>
      <c r="GW87" s="26">
        <f t="shared" si="135"/>
        <v>3.6850438735761357</v>
      </c>
      <c r="GX87" s="26">
        <f t="shared" si="135"/>
        <v>2.836265328263571</v>
      </c>
      <c r="GY87" s="26">
        <f t="shared" si="135"/>
        <v>1.94308215294641</v>
      </c>
      <c r="GZ87" s="26">
        <f t="shared" si="165"/>
        <v>1</v>
      </c>
      <c r="HA87" s="26">
        <f t="shared" si="165"/>
        <v>0</v>
      </c>
      <c r="HB87" s="26">
        <f t="shared" si="165"/>
        <v>-1.0650071248040418</v>
      </c>
      <c r="HC87" s="26">
        <f t="shared" si="165"/>
        <v>-2.2038475833784337</v>
      </c>
      <c r="HD87" s="26">
        <f t="shared" si="165"/>
        <v>-3.4269819160783221</v>
      </c>
      <c r="HE87" s="26">
        <f t="shared" si="172"/>
        <v>-4.7468067423147682</v>
      </c>
      <c r="HF87" s="26">
        <f t="shared" si="166"/>
        <v>-6.1782472265634434</v>
      </c>
      <c r="HG87" s="26">
        <f t="shared" si="166"/>
        <v>-7.7391786183352611</v>
      </c>
      <c r="HH87" s="26">
        <f t="shared" si="166"/>
        <v>-9.4507555553579312</v>
      </c>
      <c r="HI87" s="26">
        <f t="shared" si="166"/>
        <v>-11.338462808463181</v>
      </c>
      <c r="HJ87" s="26">
        <f t="shared" si="276"/>
        <v>-13.433563162900315</v>
      </c>
      <c r="HK87" s="26">
        <f t="shared" si="266"/>
        <v>-15.77513873980884</v>
      </c>
      <c r="HL87" s="26">
        <f t="shared" si="137"/>
        <v>-18.412307222106179</v>
      </c>
      <c r="HM87" s="26">
        <f t="shared" si="137"/>
        <v>-21.406116178519227</v>
      </c>
      <c r="HN87" s="26">
        <f t="shared" si="137"/>
        <v>-24.835732725005361</v>
      </c>
      <c r="HO87" s="26">
        <f t="shared" si="137"/>
        <v>-28.808391257017178</v>
      </c>
      <c r="HP87" s="26">
        <f t="shared" si="199"/>
        <v>548722.87735352281</v>
      </c>
      <c r="HQ87" s="26">
        <f t="shared" si="200"/>
        <v>558324.23874352896</v>
      </c>
      <c r="HR87" s="26">
        <f t="shared" si="201"/>
        <v>569050.40199776785</v>
      </c>
      <c r="HS87" s="26">
        <f t="shared" si="202"/>
        <v>581304.92229763686</v>
      </c>
      <c r="HT87" s="26">
        <f t="shared" si="203"/>
        <v>595556.04996493657</v>
      </c>
      <c r="HU87" s="26">
        <f t="shared" si="204"/>
        <v>576753.19487741613</v>
      </c>
      <c r="HV87" s="26">
        <f t="shared" si="205"/>
        <v>595998.61049049045</v>
      </c>
      <c r="HW87" s="26">
        <f t="shared" si="206"/>
        <v>619211.64010529208</v>
      </c>
      <c r="HX87" s="26">
        <f t="shared" si="207"/>
        <v>647271.37208580633</v>
      </c>
      <c r="HY87" s="26">
        <f t="shared" si="208"/>
        <v>681224.08100275742</v>
      </c>
      <c r="HZ87" s="26">
        <f t="shared" si="209"/>
        <v>722327.98430502578</v>
      </c>
      <c r="IA87" s="26">
        <f t="shared" si="210"/>
        <v>772118.01775354065</v>
      </c>
      <c r="IB87" s="26">
        <f t="shared" si="211"/>
        <v>832453.81013303215</v>
      </c>
      <c r="IC87" s="26">
        <f t="shared" si="212"/>
        <v>905557.11600779032</v>
      </c>
      <c r="ID87" s="26">
        <f t="shared" si="213"/>
        <v>994127.40041535744</v>
      </c>
      <c r="IE87" s="26">
        <f t="shared" si="214"/>
        <v>1101502.3166739705</v>
      </c>
      <c r="IF87" s="26">
        <f t="shared" si="215"/>
        <v>1231884.4946338178</v>
      </c>
      <c r="IG87" s="26">
        <f t="shared" si="216"/>
        <v>1390588.7937843767</v>
      </c>
      <c r="IH87" s="26">
        <f t="shared" si="217"/>
        <v>1584254.6470672844</v>
      </c>
      <c r="II87" s="26">
        <f t="shared" si="218"/>
        <v>-74668274672.295319</v>
      </c>
      <c r="IJ87" s="26">
        <f t="shared" si="219"/>
        <v>569336.56244782789</v>
      </c>
      <c r="IK87" s="26">
        <f t="shared" si="220"/>
        <v>578421.64425586234</v>
      </c>
      <c r="IL87" s="26">
        <f t="shared" si="221"/>
        <v>588704.90280498797</v>
      </c>
      <c r="IM87" s="26">
        <f t="shared" si="222"/>
        <v>600605.43986964889</v>
      </c>
      <c r="IN87" s="26">
        <f t="shared" si="223"/>
        <v>614609.63721019018</v>
      </c>
      <c r="IO87" s="26">
        <f t="shared" si="224"/>
        <v>594620.400687658</v>
      </c>
      <c r="IP87" s="26">
        <f t="shared" si="225"/>
        <v>613878.56880520517</v>
      </c>
      <c r="IQ87" s="26">
        <f t="shared" si="226"/>
        <v>637287.71637907438</v>
      </c>
      <c r="IR87" s="26">
        <f t="shared" si="227"/>
        <v>665761.55672795768</v>
      </c>
      <c r="IS87" s="26">
        <f t="shared" si="228"/>
        <v>700387.53274901013</v>
      </c>
      <c r="IT87" s="26">
        <f t="shared" si="229"/>
        <v>742473.31765109953</v>
      </c>
      <c r="IU87" s="26">
        <f t="shared" si="230"/>
        <v>793613.97366858553</v>
      </c>
      <c r="IV87" s="26">
        <f t="shared" si="231"/>
        <v>855742.05791704636</v>
      </c>
      <c r="IW87" s="26">
        <f t="shared" si="232"/>
        <v>931167.05789368867</v>
      </c>
      <c r="IX87" s="26">
        <f t="shared" si="233"/>
        <v>1022695.3960286869</v>
      </c>
      <c r="IY87" s="26">
        <f t="shared" si="234"/>
        <v>1133797.0503525748</v>
      </c>
      <c r="IZ87" s="26">
        <f t="shared" si="235"/>
        <v>1268841.0294728323</v>
      </c>
      <c r="JA87" s="26">
        <f t="shared" si="236"/>
        <v>1433352.7253662832</v>
      </c>
      <c r="JB87" s="26">
        <f t="shared" si="237"/>
        <v>1634236.1683743058</v>
      </c>
      <c r="JC87" s="26">
        <f t="shared" si="238"/>
        <v>-76908318604.760025</v>
      </c>
      <c r="JD87" s="26">
        <f t="shared" si="239"/>
        <v>145167.77248668374</v>
      </c>
      <c r="JE87" s="26">
        <f t="shared" si="240"/>
        <v>233479.1203230744</v>
      </c>
      <c r="JF87" s="26">
        <f t="shared" si="241"/>
        <v>327199.04224621702</v>
      </c>
      <c r="JG87" s="26">
        <f t="shared" si="242"/>
        <v>427303.08079266886</v>
      </c>
      <c r="JH87" s="26">
        <f t="shared" si="243"/>
        <v>498223.77837629692</v>
      </c>
      <c r="JI87" s="26">
        <f t="shared" si="244"/>
        <v>613878.56880520517</v>
      </c>
      <c r="JJ87" s="26">
        <f t="shared" si="245"/>
        <v>739950.80594771809</v>
      </c>
      <c r="JK87" s="26">
        <f t="shared" si="246"/>
        <v>878205.01985469426</v>
      </c>
      <c r="JL87" s="26">
        <f t="shared" si="247"/>
        <v>1030737.0141810765</v>
      </c>
      <c r="JM87" s="26">
        <f t="shared" si="248"/>
        <v>1200049.4543750384</v>
      </c>
      <c r="JN87" s="26">
        <f t="shared" si="249"/>
        <v>1389176.1381138356</v>
      </c>
      <c r="JO87" s="26">
        <f t="shared" si="250"/>
        <v>1601772.7361888713</v>
      </c>
      <c r="JP87" s="26">
        <f t="shared" si="251"/>
        <v>1842187.9717205244</v>
      </c>
      <c r="JQ87" s="26">
        <f t="shared" si="252"/>
        <v>2115684.9129675264</v>
      </c>
      <c r="JR87" s="26">
        <f t="shared" si="253"/>
        <v>2428747.1648624893</v>
      </c>
      <c r="JS87" s="26">
        <f t="shared" si="254"/>
        <v>2789511.1204835051</v>
      </c>
      <c r="JT87" s="26">
        <f t="shared" si="255"/>
        <v>3208236.9505363978</v>
      </c>
      <c r="JU87" s="26">
        <f t="shared" si="256"/>
        <v>3697713.4647881389</v>
      </c>
      <c r="JV87" s="26">
        <f t="shared" si="257"/>
        <v>-76905924524.012695</v>
      </c>
      <c r="JW87" s="26">
        <f t="shared" si="258"/>
        <v>2922199.383887284</v>
      </c>
      <c r="JX87" s="26" t="e">
        <f>AH87+$AG$38*0.004*(1+$R$28)*#REF!-S87*#REF!</f>
        <v>#REF!</v>
      </c>
      <c r="JY87" s="34">
        <f t="shared" si="259"/>
        <v>6.2456960365979211E-2</v>
      </c>
      <c r="JZ87" s="4">
        <f t="shared" si="260"/>
        <v>42921.928256382118</v>
      </c>
      <c r="KA87" s="165"/>
    </row>
    <row r="88" spans="1:287" ht="15.75" x14ac:dyDescent="0.3">
      <c r="A88" s="34">
        <v>87</v>
      </c>
      <c r="B88" s="34">
        <v>60</v>
      </c>
      <c r="C88" s="2">
        <v>815120</v>
      </c>
      <c r="D88" s="1">
        <f t="shared" si="106"/>
        <v>11026</v>
      </c>
      <c r="E88" s="145">
        <f t="shared" si="107"/>
        <v>0.98647315732652863</v>
      </c>
      <c r="F88" s="146">
        <f t="shared" si="108"/>
        <v>1.3526842673471373E-2</v>
      </c>
      <c r="G88" s="158">
        <f t="shared" si="173"/>
        <v>1.6908553341839216E-2</v>
      </c>
      <c r="H88" s="43">
        <f t="shared" si="109"/>
        <v>13093.131489168674</v>
      </c>
      <c r="I88" s="43">
        <f t="shared" si="139"/>
        <v>774349.59836395306</v>
      </c>
      <c r="J88" s="43">
        <f t="shared" si="110"/>
        <v>809607</v>
      </c>
      <c r="K88" s="147">
        <f>SUM(J88:$J$138)</f>
        <v>16580591</v>
      </c>
      <c r="L88" s="147">
        <f t="shared" si="111"/>
        <v>20.341288399254097</v>
      </c>
      <c r="M88" s="43">
        <f t="shared" si="174"/>
        <v>1012008.75</v>
      </c>
      <c r="N88" s="148">
        <f t="shared" si="175"/>
        <v>20725738.75</v>
      </c>
      <c r="O88" s="147">
        <f t="shared" si="6"/>
        <v>25.426610499067621</v>
      </c>
      <c r="P88" s="157">
        <f t="shared" si="176"/>
        <v>98291.528762306916</v>
      </c>
      <c r="Q88" s="43">
        <f t="shared" si="177"/>
        <v>1018900</v>
      </c>
      <c r="R88" s="43">
        <f t="shared" si="178"/>
        <v>1633.6249845932373</v>
      </c>
      <c r="S88" s="43">
        <f>SUM(R88:$R$138)</f>
        <v>55081.471929218045</v>
      </c>
      <c r="T88" s="43">
        <f t="shared" si="112"/>
        <v>871178.5961101756</v>
      </c>
      <c r="U88" s="153">
        <f>SUM(P88:$P$138)</f>
        <v>1305560.6997197517</v>
      </c>
      <c r="V88" s="129">
        <f t="shared" si="179"/>
        <v>717357.87731688586</v>
      </c>
      <c r="W88" s="43">
        <f t="shared" si="180"/>
        <v>66006.113134832645</v>
      </c>
      <c r="X88" s="26">
        <f t="shared" si="114"/>
        <v>5.984267716755987</v>
      </c>
      <c r="Y88" s="26">
        <f t="shared" si="115"/>
        <v>0.67153409826854615</v>
      </c>
      <c r="Z88" s="43">
        <f t="shared" si="181"/>
        <v>42471.934673581753</v>
      </c>
      <c r="AA88" s="149">
        <f t="shared" si="116"/>
        <v>0.12828712112240367</v>
      </c>
      <c r="AB88" s="150">
        <f t="shared" si="138"/>
        <v>1207269.1709574449</v>
      </c>
      <c r="AC88" s="150">
        <f t="shared" si="117"/>
        <v>651351.76418205327</v>
      </c>
      <c r="AD88" s="26">
        <f t="shared" si="118"/>
        <v>5.6558018150245344</v>
      </c>
      <c r="AE88" s="26">
        <f t="shared" si="182"/>
        <v>561395.89762394491</v>
      </c>
      <c r="AF88" s="43">
        <f t="shared" si="183"/>
        <v>93811.962331169256</v>
      </c>
      <c r="AG88" s="43">
        <f t="shared" si="184"/>
        <v>583286.39508401277</v>
      </c>
      <c r="AH88" s="27">
        <f t="shared" si="185"/>
        <v>101312.77326330406</v>
      </c>
      <c r="AI88" s="28">
        <f t="shared" si="186"/>
        <v>627189.67213334714</v>
      </c>
      <c r="AJ88" s="20">
        <f t="shared" si="187"/>
        <v>108938.46587452049</v>
      </c>
      <c r="AK88" s="3">
        <f t="shared" si="188"/>
        <v>9441.3337091251087</v>
      </c>
      <c r="AL88" s="3"/>
      <c r="AM88" s="46">
        <f t="shared" si="121"/>
        <v>1207269.1709574449</v>
      </c>
      <c r="AN88" s="46">
        <f t="shared" si="122"/>
        <v>1113907.2760732146</v>
      </c>
      <c r="AO88" s="46">
        <f t="shared" si="122"/>
        <v>1025373.0742617993</v>
      </c>
      <c r="AP88" s="3">
        <f t="shared" si="278"/>
        <v>941559.25973365293</v>
      </c>
      <c r="AQ88" s="3">
        <f t="shared" si="278"/>
        <v>862352.93208858941</v>
      </c>
      <c r="AR88" s="16">
        <f t="shared" si="278"/>
        <v>787654.85808610427</v>
      </c>
      <c r="AS88" s="16">
        <f t="shared" si="278"/>
        <v>717357.87731688586</v>
      </c>
      <c r="AT88" s="16">
        <f t="shared" si="278"/>
        <v>651351.76418205327</v>
      </c>
      <c r="AU88" s="16">
        <f t="shared" si="278"/>
        <v>589503.97809554788</v>
      </c>
      <c r="AV88" s="16">
        <f t="shared" si="278"/>
        <v>531683.16525119205</v>
      </c>
      <c r="AW88" s="16">
        <f t="shared" si="278"/>
        <v>477758.13591450383</v>
      </c>
      <c r="AX88" s="16">
        <f t="shared" si="278"/>
        <v>427598.80903629219</v>
      </c>
      <c r="AY88" s="16">
        <f t="shared" si="278"/>
        <v>381075.0024663306</v>
      </c>
      <c r="AZ88" s="16">
        <f t="shared" si="278"/>
        <v>338054.11876679707</v>
      </c>
      <c r="BA88" s="16">
        <f t="shared" si="278"/>
        <v>298401.41214207554</v>
      </c>
      <c r="BB88" s="16">
        <f t="shared" si="278"/>
        <v>261981.18319677183</v>
      </c>
      <c r="BC88" s="16">
        <f t="shared" si="144"/>
        <v>228658.26391475086</v>
      </c>
      <c r="BD88" s="16">
        <f t="shared" si="18"/>
        <v>198298.32110974428</v>
      </c>
      <c r="BE88" s="16">
        <f t="shared" si="18"/>
        <v>170766.16478295706</v>
      </c>
      <c r="BF88" s="16">
        <f t="shared" si="18"/>
        <v>145927.40926349355</v>
      </c>
      <c r="BG88" s="16">
        <f t="shared" si="18"/>
        <v>123651.69649989734</v>
      </c>
      <c r="BH88" s="172">
        <f t="shared" si="123"/>
        <v>93361.894884230453</v>
      </c>
      <c r="BI88" s="16">
        <f t="shared" si="277"/>
        <v>88534.201811415609</v>
      </c>
      <c r="BJ88" s="16">
        <f t="shared" si="277"/>
        <v>83813.814528146351</v>
      </c>
      <c r="BK88" s="16">
        <f t="shared" si="277"/>
        <v>79206.327645063458</v>
      </c>
      <c r="BL88" s="16">
        <f t="shared" si="277"/>
        <v>74698.07400248514</v>
      </c>
      <c r="BM88" s="16">
        <f t="shared" si="277"/>
        <v>70296.980769218397</v>
      </c>
      <c r="BN88" s="16">
        <f t="shared" si="277"/>
        <v>66006.113134832645</v>
      </c>
      <c r="BO88" s="16">
        <f t="shared" si="277"/>
        <v>61847.786086505286</v>
      </c>
      <c r="BP88" s="16">
        <f t="shared" si="277"/>
        <v>57820.812844355773</v>
      </c>
      <c r="BQ88" s="16">
        <f t="shared" si="277"/>
        <v>53925.029336687992</v>
      </c>
      <c r="BR88" s="16">
        <f t="shared" si="277"/>
        <v>50159.326878211672</v>
      </c>
      <c r="BS88" s="16">
        <f t="shared" si="277"/>
        <v>46523.806569961562</v>
      </c>
      <c r="BT88" s="16">
        <f t="shared" si="277"/>
        <v>43020.8836995335</v>
      </c>
      <c r="BU88" s="16">
        <f t="shared" si="277"/>
        <v>39652.706624721577</v>
      </c>
      <c r="BV88" s="16">
        <f t="shared" si="277"/>
        <v>36420.228945303788</v>
      </c>
      <c r="BW88" s="16">
        <f t="shared" si="277"/>
        <v>33322.919282020994</v>
      </c>
      <c r="BX88" s="16">
        <f t="shared" si="168"/>
        <v>30359.942805006591</v>
      </c>
      <c r="BY88" s="16">
        <f t="shared" si="149"/>
        <v>27532.156326787204</v>
      </c>
      <c r="BZ88" s="16">
        <f t="shared" si="149"/>
        <v>24838.755519463502</v>
      </c>
      <c r="CA88" s="16">
        <f t="shared" si="149"/>
        <v>22275.712763596202</v>
      </c>
      <c r="CB88" s="16">
        <f t="shared" si="149"/>
        <v>19839.292477126361</v>
      </c>
      <c r="CC88" s="18">
        <f t="shared" si="124"/>
        <v>5.2474437697312517</v>
      </c>
      <c r="CD88" s="18">
        <f t="shared" si="124"/>
        <v>4.4790531867109191</v>
      </c>
      <c r="CE88" s="18">
        <f t="shared" si="124"/>
        <v>3.6749931819589934</v>
      </c>
      <c r="CF88" s="18">
        <f t="shared" si="124"/>
        <v>2.8305993862188665</v>
      </c>
      <c r="CG88" s="18">
        <f t="shared" ref="CG88:CJ134" si="280">(AQ88-$V88)/BL88</f>
        <v>1.9410815701470387</v>
      </c>
      <c r="CH88" s="18">
        <f t="shared" si="150"/>
        <v>1.0000000000000002</v>
      </c>
      <c r="CI88" s="18">
        <f t="shared" si="150"/>
        <v>0</v>
      </c>
      <c r="CJ88" s="18">
        <f t="shared" si="150"/>
        <v>-1.0672348569197145</v>
      </c>
      <c r="CK88" s="18">
        <f t="shared" si="150"/>
        <v>-2.2112089562888002</v>
      </c>
      <c r="CL88" s="18">
        <f t="shared" si="151"/>
        <v>-3.4432009467516353</v>
      </c>
      <c r="CM88" s="18">
        <f t="shared" si="151"/>
        <v>-4.7767734599815759</v>
      </c>
      <c r="CN88" s="18">
        <f t="shared" si="151"/>
        <v>-6.228189171168955</v>
      </c>
      <c r="CO88" s="18">
        <f t="shared" si="151"/>
        <v>-7.8167356393518661</v>
      </c>
      <c r="CP88" s="18">
        <f t="shared" si="271"/>
        <v>-9.5656461017874364</v>
      </c>
      <c r="CQ88" s="18">
        <f t="shared" si="272"/>
        <v>-11.503400096797929</v>
      </c>
      <c r="CR88" s="18">
        <f t="shared" si="273"/>
        <v>-13.665570242094828</v>
      </c>
      <c r="CS88" s="18">
        <f t="shared" si="267"/>
        <v>-16.096855535628499</v>
      </c>
      <c r="CT88" s="18">
        <f t="shared" si="125"/>
        <v>-18.852847922490056</v>
      </c>
      <c r="CU88" s="18">
        <f t="shared" si="125"/>
        <v>-22.005599761454345</v>
      </c>
      <c r="CV88" s="18">
        <f t="shared" si="125"/>
        <v>-25.652623290566275</v>
      </c>
      <c r="CW88" s="18">
        <f t="shared" si="22"/>
        <v>-29.925773890449964</v>
      </c>
      <c r="CX88" s="17">
        <f t="shared" si="190"/>
        <v>1699.5103587480305</v>
      </c>
      <c r="CY88" s="17">
        <f t="shared" si="264"/>
        <v>1756.4305867649496</v>
      </c>
      <c r="CZ88" s="17">
        <f t="shared" si="264"/>
        <v>1803.9674861705869</v>
      </c>
      <c r="DA88" s="17">
        <f t="shared" si="264"/>
        <v>1861.5245372443221</v>
      </c>
      <c r="DB88" s="17">
        <f t="shared" si="264"/>
        <v>1907.6029537269662</v>
      </c>
      <c r="DC88" s="17">
        <f t="shared" si="264"/>
        <v>1946.8763483882083</v>
      </c>
      <c r="DD88" s="17">
        <f t="shared" si="263"/>
        <v>1959.6554972111114</v>
      </c>
      <c r="DE88" s="17">
        <f t="shared" si="263"/>
        <v>1969.0822058508145</v>
      </c>
      <c r="DF88" s="3" t="e">
        <f>#REF!+$AG$35*0.004*(1+$R$28)*#REF!-S88*#REF!</f>
        <v>#REF!</v>
      </c>
      <c r="DG88" s="19">
        <f t="shared" si="191"/>
        <v>2731.168403624984</v>
      </c>
      <c r="DH88" s="19">
        <f t="shared" si="192"/>
        <v>2637.0214908841053</v>
      </c>
      <c r="DI88" s="19">
        <f t="shared" si="193"/>
        <v>2526.4785691678844</v>
      </c>
      <c r="DJ88" s="19">
        <f t="shared" si="194"/>
        <v>2418.0260943379049</v>
      </c>
      <c r="DK88" s="19">
        <f t="shared" si="195"/>
        <v>2289.2235113698621</v>
      </c>
      <c r="DL88" s="19">
        <f t="shared" si="196"/>
        <v>2143.478368371319</v>
      </c>
      <c r="DM88" s="19">
        <f t="shared" si="197"/>
        <v>1959.6554972111114</v>
      </c>
      <c r="DN88" s="19">
        <f t="shared" si="198"/>
        <v>1759.2616771840126</v>
      </c>
      <c r="DO88" s="173">
        <f t="shared" si="127"/>
        <v>53447.84694462482</v>
      </c>
      <c r="DP88" s="25">
        <f t="shared" si="279"/>
        <v>51748.336585876787</v>
      </c>
      <c r="DQ88" s="26">
        <f t="shared" si="279"/>
        <v>49991.905999111841</v>
      </c>
      <c r="DR88" s="26">
        <f t="shared" si="279"/>
        <v>48187.938512941255</v>
      </c>
      <c r="DS88" s="26">
        <f t="shared" si="279"/>
        <v>0</v>
      </c>
      <c r="DT88" s="26">
        <f t="shared" si="279"/>
        <v>0</v>
      </c>
      <c r="DU88" s="26">
        <f t="shared" si="279"/>
        <v>0</v>
      </c>
      <c r="DV88" s="26">
        <f t="shared" si="279"/>
        <v>0</v>
      </c>
      <c r="DW88" s="26">
        <f t="shared" si="279"/>
        <v>0</v>
      </c>
      <c r="DX88" s="26">
        <f t="shared" si="279"/>
        <v>0</v>
      </c>
      <c r="DY88" s="26">
        <f t="shared" si="279"/>
        <v>0</v>
      </c>
      <c r="DZ88" s="26">
        <f t="shared" si="279"/>
        <v>0</v>
      </c>
      <c r="EA88" s="26">
        <f t="shared" si="279"/>
        <v>0</v>
      </c>
      <c r="EB88" s="26">
        <f t="shared" si="279"/>
        <v>0</v>
      </c>
      <c r="EC88" s="26">
        <f t="shared" si="279"/>
        <v>0</v>
      </c>
      <c r="ED88" s="26">
        <f t="shared" si="279"/>
        <v>0</v>
      </c>
      <c r="EE88" s="26">
        <f t="shared" si="145"/>
        <v>0</v>
      </c>
      <c r="EF88" s="26">
        <f t="shared" si="34"/>
        <v>0</v>
      </c>
      <c r="EG88" s="26">
        <f t="shared" si="34"/>
        <v>0</v>
      </c>
      <c r="EH88" s="26">
        <f t="shared" si="34"/>
        <v>0</v>
      </c>
      <c r="EI88" s="26">
        <f t="shared" si="34"/>
        <v>0</v>
      </c>
      <c r="EJ88" s="26">
        <f t="shared" si="128"/>
        <v>0.1175630837897334</v>
      </c>
      <c r="EK88" s="26">
        <f t="shared" si="128"/>
        <v>0.10477760822935361</v>
      </c>
      <c r="EL88" s="26">
        <f t="shared" si="270"/>
        <v>8.9722337157256249E-2</v>
      </c>
      <c r="EM88" s="26">
        <f t="shared" si="270"/>
        <v>7.2165999981388521E-2</v>
      </c>
      <c r="EN88" s="26">
        <f t="shared" si="270"/>
        <v>-0.56858138902174038</v>
      </c>
      <c r="EO88" s="26">
        <f t="shared" si="270"/>
        <v>-0.60417864620694117</v>
      </c>
      <c r="EP88" s="26">
        <f t="shared" si="270"/>
        <v>-0.6434545628648527</v>
      </c>
      <c r="EQ88" s="26">
        <f t="shared" si="270"/>
        <v>-0.68671713833340919</v>
      </c>
      <c r="ER88" s="26">
        <f t="shared" si="270"/>
        <v>-0.73454406094063907</v>
      </c>
      <c r="ES88" s="26">
        <f t="shared" si="270"/>
        <v>-0.78761078475085589</v>
      </c>
      <c r="ET88" s="26">
        <f t="shared" si="270"/>
        <v>-0.8467405229879752</v>
      </c>
      <c r="EU88" s="26">
        <f t="shared" si="270"/>
        <v>-0.91290755862191353</v>
      </c>
      <c r="EV88" s="26">
        <f t="shared" si="270"/>
        <v>-0.98723994072772381</v>
      </c>
      <c r="EW88" s="26">
        <f t="shared" si="270"/>
        <v>-1.0710979978123996</v>
      </c>
      <c r="EX88" s="26">
        <f t="shared" si="270"/>
        <v>-1.1661633082363778</v>
      </c>
      <c r="EY88" s="26">
        <f t="shared" si="269"/>
        <v>-1.2745562390296641</v>
      </c>
      <c r="EZ88" s="26">
        <f t="shared" si="269"/>
        <v>-1.3989464652936632</v>
      </c>
      <c r="FA88" s="26">
        <f t="shared" si="269"/>
        <v>-1.5426301583308606</v>
      </c>
      <c r="FB88" s="26">
        <f t="shared" si="269"/>
        <v>-1.7099059025038914</v>
      </c>
      <c r="FC88" s="26">
        <f t="shared" si="269"/>
        <v>-1.9066476177135381</v>
      </c>
      <c r="FD88" s="26">
        <f t="shared" si="269"/>
        <v>-2.1407988577490662</v>
      </c>
      <c r="FE88" s="26">
        <f t="shared" si="130"/>
        <v>4.9544357734462663</v>
      </c>
      <c r="FF88" s="26">
        <f t="shared" si="130"/>
        <v>4.2245968498867716</v>
      </c>
      <c r="FG88" s="26">
        <f t="shared" si="130"/>
        <v>3.4625258041935578</v>
      </c>
      <c r="FH88" s="26">
        <f t="shared" si="130"/>
        <v>2.6639433259936878</v>
      </c>
      <c r="FI88" s="26">
        <f t="shared" si="130"/>
        <v>1.8247203254466282</v>
      </c>
      <c r="FJ88" s="26">
        <f t="shared" si="157"/>
        <v>0.93896085454263645</v>
      </c>
      <c r="FK88" s="26">
        <f t="shared" si="157"/>
        <v>0</v>
      </c>
      <c r="FL88" s="26">
        <f t="shared" si="157"/>
        <v>-1.0000000000000018</v>
      </c>
      <c r="FM88" s="26">
        <f t="shared" si="157"/>
        <v>-2.0696457390350016</v>
      </c>
      <c r="FN88" s="26">
        <f t="shared" si="157"/>
        <v>-3.2191661349629475</v>
      </c>
      <c r="FO88" s="26">
        <f t="shared" si="170"/>
        <v>-4.4608444544927783</v>
      </c>
      <c r="FP88" s="26">
        <f t="shared" si="158"/>
        <v>-5.8094292286527747</v>
      </c>
      <c r="FQ88" s="26">
        <f t="shared" si="158"/>
        <v>-7.2824549026791257</v>
      </c>
      <c r="FR88" s="26">
        <f t="shared" si="158"/>
        <v>-8.901040611939715</v>
      </c>
      <c r="FS88" s="26">
        <f t="shared" si="158"/>
        <v>-10.691052534843795</v>
      </c>
      <c r="FT88" s="26">
        <f t="shared" si="274"/>
        <v>-12.684768002765049</v>
      </c>
      <c r="FU88" s="26">
        <f t="shared" si="268"/>
        <v>-14.922737041441231</v>
      </c>
      <c r="FV88" s="26">
        <f t="shared" si="131"/>
        <v>-17.455428978932321</v>
      </c>
      <c r="FW88" s="26">
        <f t="shared" si="131"/>
        <v>-20.348215695529198</v>
      </c>
      <c r="FX88" s="26">
        <f t="shared" si="39"/>
        <v>589503.97809554788</v>
      </c>
      <c r="FY88" s="26">
        <f t="shared" si="40"/>
        <v>57820.812844355773</v>
      </c>
      <c r="FZ88" s="26">
        <f t="shared" si="132"/>
        <v>0.70699200371501447</v>
      </c>
      <c r="GA88" s="26">
        <f t="shared" si="160"/>
        <v>0.74554366317584864</v>
      </c>
      <c r="GB88" s="26">
        <f t="shared" si="132"/>
        <v>0.78753262223456577</v>
      </c>
      <c r="GC88" s="26">
        <f t="shared" si="132"/>
        <v>0.8333439397748228</v>
      </c>
      <c r="GD88" s="26">
        <f t="shared" si="132"/>
        <v>0.88363875529959013</v>
      </c>
      <c r="GE88" s="26">
        <f t="shared" si="161"/>
        <v>0.93896085454263734</v>
      </c>
      <c r="GF88" s="26">
        <f t="shared" si="161"/>
        <v>1</v>
      </c>
      <c r="GG88" s="26">
        <f t="shared" si="161"/>
        <v>1.0672348569197156</v>
      </c>
      <c r="GH88" s="26">
        <f t="shared" si="161"/>
        <v>1.1415632172538004</v>
      </c>
      <c r="GI88" s="26">
        <f t="shared" si="161"/>
        <v>1.2240348117886932</v>
      </c>
      <c r="GJ88" s="26">
        <f t="shared" si="171"/>
        <v>1.3159290054887984</v>
      </c>
      <c r="GK88" s="26">
        <f t="shared" si="162"/>
        <v>1.4187599425161821</v>
      </c>
      <c r="GL88" s="26">
        <f t="shared" si="162"/>
        <v>1.5342807366727427</v>
      </c>
      <c r="GM88" s="26">
        <f t="shared" si="162"/>
        <v>1.6646054898477214</v>
      </c>
      <c r="GN88" s="26">
        <f t="shared" si="162"/>
        <v>1.8123475619541325</v>
      </c>
      <c r="GO88" s="26">
        <f t="shared" si="275"/>
        <v>1.9808022393297786</v>
      </c>
      <c r="GP88" s="26">
        <f t="shared" si="265"/>
        <v>2.1741184941872724</v>
      </c>
      <c r="GQ88" s="26">
        <f t="shared" si="134"/>
        <v>2.3974189435577369</v>
      </c>
      <c r="GR88" s="26">
        <f t="shared" si="134"/>
        <v>2.6573840659251484</v>
      </c>
      <c r="GS88" s="26">
        <f t="shared" si="134"/>
        <v>2.9631425865170198</v>
      </c>
      <c r="GT88" s="26">
        <f t="shared" si="134"/>
        <v>3.3270396719507085</v>
      </c>
      <c r="GU88" s="26">
        <f t="shared" si="135"/>
        <v>5.2474437697312517</v>
      </c>
      <c r="GV88" s="26">
        <f t="shared" si="164"/>
        <v>4.4790531867109191</v>
      </c>
      <c r="GW88" s="26">
        <f t="shared" si="135"/>
        <v>3.6749931819589934</v>
      </c>
      <c r="GX88" s="26">
        <f t="shared" si="135"/>
        <v>2.8305993862188665</v>
      </c>
      <c r="GY88" s="26">
        <f t="shared" si="135"/>
        <v>1.9410815701470387</v>
      </c>
      <c r="GZ88" s="26">
        <f t="shared" si="165"/>
        <v>1.0000000000000002</v>
      </c>
      <c r="HA88" s="26">
        <f t="shared" si="165"/>
        <v>0</v>
      </c>
      <c r="HB88" s="26">
        <f t="shared" si="165"/>
        <v>-1.0672348569197145</v>
      </c>
      <c r="HC88" s="26">
        <f t="shared" si="165"/>
        <v>-2.2112089562888002</v>
      </c>
      <c r="HD88" s="26">
        <f t="shared" si="165"/>
        <v>-3.4432009467516353</v>
      </c>
      <c r="HE88" s="26">
        <f t="shared" si="172"/>
        <v>-4.7767734599815759</v>
      </c>
      <c r="HF88" s="26">
        <f t="shared" si="166"/>
        <v>-6.228189171168955</v>
      </c>
      <c r="HG88" s="26">
        <f t="shared" si="166"/>
        <v>-7.8167356393518661</v>
      </c>
      <c r="HH88" s="26">
        <f t="shared" si="166"/>
        <v>-9.5656461017874364</v>
      </c>
      <c r="HI88" s="26">
        <f t="shared" si="166"/>
        <v>-11.503400096797929</v>
      </c>
      <c r="HJ88" s="26">
        <f t="shared" si="276"/>
        <v>-13.665570242094828</v>
      </c>
      <c r="HK88" s="26">
        <f t="shared" si="266"/>
        <v>-16.096855535628499</v>
      </c>
      <c r="HL88" s="26">
        <f t="shared" si="137"/>
        <v>-18.852847922490056</v>
      </c>
      <c r="HM88" s="26">
        <f t="shared" si="137"/>
        <v>-22.005599761454345</v>
      </c>
      <c r="HN88" s="26">
        <f t="shared" si="137"/>
        <v>-25.652623290566275</v>
      </c>
      <c r="HO88" s="26">
        <f t="shared" si="137"/>
        <v>-29.925773890449964</v>
      </c>
      <c r="HP88" s="26">
        <f t="shared" si="199"/>
        <v>551723.65744797222</v>
      </c>
      <c r="HQ88" s="26">
        <f t="shared" si="200"/>
        <v>560556.49890828796</v>
      </c>
      <c r="HR88" s="26">
        <f t="shared" si="201"/>
        <v>570600.04514620942</v>
      </c>
      <c r="HS88" s="26">
        <f t="shared" si="202"/>
        <v>582279.55338143907</v>
      </c>
      <c r="HT88" s="26">
        <f t="shared" si="203"/>
        <v>560468.31919057912</v>
      </c>
      <c r="HU88" s="26">
        <f t="shared" si="204"/>
        <v>576206.73261307436</v>
      </c>
      <c r="HV88" s="26">
        <f t="shared" si="205"/>
        <v>595334.82472235442</v>
      </c>
      <c r="HW88" s="26">
        <f t="shared" si="206"/>
        <v>618677.91757371498</v>
      </c>
      <c r="HX88" s="26">
        <f t="shared" si="207"/>
        <v>647178.19342365873</v>
      </c>
      <c r="HY88" s="26">
        <f t="shared" si="208"/>
        <v>681971.62450722721</v>
      </c>
      <c r="HZ88" s="26">
        <f t="shared" si="209"/>
        <v>724443.39915460744</v>
      </c>
      <c r="IA88" s="26">
        <f t="shared" si="210"/>
        <v>776275.2821320293</v>
      </c>
      <c r="IB88" s="26">
        <f t="shared" si="211"/>
        <v>839482.54813149036</v>
      </c>
      <c r="IC88" s="26">
        <f t="shared" si="212"/>
        <v>916514.88135144301</v>
      </c>
      <c r="ID88" s="26">
        <f t="shared" si="213"/>
        <v>1010400.2117656524</v>
      </c>
      <c r="IE88" s="26">
        <f t="shared" si="214"/>
        <v>1124949.5166312375</v>
      </c>
      <c r="IF88" s="26">
        <f t="shared" si="215"/>
        <v>1264983.4004514061</v>
      </c>
      <c r="IG88" s="26">
        <f t="shared" si="216"/>
        <v>1436530.0024326239</v>
      </c>
      <c r="IH88" s="26">
        <f t="shared" si="217"/>
        <v>1647441.4900522151</v>
      </c>
      <c r="II88" s="26">
        <f t="shared" si="218"/>
        <v>-67578369038.512794</v>
      </c>
      <c r="IJ88" s="26">
        <f t="shared" si="219"/>
        <v>572410.31743708649</v>
      </c>
      <c r="IK88" s="26">
        <f t="shared" si="220"/>
        <v>580709.37259215594</v>
      </c>
      <c r="IL88" s="26">
        <f t="shared" si="221"/>
        <v>590293.99033220741</v>
      </c>
      <c r="IM88" s="26">
        <f t="shared" si="222"/>
        <v>601605.59147009999</v>
      </c>
      <c r="IN88" s="26">
        <f t="shared" si="223"/>
        <v>578468.05248335481</v>
      </c>
      <c r="IO88" s="26">
        <f t="shared" si="224"/>
        <v>594057.54455538595</v>
      </c>
      <c r="IP88" s="26">
        <f t="shared" si="225"/>
        <v>613194.86946402502</v>
      </c>
      <c r="IQ88" s="26">
        <f t="shared" si="226"/>
        <v>636736.93572402361</v>
      </c>
      <c r="IR88" s="26">
        <f t="shared" si="227"/>
        <v>665662.48311138083</v>
      </c>
      <c r="IS88" s="26">
        <f t="shared" si="228"/>
        <v>701151.47649346921</v>
      </c>
      <c r="IT88" s="26">
        <f t="shared" si="229"/>
        <v>744642.57069794252</v>
      </c>
      <c r="IU88" s="26">
        <f t="shared" si="230"/>
        <v>797882.47603572987</v>
      </c>
      <c r="IV88" s="26">
        <f t="shared" si="231"/>
        <v>862964.76840694947</v>
      </c>
      <c r="IW88" s="26">
        <f t="shared" si="232"/>
        <v>942434.63090240955</v>
      </c>
      <c r="IX88" s="26">
        <f t="shared" si="233"/>
        <v>1039438.1235817024</v>
      </c>
      <c r="IY88" s="26">
        <f t="shared" si="234"/>
        <v>1157934.7074814581</v>
      </c>
      <c r="IZ88" s="26">
        <f t="shared" si="235"/>
        <v>1302932.9024649484</v>
      </c>
      <c r="JA88" s="26">
        <f t="shared" si="236"/>
        <v>1480697.2037219815</v>
      </c>
      <c r="JB88" s="26">
        <f t="shared" si="237"/>
        <v>1699387.3382187437</v>
      </c>
      <c r="JC88" s="26">
        <f t="shared" si="238"/>
        <v>-69605715660.276108</v>
      </c>
      <c r="JD88" s="26">
        <f t="shared" si="239"/>
        <v>144136.19266055687</v>
      </c>
      <c r="JE88" s="26">
        <f t="shared" si="240"/>
        <v>232092.51497689082</v>
      </c>
      <c r="JF88" s="26">
        <f t="shared" si="241"/>
        <v>325707.15409042349</v>
      </c>
      <c r="JG88" s="26">
        <f t="shared" si="242"/>
        <v>389270.88998928783</v>
      </c>
      <c r="JH88" s="26">
        <f t="shared" si="243"/>
        <v>496587.57451196568</v>
      </c>
      <c r="JI88" s="26">
        <f t="shared" si="244"/>
        <v>613194.86946402502</v>
      </c>
      <c r="JJ88" s="26">
        <f t="shared" si="245"/>
        <v>740760.28525728208</v>
      </c>
      <c r="JK88" s="26">
        <f t="shared" si="246"/>
        <v>881188.95384059264</v>
      </c>
      <c r="JL88" s="26">
        <f t="shared" si="247"/>
        <v>1036760.1696268271</v>
      </c>
      <c r="JM88" s="26">
        <f t="shared" si="248"/>
        <v>1210234.5367465513</v>
      </c>
      <c r="JN88" s="26">
        <f t="shared" si="249"/>
        <v>1404943.8879743218</v>
      </c>
      <c r="JO88" s="26">
        <f t="shared" si="250"/>
        <v>1624861.7570119109</v>
      </c>
      <c r="JP88" s="26">
        <f t="shared" si="251"/>
        <v>1874797.8698895904</v>
      </c>
      <c r="JQ88" s="26">
        <f t="shared" si="252"/>
        <v>2160674.1864140737</v>
      </c>
      <c r="JR88" s="26">
        <f t="shared" si="253"/>
        <v>2489917.4296046956</v>
      </c>
      <c r="JS88" s="26">
        <f t="shared" si="254"/>
        <v>2871892.9293159209</v>
      </c>
      <c r="JT88" s="26">
        <f t="shared" si="255"/>
        <v>3318283.7259602444</v>
      </c>
      <c r="JU88" s="26">
        <f t="shared" si="256"/>
        <v>3844272.4877551934</v>
      </c>
      <c r="JV88" s="26">
        <f t="shared" si="257"/>
        <v>-69603215299.852448</v>
      </c>
      <c r="JW88" s="26">
        <f t="shared" si="258"/>
        <v>3061000.4772888813</v>
      </c>
      <c r="JX88" s="26" t="e">
        <f>AH88+$AG$38*0.004*(1+$R$28)*#REF!-S88*#REF!</f>
        <v>#REF!</v>
      </c>
      <c r="JY88" s="34">
        <f t="shared" si="259"/>
        <v>6.3526842673471376E-2</v>
      </c>
      <c r="JZ88" s="4">
        <f t="shared" si="260"/>
        <v>42524.860712955124</v>
      </c>
      <c r="KA88" s="165"/>
    </row>
    <row r="89" spans="1:287" ht="15.75" x14ac:dyDescent="0.3">
      <c r="A89" s="34">
        <v>88</v>
      </c>
      <c r="B89" s="34">
        <v>61</v>
      </c>
      <c r="C89" s="2">
        <v>804094</v>
      </c>
      <c r="D89" s="1">
        <f t="shared" si="106"/>
        <v>11913</v>
      </c>
      <c r="E89" s="145">
        <f t="shared" si="107"/>
        <v>0.98518456797339615</v>
      </c>
      <c r="F89" s="146">
        <f t="shared" si="108"/>
        <v>1.4815432026603848E-2</v>
      </c>
      <c r="G89" s="158">
        <f t="shared" si="173"/>
        <v>1.8519290033254809E-2</v>
      </c>
      <c r="H89" s="43">
        <f t="shared" si="109"/>
        <v>14097.929299744965</v>
      </c>
      <c r="I89" s="43">
        <f t="shared" si="139"/>
        <v>761256.46687478444</v>
      </c>
      <c r="J89" s="43">
        <f t="shared" si="110"/>
        <v>798137.5</v>
      </c>
      <c r="K89" s="147">
        <f>SUM(J89:$J$138)</f>
        <v>15770984</v>
      </c>
      <c r="L89" s="147">
        <f t="shared" si="111"/>
        <v>19.613358637174262</v>
      </c>
      <c r="M89" s="43">
        <f t="shared" si="174"/>
        <v>997671.875</v>
      </c>
      <c r="N89" s="148">
        <f t="shared" si="175"/>
        <v>19713730</v>
      </c>
      <c r="O89" s="147">
        <f t="shared" si="6"/>
        <v>24.516698296467826</v>
      </c>
      <c r="P89" s="157">
        <f t="shared" si="176"/>
        <v>93361.894884230453</v>
      </c>
      <c r="Q89" s="43">
        <f t="shared" si="177"/>
        <v>1005117.5</v>
      </c>
      <c r="R89" s="43">
        <f t="shared" si="178"/>
        <v>1699.5103587480305</v>
      </c>
      <c r="S89" s="43">
        <f>SUM(R89:$R$138)</f>
        <v>53447.84694462482</v>
      </c>
      <c r="T89" s="43">
        <f t="shared" si="112"/>
        <v>816097.12418095756</v>
      </c>
      <c r="U89" s="153">
        <f>SUM(P89:$P$138)</f>
        <v>1207269.1709574449</v>
      </c>
      <c r="V89" s="129">
        <f t="shared" si="179"/>
        <v>651351.76418205327</v>
      </c>
      <c r="W89" s="43">
        <f t="shared" si="180"/>
        <v>61847.786086505286</v>
      </c>
      <c r="X89" s="26">
        <f t="shared" si="114"/>
        <v>5.9544357734462654</v>
      </c>
      <c r="Y89" s="26">
        <f t="shared" si="115"/>
        <v>0.66245212956739008</v>
      </c>
      <c r="Z89" s="43">
        <f t="shared" si="181"/>
        <v>40512.279176370641</v>
      </c>
      <c r="AA89" s="149">
        <f t="shared" si="116"/>
        <v>0.13855296943463277</v>
      </c>
      <c r="AB89" s="150">
        <f t="shared" si="138"/>
        <v>1113907.2760732146</v>
      </c>
      <c r="AC89" s="150">
        <f t="shared" si="117"/>
        <v>589503.97809554788</v>
      </c>
      <c r="AD89" s="26">
        <f t="shared" si="118"/>
        <v>5.6168879030136578</v>
      </c>
      <c r="AE89" s="26">
        <f t="shared" si="182"/>
        <v>565404.08175786491</v>
      </c>
      <c r="AF89" s="43">
        <f t="shared" si="183"/>
        <v>94955.106288874187</v>
      </c>
      <c r="AG89" s="43">
        <f t="shared" si="184"/>
        <v>587389.65705751302</v>
      </c>
      <c r="AH89" s="27">
        <f t="shared" si="185"/>
        <v>102490.21153974014</v>
      </c>
      <c r="AI89" s="28">
        <f t="shared" si="186"/>
        <v>631601.78178227216</v>
      </c>
      <c r="AJ89" s="20">
        <f t="shared" si="187"/>
        <v>110204.52853735499</v>
      </c>
      <c r="AK89" s="3">
        <f t="shared" si="188"/>
        <v>9551.0591399040986</v>
      </c>
      <c r="AL89" s="3"/>
      <c r="AM89" s="46">
        <f t="shared" si="121"/>
        <v>1113907.2760732146</v>
      </c>
      <c r="AN89" s="46">
        <f t="shared" si="122"/>
        <v>1025373.0742617993</v>
      </c>
      <c r="AO89" s="46">
        <f t="shared" si="122"/>
        <v>941559.25973365293</v>
      </c>
      <c r="AP89" s="3">
        <f t="shared" si="278"/>
        <v>862352.93208858941</v>
      </c>
      <c r="AQ89" s="3">
        <f t="shared" si="278"/>
        <v>787654.85808610427</v>
      </c>
      <c r="AR89" s="16">
        <f t="shared" si="278"/>
        <v>717357.87731688586</v>
      </c>
      <c r="AS89" s="16">
        <f t="shared" si="278"/>
        <v>651351.76418205327</v>
      </c>
      <c r="AT89" s="16">
        <f t="shared" si="278"/>
        <v>589503.97809554788</v>
      </c>
      <c r="AU89" s="16">
        <f t="shared" si="278"/>
        <v>531683.16525119205</v>
      </c>
      <c r="AV89" s="16">
        <f t="shared" si="278"/>
        <v>477758.13591450383</v>
      </c>
      <c r="AW89" s="16">
        <f t="shared" si="278"/>
        <v>427598.80903629219</v>
      </c>
      <c r="AX89" s="16">
        <f t="shared" si="278"/>
        <v>381075.0024663306</v>
      </c>
      <c r="AY89" s="16">
        <f t="shared" si="278"/>
        <v>338054.11876679707</v>
      </c>
      <c r="AZ89" s="16">
        <f t="shared" si="278"/>
        <v>298401.41214207554</v>
      </c>
      <c r="BA89" s="16">
        <f t="shared" si="278"/>
        <v>261981.18319677183</v>
      </c>
      <c r="BB89" s="16">
        <f t="shared" si="278"/>
        <v>228658.26391475086</v>
      </c>
      <c r="BC89" s="16">
        <f t="shared" si="144"/>
        <v>198298.32110974428</v>
      </c>
      <c r="BD89" s="16">
        <f t="shared" si="18"/>
        <v>170766.16478295706</v>
      </c>
      <c r="BE89" s="16">
        <f t="shared" si="18"/>
        <v>145927.40926349355</v>
      </c>
      <c r="BF89" s="16">
        <f t="shared" si="18"/>
        <v>123651.69649989734</v>
      </c>
      <c r="BG89" s="16">
        <f t="shared" si="18"/>
        <v>103812.40402277096</v>
      </c>
      <c r="BH89" s="172">
        <f t="shared" si="123"/>
        <v>88534.201811415609</v>
      </c>
      <c r="BI89" s="16">
        <f t="shared" si="277"/>
        <v>83813.814528146351</v>
      </c>
      <c r="BJ89" s="16">
        <f t="shared" si="277"/>
        <v>79206.327645063458</v>
      </c>
      <c r="BK89" s="16">
        <f t="shared" si="277"/>
        <v>74698.07400248514</v>
      </c>
      <c r="BL89" s="16">
        <f t="shared" si="277"/>
        <v>70296.980769218397</v>
      </c>
      <c r="BM89" s="16">
        <f t="shared" si="277"/>
        <v>66006.113134832645</v>
      </c>
      <c r="BN89" s="16">
        <f t="shared" si="277"/>
        <v>61847.786086505286</v>
      </c>
      <c r="BO89" s="16">
        <f t="shared" si="277"/>
        <v>57820.812844355773</v>
      </c>
      <c r="BP89" s="16">
        <f t="shared" si="277"/>
        <v>53925.029336687992</v>
      </c>
      <c r="BQ89" s="16">
        <f t="shared" si="277"/>
        <v>50159.326878211672</v>
      </c>
      <c r="BR89" s="16">
        <f t="shared" si="277"/>
        <v>46523.806569961562</v>
      </c>
      <c r="BS89" s="16">
        <f t="shared" si="277"/>
        <v>43020.8836995335</v>
      </c>
      <c r="BT89" s="16">
        <f t="shared" si="277"/>
        <v>39652.706624721577</v>
      </c>
      <c r="BU89" s="16">
        <f t="shared" si="277"/>
        <v>36420.228945303788</v>
      </c>
      <c r="BV89" s="16">
        <f t="shared" si="277"/>
        <v>33322.919282020994</v>
      </c>
      <c r="BW89" s="16">
        <f t="shared" si="277"/>
        <v>30359.942805006591</v>
      </c>
      <c r="BX89" s="16">
        <f t="shared" si="168"/>
        <v>27532.156326787204</v>
      </c>
      <c r="BY89" s="16">
        <f t="shared" si="149"/>
        <v>24838.755519463502</v>
      </c>
      <c r="BZ89" s="16">
        <f t="shared" si="149"/>
        <v>22275.712763596202</v>
      </c>
      <c r="CA89" s="16">
        <f t="shared" si="149"/>
        <v>19839.292477126361</v>
      </c>
      <c r="CB89" s="16">
        <f t="shared" si="149"/>
        <v>17529.527152151433</v>
      </c>
      <c r="CC89" s="18">
        <f t="shared" si="124"/>
        <v>5.2245968498867672</v>
      </c>
      <c r="CD89" s="18">
        <f t="shared" si="124"/>
        <v>4.4625258041935583</v>
      </c>
      <c r="CE89" s="18">
        <f t="shared" si="124"/>
        <v>3.6639433259936887</v>
      </c>
      <c r="CF89" s="18">
        <f t="shared" si="124"/>
        <v>2.824720325446628</v>
      </c>
      <c r="CG89" s="18">
        <f t="shared" si="280"/>
        <v>1.9389608545426367</v>
      </c>
      <c r="CH89" s="18">
        <f t="shared" si="150"/>
        <v>0.99999999999999911</v>
      </c>
      <c r="CI89" s="18">
        <f t="shared" si="150"/>
        <v>0</v>
      </c>
      <c r="CJ89" s="18">
        <f t="shared" si="150"/>
        <v>-1.0696457390350007</v>
      </c>
      <c r="CK89" s="18">
        <f t="shared" si="150"/>
        <v>-2.2191661349629435</v>
      </c>
      <c r="CL89" s="18">
        <f t="shared" si="151"/>
        <v>-3.4608444544927788</v>
      </c>
      <c r="CM89" s="18">
        <f t="shared" si="151"/>
        <v>-4.8094292286527738</v>
      </c>
      <c r="CN89" s="18">
        <f t="shared" si="151"/>
        <v>-6.2824549026791248</v>
      </c>
      <c r="CO89" s="18">
        <f t="shared" si="151"/>
        <v>-7.9010406119397159</v>
      </c>
      <c r="CP89" s="18">
        <f t="shared" si="271"/>
        <v>-9.6910525348437986</v>
      </c>
      <c r="CQ89" s="18">
        <f t="shared" si="272"/>
        <v>-11.68476800276505</v>
      </c>
      <c r="CR89" s="18">
        <f t="shared" si="273"/>
        <v>-13.922737041441229</v>
      </c>
      <c r="CS89" s="18">
        <f t="shared" si="267"/>
        <v>-16.455428978932321</v>
      </c>
      <c r="CT89" s="18">
        <f t="shared" si="125"/>
        <v>-19.348215695529198</v>
      </c>
      <c r="CU89" s="18">
        <f t="shared" si="125"/>
        <v>-22.689480704049256</v>
      </c>
      <c r="CV89" s="18">
        <f t="shared" si="125"/>
        <v>-26.59873421849926</v>
      </c>
      <c r="CW89" s="18">
        <f t="shared" si="22"/>
        <v>-31.235261248451973</v>
      </c>
      <c r="CX89" s="17">
        <f t="shared" si="190"/>
        <v>1756.4305867649496</v>
      </c>
      <c r="CY89" s="17">
        <f t="shared" si="264"/>
        <v>1803.9674861705869</v>
      </c>
      <c r="CZ89" s="17">
        <f t="shared" si="264"/>
        <v>1861.5245372443221</v>
      </c>
      <c r="DA89" s="17">
        <f t="shared" si="264"/>
        <v>1907.6029537269662</v>
      </c>
      <c r="DB89" s="17">
        <f t="shared" si="264"/>
        <v>1946.8763483882083</v>
      </c>
      <c r="DC89" s="17">
        <f t="shared" si="264"/>
        <v>1959.6554972111114</v>
      </c>
      <c r="DD89" s="17">
        <f t="shared" si="263"/>
        <v>1969.0822058508145</v>
      </c>
      <c r="DE89" s="17">
        <f t="shared" si="263"/>
        <v>1974.1568515841511</v>
      </c>
      <c r="DF89" s="3" t="e">
        <f>#REF!+$AG$35*0.004*(1+$R$28)*#REF!-S89*#REF!</f>
        <v>#REF!</v>
      </c>
      <c r="DG89" s="19">
        <f t="shared" si="191"/>
        <v>2788.3508054774611</v>
      </c>
      <c r="DH89" s="19">
        <f t="shared" si="192"/>
        <v>2685.3695801854483</v>
      </c>
      <c r="DI89" s="19">
        <f t="shared" si="193"/>
        <v>2585.197062980274</v>
      </c>
      <c r="DJ89" s="19">
        <f t="shared" si="194"/>
        <v>2465.5189230901788</v>
      </c>
      <c r="DK89" s="19">
        <f t="shared" si="195"/>
        <v>2329.8442532013805</v>
      </c>
      <c r="DL89" s="19">
        <f t="shared" si="196"/>
        <v>2157.1674293968217</v>
      </c>
      <c r="DM89" s="19">
        <f t="shared" si="197"/>
        <v>1969.0822058508145</v>
      </c>
      <c r="DN89" s="19">
        <f t="shared" si="198"/>
        <v>1762.8890549131359</v>
      </c>
      <c r="DO89" s="173">
        <f t="shared" si="127"/>
        <v>51748.336585876787</v>
      </c>
      <c r="DP89" s="25">
        <f t="shared" si="279"/>
        <v>49991.905999111841</v>
      </c>
      <c r="DQ89" s="26">
        <f t="shared" si="279"/>
        <v>48187.938512941255</v>
      </c>
      <c r="DR89" s="26">
        <f t="shared" si="279"/>
        <v>0</v>
      </c>
      <c r="DS89" s="26">
        <f t="shared" si="279"/>
        <v>0</v>
      </c>
      <c r="DT89" s="26">
        <f t="shared" si="279"/>
        <v>0</v>
      </c>
      <c r="DU89" s="26">
        <f t="shared" si="279"/>
        <v>0</v>
      </c>
      <c r="DV89" s="26">
        <f t="shared" si="279"/>
        <v>0</v>
      </c>
      <c r="DW89" s="26">
        <f t="shared" si="279"/>
        <v>0</v>
      </c>
      <c r="DX89" s="26">
        <f t="shared" si="279"/>
        <v>0</v>
      </c>
      <c r="DY89" s="26">
        <f t="shared" si="279"/>
        <v>0</v>
      </c>
      <c r="DZ89" s="26">
        <f t="shared" si="279"/>
        <v>0</v>
      </c>
      <c r="EA89" s="26">
        <f t="shared" si="279"/>
        <v>0</v>
      </c>
      <c r="EB89" s="26">
        <f t="shared" si="279"/>
        <v>0</v>
      </c>
      <c r="EC89" s="26">
        <f t="shared" si="279"/>
        <v>0</v>
      </c>
      <c r="ED89" s="26">
        <f t="shared" si="279"/>
        <v>0</v>
      </c>
      <c r="EE89" s="26">
        <f t="shared" si="145"/>
        <v>0</v>
      </c>
      <c r="EF89" s="26">
        <f t="shared" si="34"/>
        <v>0</v>
      </c>
      <c r="EG89" s="26">
        <f t="shared" si="34"/>
        <v>0</v>
      </c>
      <c r="EH89" s="26">
        <f t="shared" si="34"/>
        <v>0</v>
      </c>
      <c r="EI89" s="26">
        <f t="shared" si="34"/>
        <v>0</v>
      </c>
      <c r="EJ89" s="26">
        <f t="shared" si="128"/>
        <v>0.12691205409452697</v>
      </c>
      <c r="EK89" s="26">
        <f t="shared" si="128"/>
        <v>0.11310339323069173</v>
      </c>
      <c r="EL89" s="26">
        <f t="shared" si="270"/>
        <v>9.6907148264296541E-2</v>
      </c>
      <c r="EM89" s="26">
        <f t="shared" si="270"/>
        <v>-0.54234703795740213</v>
      </c>
      <c r="EN89" s="26">
        <f t="shared" si="270"/>
        <v>-0.57630183733452933</v>
      </c>
      <c r="EO89" s="26">
        <f t="shared" si="270"/>
        <v>-0.61376556279893357</v>
      </c>
      <c r="EP89" s="26">
        <f t="shared" si="270"/>
        <v>-0.65503200259596861</v>
      </c>
      <c r="EQ89" s="26">
        <f t="shared" si="270"/>
        <v>-0.70065219050834016</v>
      </c>
      <c r="ER89" s="26">
        <f t="shared" si="270"/>
        <v>-0.75127041514297399</v>
      </c>
      <c r="ES89" s="26">
        <f t="shared" si="270"/>
        <v>-0.8076719066572734</v>
      </c>
      <c r="ET89" s="26">
        <f t="shared" si="270"/>
        <v>-0.87078599459502726</v>
      </c>
      <c r="EU89" s="26">
        <f t="shared" si="270"/>
        <v>-0.9416886798355083</v>
      </c>
      <c r="EV89" s="26">
        <f t="shared" si="270"/>
        <v>-1.0216775253145811</v>
      </c>
      <c r="EW89" s="26">
        <f t="shared" si="270"/>
        <v>-1.1123565213500533</v>
      </c>
      <c r="EX89" s="26">
        <f t="shared" si="270"/>
        <v>-1.2157482012156295</v>
      </c>
      <c r="EY89" s="26">
        <f t="shared" si="269"/>
        <v>-1.3343990611764214</v>
      </c>
      <c r="EZ89" s="26">
        <f t="shared" si="269"/>
        <v>-1.4714531871575394</v>
      </c>
      <c r="FA89" s="26">
        <f t="shared" si="269"/>
        <v>-1.6310108267954673</v>
      </c>
      <c r="FB89" s="26">
        <f t="shared" si="269"/>
        <v>-1.8186748772671064</v>
      </c>
      <c r="FC89" s="26">
        <f t="shared" si="269"/>
        <v>-2.0420223767092058</v>
      </c>
      <c r="FD89" s="26">
        <f t="shared" si="269"/>
        <v>-2.3110879617422246</v>
      </c>
      <c r="FE89" s="26">
        <f t="shared" si="130"/>
        <v>4.9231719182907963</v>
      </c>
      <c r="FF89" s="26">
        <f t="shared" si="130"/>
        <v>4.2004445641819332</v>
      </c>
      <c r="FG89" s="26">
        <f t="shared" si="130"/>
        <v>3.4447873308269314</v>
      </c>
      <c r="FH89" s="26">
        <f t="shared" si="130"/>
        <v>2.6526906166812827</v>
      </c>
      <c r="FI89" s="26">
        <f t="shared" si="130"/>
        <v>1.8187680014462666</v>
      </c>
      <c r="FJ89" s="26">
        <f t="shared" si="157"/>
        <v>0.93700087990588221</v>
      </c>
      <c r="FK89" s="26">
        <f t="shared" si="157"/>
        <v>0</v>
      </c>
      <c r="FL89" s="26">
        <f t="shared" si="157"/>
        <v>-1.0000000000000009</v>
      </c>
      <c r="FM89" s="26">
        <f t="shared" si="157"/>
        <v>-2.0722444392815111</v>
      </c>
      <c r="FN89" s="26">
        <f t="shared" si="157"/>
        <v>-3.2278178184561015</v>
      </c>
      <c r="FO89" s="26">
        <f t="shared" si="170"/>
        <v>-4.4800499141398928</v>
      </c>
      <c r="FP89" s="26">
        <f t="shared" si="158"/>
        <v>-5.8448325023941203</v>
      </c>
      <c r="FQ89" s="26">
        <f t="shared" si="158"/>
        <v>-7.3413038032562383</v>
      </c>
      <c r="FR89" s="26">
        <f t="shared" si="158"/>
        <v>-8.9928812745974938</v>
      </c>
      <c r="FS89" s="26">
        <f t="shared" si="158"/>
        <v>-10.828754561593504</v>
      </c>
      <c r="FT89" s="26">
        <f t="shared" si="274"/>
        <v>-12.885586099368105</v>
      </c>
      <c r="FU89" s="26">
        <f t="shared" si="268"/>
        <v>-15.209045319315692</v>
      </c>
      <c r="FV89" s="26">
        <f t="shared" si="131"/>
        <v>-17.858244487509463</v>
      </c>
      <c r="FW89" s="26">
        <f t="shared" si="131"/>
        <v>-20.913013493196214</v>
      </c>
      <c r="FX89" s="26">
        <f t="shared" si="39"/>
        <v>531683.16525119205</v>
      </c>
      <c r="FY89" s="26">
        <f t="shared" si="40"/>
        <v>53925.029336687992</v>
      </c>
      <c r="FZ89" s="26">
        <f t="shared" si="132"/>
        <v>0.69857506840402361</v>
      </c>
      <c r="GA89" s="26">
        <f t="shared" si="160"/>
        <v>0.73791875998837353</v>
      </c>
      <c r="GB89" s="26">
        <f t="shared" si="132"/>
        <v>0.78084400483324212</v>
      </c>
      <c r="GC89" s="26">
        <f t="shared" si="132"/>
        <v>0.82797029123465304</v>
      </c>
      <c r="GD89" s="26">
        <f t="shared" si="132"/>
        <v>0.8798071469036286</v>
      </c>
      <c r="GE89" s="26">
        <f t="shared" si="161"/>
        <v>0.93700087990588055</v>
      </c>
      <c r="GF89" s="26">
        <f t="shared" si="161"/>
        <v>1</v>
      </c>
      <c r="GG89" s="26">
        <f t="shared" si="161"/>
        <v>1.0696457390349989</v>
      </c>
      <c r="GH89" s="26">
        <f t="shared" si="161"/>
        <v>1.1469216956814343</v>
      </c>
      <c r="GI89" s="26">
        <f t="shared" si="161"/>
        <v>1.2330266360366744</v>
      </c>
      <c r="GJ89" s="26">
        <f t="shared" si="171"/>
        <v>1.3293793145128792</v>
      </c>
      <c r="GK89" s="26">
        <f t="shared" si="162"/>
        <v>1.4376224002850024</v>
      </c>
      <c r="GL89" s="26">
        <f t="shared" si="162"/>
        <v>1.5597368086834742</v>
      </c>
      <c r="GM89" s="26">
        <f t="shared" si="162"/>
        <v>1.6981712602462995</v>
      </c>
      <c r="GN89" s="26">
        <f t="shared" si="162"/>
        <v>1.8560134411715412</v>
      </c>
      <c r="GO89" s="26">
        <f t="shared" si="275"/>
        <v>2.0371509420731222</v>
      </c>
      <c r="GP89" s="26">
        <f t="shared" si="265"/>
        <v>2.246383659616626</v>
      </c>
      <c r="GQ89" s="26">
        <f t="shared" si="134"/>
        <v>2.4899712080197305</v>
      </c>
      <c r="GR89" s="26">
        <f t="shared" si="134"/>
        <v>2.7764672108530344</v>
      </c>
      <c r="GS89" s="26">
        <f t="shared" si="134"/>
        <v>3.117439100099586</v>
      </c>
      <c r="GT89" s="26">
        <f t="shared" si="134"/>
        <v>3.5282061831835883</v>
      </c>
      <c r="GU89" s="26">
        <f t="shared" si="135"/>
        <v>5.2245968498867672</v>
      </c>
      <c r="GV89" s="26">
        <f t="shared" si="164"/>
        <v>4.4625258041935583</v>
      </c>
      <c r="GW89" s="26">
        <f t="shared" si="135"/>
        <v>3.6639433259936887</v>
      </c>
      <c r="GX89" s="26">
        <f t="shared" si="135"/>
        <v>2.824720325446628</v>
      </c>
      <c r="GY89" s="26">
        <f t="shared" si="135"/>
        <v>1.9389608545426367</v>
      </c>
      <c r="GZ89" s="26">
        <f t="shared" si="165"/>
        <v>0.99999999999999911</v>
      </c>
      <c r="HA89" s="26">
        <f t="shared" si="165"/>
        <v>0</v>
      </c>
      <c r="HB89" s="26">
        <f t="shared" si="165"/>
        <v>-1.0696457390350007</v>
      </c>
      <c r="HC89" s="26">
        <f t="shared" si="165"/>
        <v>-2.2191661349629435</v>
      </c>
      <c r="HD89" s="26">
        <f t="shared" si="165"/>
        <v>-3.4608444544927788</v>
      </c>
      <c r="HE89" s="26">
        <f t="shared" si="172"/>
        <v>-4.8094292286527738</v>
      </c>
      <c r="HF89" s="26">
        <f t="shared" si="166"/>
        <v>-6.2824549026791248</v>
      </c>
      <c r="HG89" s="26">
        <f t="shared" si="166"/>
        <v>-7.9010406119397159</v>
      </c>
      <c r="HH89" s="26">
        <f t="shared" si="166"/>
        <v>-9.6910525348437986</v>
      </c>
      <c r="HI89" s="26">
        <f t="shared" si="166"/>
        <v>-11.68476800276505</v>
      </c>
      <c r="HJ89" s="26">
        <f t="shared" si="276"/>
        <v>-13.922737041441229</v>
      </c>
      <c r="HK89" s="26">
        <f t="shared" si="266"/>
        <v>-16.455428978932321</v>
      </c>
      <c r="HL89" s="26">
        <f t="shared" si="137"/>
        <v>-19.348215695529198</v>
      </c>
      <c r="HM89" s="26">
        <f t="shared" si="137"/>
        <v>-22.689480704049256</v>
      </c>
      <c r="HN89" s="26">
        <f t="shared" si="137"/>
        <v>-26.59873421849926</v>
      </c>
      <c r="HO89" s="26">
        <f t="shared" si="137"/>
        <v>-31.235261248451973</v>
      </c>
      <c r="HP89" s="26">
        <f t="shared" si="199"/>
        <v>554878.56312463328</v>
      </c>
      <c r="HQ89" s="26">
        <f t="shared" si="200"/>
        <v>562928.32062718191</v>
      </c>
      <c r="HR89" s="26">
        <f t="shared" si="201"/>
        <v>572278.55516378069</v>
      </c>
      <c r="HS89" s="26">
        <f t="shared" si="202"/>
        <v>547731.26437541458</v>
      </c>
      <c r="HT89" s="26">
        <f t="shared" si="203"/>
        <v>560268.91129676311</v>
      </c>
      <c r="HU89" s="26">
        <f t="shared" si="204"/>
        <v>575657.23636495031</v>
      </c>
      <c r="HV89" s="26">
        <f t="shared" si="205"/>
        <v>594671.23704699695</v>
      </c>
      <c r="HW89" s="26">
        <f t="shared" si="206"/>
        <v>618155.56844451919</v>
      </c>
      <c r="HX89" s="26">
        <f t="shared" si="207"/>
        <v>647131.65195013012</v>
      </c>
      <c r="HY89" s="26">
        <f t="shared" si="208"/>
        <v>682844.33173420466</v>
      </c>
      <c r="HZ89" s="26">
        <f t="shared" si="209"/>
        <v>726808.65894161083</v>
      </c>
      <c r="IA89" s="26">
        <f t="shared" si="210"/>
        <v>780846.357011933</v>
      </c>
      <c r="IB89" s="26">
        <f t="shared" si="211"/>
        <v>847172.94660716364</v>
      </c>
      <c r="IC89" s="26">
        <f t="shared" si="212"/>
        <v>928525.97208307707</v>
      </c>
      <c r="ID89" s="26">
        <f t="shared" si="213"/>
        <v>1028349.1793415241</v>
      </c>
      <c r="IE89" s="26">
        <f t="shared" si="214"/>
        <v>1150999.7043138426</v>
      </c>
      <c r="IF89" s="26">
        <f t="shared" si="215"/>
        <v>1301932.439124844</v>
      </c>
      <c r="IG89" s="26">
        <f t="shared" si="216"/>
        <v>1488250.5546004609</v>
      </c>
      <c r="IH89" s="26">
        <f t="shared" si="217"/>
        <v>1719603.5740815701</v>
      </c>
      <c r="II89" s="26">
        <f t="shared" si="218"/>
        <v>-60950092468.469467</v>
      </c>
      <c r="IJ89" s="26">
        <f t="shared" si="219"/>
        <v>575641.86706544668</v>
      </c>
      <c r="IK89" s="26">
        <f t="shared" si="220"/>
        <v>583140.03870428808</v>
      </c>
      <c r="IL89" s="26">
        <f t="shared" si="221"/>
        <v>592015.11038197333</v>
      </c>
      <c r="IM89" s="26">
        <f t="shared" si="222"/>
        <v>566016.99551354593</v>
      </c>
      <c r="IN89" s="26">
        <f t="shared" si="223"/>
        <v>578261.36694195983</v>
      </c>
      <c r="IO89" s="26">
        <f t="shared" si="224"/>
        <v>593491.56341981818</v>
      </c>
      <c r="IP89" s="26">
        <f t="shared" si="225"/>
        <v>612511.37415840686</v>
      </c>
      <c r="IQ89" s="26">
        <f t="shared" si="226"/>
        <v>636197.78364114952</v>
      </c>
      <c r="IR89" s="26">
        <f t="shared" si="227"/>
        <v>665611.1949279015</v>
      </c>
      <c r="IS89" s="26">
        <f t="shared" si="228"/>
        <v>702043.80961781845</v>
      </c>
      <c r="IT89" s="26">
        <f t="shared" si="229"/>
        <v>747068.30040239939</v>
      </c>
      <c r="IU89" s="26">
        <f t="shared" si="230"/>
        <v>802576.03617627418</v>
      </c>
      <c r="IV89" s="26">
        <f t="shared" si="231"/>
        <v>870867.51968209457</v>
      </c>
      <c r="IW89" s="26">
        <f t="shared" si="232"/>
        <v>954785.39683590503</v>
      </c>
      <c r="IX89" s="26">
        <f t="shared" si="233"/>
        <v>1057905.4722233589</v>
      </c>
      <c r="IY89" s="26">
        <f t="shared" si="234"/>
        <v>1184752.0366634959</v>
      </c>
      <c r="IZ89" s="26">
        <f t="shared" si="235"/>
        <v>1340990.4122985895</v>
      </c>
      <c r="JA89" s="26">
        <f t="shared" si="236"/>
        <v>1533997.52141675</v>
      </c>
      <c r="JB89" s="26">
        <f t="shared" si="237"/>
        <v>1773792.6811978028</v>
      </c>
      <c r="JC89" s="26">
        <f t="shared" si="238"/>
        <v>-62778590629.030586</v>
      </c>
      <c r="JD89" s="26">
        <f t="shared" si="239"/>
        <v>142923.43356011115</v>
      </c>
      <c r="JE89" s="26">
        <f t="shared" si="240"/>
        <v>230576.59704186162</v>
      </c>
      <c r="JF89" s="26">
        <f t="shared" si="241"/>
        <v>287365.65617981512</v>
      </c>
      <c r="JG89" s="26">
        <f t="shared" si="242"/>
        <v>386987.90380767488</v>
      </c>
      <c r="JH89" s="26">
        <f t="shared" si="243"/>
        <v>494844.15509996196</v>
      </c>
      <c r="JI89" s="26">
        <f t="shared" si="244"/>
        <v>612511.37415840686</v>
      </c>
      <c r="JJ89" s="26">
        <f t="shared" si="245"/>
        <v>741715.56361732958</v>
      </c>
      <c r="JK89" s="26">
        <f t="shared" si="246"/>
        <v>884526.18277318822</v>
      </c>
      <c r="JL89" s="26">
        <f t="shared" si="247"/>
        <v>1043447.1456516779</v>
      </c>
      <c r="JM89" s="26">
        <f t="shared" si="248"/>
        <v>1221506.029306761</v>
      </c>
      <c r="JN89" s="26">
        <f t="shared" si="249"/>
        <v>1422323.9302119447</v>
      </c>
      <c r="JO89" s="26">
        <f t="shared" si="250"/>
        <v>1650284.6990798789</v>
      </c>
      <c r="JP89" s="26">
        <f t="shared" si="251"/>
        <v>1910782.6132898196</v>
      </c>
      <c r="JQ89" s="26">
        <f t="shared" si="252"/>
        <v>2210577.5525149144</v>
      </c>
      <c r="JR89" s="26">
        <f t="shared" si="253"/>
        <v>2558193.962520537</v>
      </c>
      <c r="JS89" s="26">
        <f t="shared" si="254"/>
        <v>2964275.8338617217</v>
      </c>
      <c r="JT89" s="26">
        <f t="shared" si="255"/>
        <v>3442648.8553942712</v>
      </c>
      <c r="JU89" s="26">
        <f t="shared" si="256"/>
        <v>4012051.1487756502</v>
      </c>
      <c r="JV89" s="26">
        <f t="shared" si="257"/>
        <v>-62775966732.835342</v>
      </c>
      <c r="JW89" s="26">
        <f t="shared" si="258"/>
        <v>3224201.0039135371</v>
      </c>
      <c r="JX89" s="26" t="e">
        <f>AH89+$AG$38*0.004*(1+$R$28)*#REF!-S89*#REF!</f>
        <v>#REF!</v>
      </c>
      <c r="JY89" s="34">
        <f t="shared" si="259"/>
        <v>6.481543202660385E-2</v>
      </c>
      <c r="JZ89" s="4">
        <f t="shared" si="260"/>
        <v>41911.845835794811</v>
      </c>
      <c r="KA89" s="165"/>
    </row>
    <row r="90" spans="1:287" ht="15.75" x14ac:dyDescent="0.3">
      <c r="A90" s="34">
        <v>89</v>
      </c>
      <c r="B90" s="34">
        <v>62</v>
      </c>
      <c r="C90" s="2">
        <v>792181</v>
      </c>
      <c r="D90" s="1">
        <f t="shared" si="106"/>
        <v>12791</v>
      </c>
      <c r="E90" s="145">
        <f t="shared" si="107"/>
        <v>0.98385343753510879</v>
      </c>
      <c r="F90" s="146">
        <f t="shared" si="108"/>
        <v>1.6146562464891212E-2</v>
      </c>
      <c r="G90" s="158">
        <f t="shared" si="173"/>
        <v>2.0183203081114015E-2</v>
      </c>
      <c r="H90" s="43">
        <f t="shared" si="109"/>
        <v>15080.052497665178</v>
      </c>
      <c r="I90" s="43">
        <f t="shared" si="139"/>
        <v>747158.53757503943</v>
      </c>
      <c r="J90" s="43">
        <f t="shared" si="110"/>
        <v>785785.5</v>
      </c>
      <c r="K90" s="147">
        <f>SUM(J90:$J$138)</f>
        <v>14972846.5</v>
      </c>
      <c r="L90" s="147">
        <f t="shared" si="111"/>
        <v>18.900789718511298</v>
      </c>
      <c r="M90" s="43">
        <f t="shared" si="174"/>
        <v>982231.875</v>
      </c>
      <c r="N90" s="148">
        <f t="shared" si="175"/>
        <v>18716058.125</v>
      </c>
      <c r="O90" s="147">
        <f t="shared" si="6"/>
        <v>23.625987148139124</v>
      </c>
      <c r="P90" s="157">
        <f t="shared" si="176"/>
        <v>88534.201811415609</v>
      </c>
      <c r="Q90" s="43">
        <f t="shared" si="177"/>
        <v>990226.25</v>
      </c>
      <c r="R90" s="43">
        <f t="shared" si="178"/>
        <v>1756.4305867649496</v>
      </c>
      <c r="S90" s="43">
        <f>SUM(R90:$R$138)</f>
        <v>51748.336585876787</v>
      </c>
      <c r="T90" s="43">
        <f t="shared" si="112"/>
        <v>762649.27723633277</v>
      </c>
      <c r="U90" s="153">
        <f>SUM(P90:$P$138)</f>
        <v>1113907.2760732146</v>
      </c>
      <c r="V90" s="129">
        <f t="shared" si="179"/>
        <v>589503.97809554788</v>
      </c>
      <c r="W90" s="43">
        <f t="shared" si="180"/>
        <v>57820.812844355773</v>
      </c>
      <c r="X90" s="26">
        <f t="shared" si="114"/>
        <v>5.9231719182907918</v>
      </c>
      <c r="Y90" s="26">
        <f t="shared" si="115"/>
        <v>0.65309012405757472</v>
      </c>
      <c r="Z90" s="43">
        <f t="shared" si="181"/>
        <v>38543.196970519821</v>
      </c>
      <c r="AA90" s="149">
        <f t="shared" si="116"/>
        <v>0.14915297529292565</v>
      </c>
      <c r="AB90" s="150">
        <f t="shared" si="138"/>
        <v>1025373.0742617993</v>
      </c>
      <c r="AC90" s="150">
        <f t="shared" si="117"/>
        <v>531683.16525119205</v>
      </c>
      <c r="AD90" s="26">
        <f t="shared" si="118"/>
        <v>5.5762620423483718</v>
      </c>
      <c r="AE90" s="26">
        <f t="shared" si="182"/>
        <v>569595.56556637271</v>
      </c>
      <c r="AF90" s="43">
        <f t="shared" si="183"/>
        <v>96163.942803594487</v>
      </c>
      <c r="AG90" s="43">
        <f t="shared" si="184"/>
        <v>591680.50966506777</v>
      </c>
      <c r="AH90" s="27">
        <f t="shared" si="185"/>
        <v>103735.31314990205</v>
      </c>
      <c r="AI90" s="28">
        <f t="shared" si="186"/>
        <v>636215.60179039545</v>
      </c>
      <c r="AJ90" s="20">
        <f t="shared" si="187"/>
        <v>111543.34747301297</v>
      </c>
      <c r="AK90" s="3">
        <f t="shared" si="188"/>
        <v>9667.0901143277915</v>
      </c>
      <c r="AL90" s="3"/>
      <c r="AM90" s="46">
        <f t="shared" si="121"/>
        <v>1025373.0742617993</v>
      </c>
      <c r="AN90" s="46">
        <f t="shared" si="122"/>
        <v>941559.25973365293</v>
      </c>
      <c r="AO90" s="46">
        <f t="shared" si="122"/>
        <v>862352.93208858941</v>
      </c>
      <c r="AP90" s="3">
        <f t="shared" si="278"/>
        <v>787654.85808610427</v>
      </c>
      <c r="AQ90" s="3">
        <f t="shared" si="278"/>
        <v>717357.87731688586</v>
      </c>
      <c r="AR90" s="16">
        <f t="shared" si="278"/>
        <v>651351.76418205327</v>
      </c>
      <c r="AS90" s="16">
        <f t="shared" si="278"/>
        <v>589503.97809554788</v>
      </c>
      <c r="AT90" s="16">
        <f t="shared" si="278"/>
        <v>531683.16525119205</v>
      </c>
      <c r="AU90" s="16">
        <f t="shared" si="278"/>
        <v>477758.13591450383</v>
      </c>
      <c r="AV90" s="16">
        <f t="shared" si="278"/>
        <v>427598.80903629219</v>
      </c>
      <c r="AW90" s="16">
        <f t="shared" si="278"/>
        <v>381075.0024663306</v>
      </c>
      <c r="AX90" s="16">
        <f t="shared" si="278"/>
        <v>338054.11876679707</v>
      </c>
      <c r="AY90" s="16">
        <f t="shared" si="278"/>
        <v>298401.41214207554</v>
      </c>
      <c r="AZ90" s="16">
        <f t="shared" si="278"/>
        <v>261981.18319677183</v>
      </c>
      <c r="BA90" s="16">
        <f t="shared" si="278"/>
        <v>228658.26391475086</v>
      </c>
      <c r="BB90" s="16">
        <f t="shared" si="278"/>
        <v>198298.32110974428</v>
      </c>
      <c r="BC90" s="16">
        <f t="shared" si="144"/>
        <v>170766.16478295706</v>
      </c>
      <c r="BD90" s="16">
        <f t="shared" si="18"/>
        <v>145927.40926349355</v>
      </c>
      <c r="BE90" s="16">
        <f t="shared" si="18"/>
        <v>123651.69649989734</v>
      </c>
      <c r="BF90" s="16">
        <f t="shared" si="18"/>
        <v>103812.40402277096</v>
      </c>
      <c r="BG90" s="16">
        <f t="shared" si="18"/>
        <v>86282.876870619526</v>
      </c>
      <c r="BH90" s="172">
        <f t="shared" si="123"/>
        <v>83813.814528146351</v>
      </c>
      <c r="BI90" s="16">
        <f t="shared" si="277"/>
        <v>79206.327645063458</v>
      </c>
      <c r="BJ90" s="16">
        <f t="shared" si="277"/>
        <v>74698.07400248514</v>
      </c>
      <c r="BK90" s="16">
        <f t="shared" si="277"/>
        <v>70296.980769218397</v>
      </c>
      <c r="BL90" s="16">
        <f t="shared" si="277"/>
        <v>66006.113134832645</v>
      </c>
      <c r="BM90" s="16">
        <f t="shared" si="277"/>
        <v>61847.786086505286</v>
      </c>
      <c r="BN90" s="16">
        <f t="shared" si="277"/>
        <v>57820.812844355773</v>
      </c>
      <c r="BO90" s="16">
        <f t="shared" si="277"/>
        <v>53925.029336687992</v>
      </c>
      <c r="BP90" s="16">
        <f t="shared" si="277"/>
        <v>50159.326878211672</v>
      </c>
      <c r="BQ90" s="16">
        <f t="shared" si="277"/>
        <v>46523.806569961562</v>
      </c>
      <c r="BR90" s="16">
        <f t="shared" si="277"/>
        <v>43020.8836995335</v>
      </c>
      <c r="BS90" s="16">
        <f t="shared" si="277"/>
        <v>39652.706624721577</v>
      </c>
      <c r="BT90" s="16">
        <f t="shared" si="277"/>
        <v>36420.228945303788</v>
      </c>
      <c r="BU90" s="16">
        <f t="shared" si="277"/>
        <v>33322.919282020994</v>
      </c>
      <c r="BV90" s="16">
        <f t="shared" si="277"/>
        <v>30359.942805006591</v>
      </c>
      <c r="BW90" s="16">
        <f t="shared" si="277"/>
        <v>27532.156326787204</v>
      </c>
      <c r="BX90" s="16">
        <f t="shared" si="168"/>
        <v>24838.755519463502</v>
      </c>
      <c r="BY90" s="16">
        <f t="shared" si="149"/>
        <v>22275.712763596202</v>
      </c>
      <c r="BZ90" s="16">
        <f t="shared" si="149"/>
        <v>19839.292477126361</v>
      </c>
      <c r="CA90" s="16">
        <f t="shared" si="149"/>
        <v>17529.527152151433</v>
      </c>
      <c r="CB90" s="16">
        <f t="shared" si="149"/>
        <v>15352.18922905595</v>
      </c>
      <c r="CC90" s="18">
        <f t="shared" si="124"/>
        <v>5.2004445641819332</v>
      </c>
      <c r="CD90" s="18">
        <f t="shared" si="124"/>
        <v>4.4447873308269319</v>
      </c>
      <c r="CE90" s="18">
        <f t="shared" si="124"/>
        <v>3.6526906166812827</v>
      </c>
      <c r="CF90" s="18">
        <f t="shared" si="124"/>
        <v>2.818768001446267</v>
      </c>
      <c r="CG90" s="18">
        <f t="shared" si="280"/>
        <v>1.9370008799058813</v>
      </c>
      <c r="CH90" s="18">
        <f t="shared" si="150"/>
        <v>1.0000000000000018</v>
      </c>
      <c r="CI90" s="18">
        <f t="shared" si="150"/>
        <v>0</v>
      </c>
      <c r="CJ90" s="18">
        <f t="shared" si="150"/>
        <v>-1.0722444392815069</v>
      </c>
      <c r="CK90" s="18">
        <f t="shared" si="150"/>
        <v>-2.2278178184561019</v>
      </c>
      <c r="CL90" s="18">
        <f t="shared" si="151"/>
        <v>-3.480049914139892</v>
      </c>
      <c r="CM90" s="18">
        <f t="shared" si="151"/>
        <v>-4.8448325023941194</v>
      </c>
      <c r="CN90" s="18">
        <f t="shared" si="151"/>
        <v>-6.3413038032562392</v>
      </c>
      <c r="CO90" s="18">
        <f t="shared" si="151"/>
        <v>-7.9928812745974955</v>
      </c>
      <c r="CP90" s="18">
        <f t="shared" si="271"/>
        <v>-9.8287545615935059</v>
      </c>
      <c r="CQ90" s="18">
        <f t="shared" si="272"/>
        <v>-11.885586099368103</v>
      </c>
      <c r="CR90" s="18">
        <f t="shared" si="273"/>
        <v>-14.209045319315692</v>
      </c>
      <c r="CS90" s="18">
        <f t="shared" si="267"/>
        <v>-16.858244487509463</v>
      </c>
      <c r="CT90" s="18">
        <f t="shared" si="125"/>
        <v>-19.913013493196214</v>
      </c>
      <c r="CU90" s="18">
        <f t="shared" si="125"/>
        <v>-23.481295118399672</v>
      </c>
      <c r="CV90" s="18">
        <f t="shared" si="125"/>
        <v>-27.707055065268378</v>
      </c>
      <c r="CW90" s="18">
        <f t="shared" si="22"/>
        <v>-32.778458740758552</v>
      </c>
      <c r="CX90" s="17">
        <f t="shared" si="190"/>
        <v>1803.9674861705869</v>
      </c>
      <c r="CY90" s="17">
        <f t="shared" si="264"/>
        <v>1861.5245372443221</v>
      </c>
      <c r="CZ90" s="17">
        <f t="shared" si="264"/>
        <v>1907.6029537269662</v>
      </c>
      <c r="DA90" s="17">
        <f t="shared" si="264"/>
        <v>1946.8763483882083</v>
      </c>
      <c r="DB90" s="17">
        <f t="shared" si="264"/>
        <v>1959.6554972111114</v>
      </c>
      <c r="DC90" s="17">
        <f t="shared" si="264"/>
        <v>1969.0822058508145</v>
      </c>
      <c r="DD90" s="17">
        <f t="shared" si="263"/>
        <v>1974.1568515841511</v>
      </c>
      <c r="DE90" s="17">
        <f t="shared" si="263"/>
        <v>1975.8460811551965</v>
      </c>
      <c r="DF90" s="3" t="e">
        <f>#REF!+$AG$35*0.004*(1+$R$28)*#REF!-S90*#REF!</f>
        <v>#REF!</v>
      </c>
      <c r="DG90" s="19">
        <f t="shared" si="191"/>
        <v>2835.7494342164182</v>
      </c>
      <c r="DH90" s="19">
        <f t="shared" si="192"/>
        <v>2743.3820927380343</v>
      </c>
      <c r="DI90" s="19">
        <f t="shared" si="193"/>
        <v>2632.3064273579744</v>
      </c>
      <c r="DJ90" s="19">
        <f t="shared" si="194"/>
        <v>2506.1273708205545</v>
      </c>
      <c r="DK90" s="19">
        <f t="shared" si="195"/>
        <v>2343.9615919247981</v>
      </c>
      <c r="DL90" s="19">
        <f t="shared" si="196"/>
        <v>2167.4848491848538</v>
      </c>
      <c r="DM90" s="19">
        <f t="shared" si="197"/>
        <v>1974.1568515841511</v>
      </c>
      <c r="DN90" s="19">
        <f t="shared" si="198"/>
        <v>1763.1099501015208</v>
      </c>
      <c r="DO90" s="173">
        <f t="shared" si="127"/>
        <v>49991.905999111841</v>
      </c>
      <c r="DP90" s="25">
        <f t="shared" si="279"/>
        <v>48187.938512941255</v>
      </c>
      <c r="DQ90" s="26">
        <f t="shared" si="279"/>
        <v>0</v>
      </c>
      <c r="DR90" s="26">
        <f t="shared" si="279"/>
        <v>0</v>
      </c>
      <c r="DS90" s="26">
        <f t="shared" si="279"/>
        <v>0</v>
      </c>
      <c r="DT90" s="26">
        <f t="shared" si="279"/>
        <v>0</v>
      </c>
      <c r="DU90" s="26">
        <f t="shared" si="279"/>
        <v>0</v>
      </c>
      <c r="DV90" s="26">
        <f t="shared" si="279"/>
        <v>0</v>
      </c>
      <c r="DW90" s="26">
        <f t="shared" si="279"/>
        <v>0</v>
      </c>
      <c r="DX90" s="26">
        <f t="shared" si="279"/>
        <v>0</v>
      </c>
      <c r="DY90" s="26">
        <f t="shared" si="279"/>
        <v>0</v>
      </c>
      <c r="DZ90" s="26">
        <f t="shared" si="279"/>
        <v>0</v>
      </c>
      <c r="EA90" s="26">
        <f t="shared" si="279"/>
        <v>0</v>
      </c>
      <c r="EB90" s="26">
        <f t="shared" si="279"/>
        <v>0</v>
      </c>
      <c r="EC90" s="26">
        <f t="shared" si="279"/>
        <v>0</v>
      </c>
      <c r="ED90" s="26">
        <f t="shared" si="279"/>
        <v>0</v>
      </c>
      <c r="EE90" s="26">
        <f t="shared" si="145"/>
        <v>0</v>
      </c>
      <c r="EF90" s="26">
        <f t="shared" si="34"/>
        <v>0</v>
      </c>
      <c r="EG90" s="26">
        <f t="shared" si="34"/>
        <v>0</v>
      </c>
      <c r="EH90" s="26">
        <f t="shared" si="34"/>
        <v>0</v>
      </c>
      <c r="EI90" s="26">
        <f t="shared" si="34"/>
        <v>0</v>
      </c>
      <c r="EJ90" s="26">
        <f t="shared" si="128"/>
        <v>0.13659692131954351</v>
      </c>
      <c r="EK90" s="26">
        <f t="shared" si="128"/>
        <v>0.12176731113757859</v>
      </c>
      <c r="EL90" s="26">
        <f t="shared" si="270"/>
        <v>-0.5159864894138706</v>
      </c>
      <c r="EM90" s="26">
        <f t="shared" si="270"/>
        <v>-0.54829093011910823</v>
      </c>
      <c r="EN90" s="26">
        <f t="shared" si="270"/>
        <v>-0.58393374704228518</v>
      </c>
      <c r="EO90" s="26">
        <f t="shared" si="270"/>
        <v>-0.62319444897526655</v>
      </c>
      <c r="EP90" s="26">
        <f t="shared" si="270"/>
        <v>-0.66659728693665787</v>
      </c>
      <c r="EQ90" s="26">
        <f t="shared" si="270"/>
        <v>-0.71475523415796982</v>
      </c>
      <c r="ER90" s="26">
        <f t="shared" si="270"/>
        <v>-0.76841535501670188</v>
      </c>
      <c r="ES90" s="26">
        <f t="shared" si="270"/>
        <v>-0.82846180938697134</v>
      </c>
      <c r="ET90" s="26">
        <f t="shared" si="270"/>
        <v>-0.89591829958011227</v>
      </c>
      <c r="EU90" s="26">
        <f t="shared" si="270"/>
        <v>-0.9720193210339384</v>
      </c>
      <c r="EV90" s="26">
        <f t="shared" si="270"/>
        <v>-1.0582909027948266</v>
      </c>
      <c r="EW90" s="26">
        <f t="shared" si="270"/>
        <v>-1.156657273761587</v>
      </c>
      <c r="EX90" s="26">
        <f t="shared" si="270"/>
        <v>-1.2695411588247045</v>
      </c>
      <c r="EY90" s="26">
        <f t="shared" si="269"/>
        <v>-1.399933826941826</v>
      </c>
      <c r="EZ90" s="26">
        <f t="shared" si="269"/>
        <v>-1.5517362349461348</v>
      </c>
      <c r="FA90" s="26">
        <f t="shared" si="269"/>
        <v>-1.7302789535654521</v>
      </c>
      <c r="FB90" s="26">
        <f t="shared" si="269"/>
        <v>-1.9427707422005123</v>
      </c>
      <c r="FC90" s="26">
        <f t="shared" si="269"/>
        <v>-2.1987585082002248</v>
      </c>
      <c r="FD90" s="26">
        <f t="shared" si="269"/>
        <v>-2.51059939370549</v>
      </c>
      <c r="FE90" s="26">
        <f t="shared" si="130"/>
        <v>4.8903166714219442</v>
      </c>
      <c r="FF90" s="26">
        <f t="shared" si="130"/>
        <v>4.1747897758772856</v>
      </c>
      <c r="FG90" s="26">
        <f t="shared" si="130"/>
        <v>3.4267509069430124</v>
      </c>
      <c r="FH90" s="26">
        <f t="shared" si="130"/>
        <v>2.6412899961558085</v>
      </c>
      <c r="FI90" s="26">
        <f t="shared" si="130"/>
        <v>1.8129926645795764</v>
      </c>
      <c r="FJ90" s="26">
        <f t="shared" si="157"/>
        <v>0.93488896697907642</v>
      </c>
      <c r="FK90" s="26">
        <f t="shared" si="157"/>
        <v>0</v>
      </c>
      <c r="FL90" s="26">
        <f t="shared" si="157"/>
        <v>-1.0000000000000042</v>
      </c>
      <c r="FM90" s="26">
        <f t="shared" si="157"/>
        <v>-2.075074820434089</v>
      </c>
      <c r="FN90" s="26">
        <f t="shared" si="157"/>
        <v>-3.2372278600715947</v>
      </c>
      <c r="FO90" s="26">
        <f t="shared" si="170"/>
        <v>-4.5008151816856943</v>
      </c>
      <c r="FP90" s="26">
        <f t="shared" si="158"/>
        <v>-5.8831230694269037</v>
      </c>
      <c r="FQ90" s="26">
        <f t="shared" si="158"/>
        <v>-7.405279699352274</v>
      </c>
      <c r="FR90" s="26">
        <f t="shared" si="158"/>
        <v>-9.0935880728773615</v>
      </c>
      <c r="FS90" s="26">
        <f t="shared" si="158"/>
        <v>-10.981076159552911</v>
      </c>
      <c r="FT90" s="26">
        <f t="shared" si="274"/>
        <v>-13.108926020338027</v>
      </c>
      <c r="FU90" s="26">
        <f t="shared" si="268"/>
        <v>-15.530397877036254</v>
      </c>
      <c r="FV90" s="26">
        <f t="shared" si="131"/>
        <v>-18.317324930590544</v>
      </c>
      <c r="FW90" s="26">
        <f t="shared" si="131"/>
        <v>-21.566835698487392</v>
      </c>
      <c r="FX90" s="26">
        <f t="shared" si="39"/>
        <v>477758.13591450383</v>
      </c>
      <c r="FY90" s="26">
        <f t="shared" si="40"/>
        <v>50159.326878211672</v>
      </c>
      <c r="FZ90" s="26">
        <f t="shared" si="132"/>
        <v>0.68987210724001102</v>
      </c>
      <c r="GA90" s="26">
        <f t="shared" si="160"/>
        <v>0.73000244505035405</v>
      </c>
      <c r="GB90" s="26">
        <f t="shared" si="132"/>
        <v>0.77406029026172918</v>
      </c>
      <c r="GC90" s="26">
        <f t="shared" si="132"/>
        <v>0.82252199470954124</v>
      </c>
      <c r="GD90" s="26">
        <f t="shared" si="132"/>
        <v>0.87599178467369354</v>
      </c>
      <c r="GE90" s="26">
        <f t="shared" si="161"/>
        <v>0.93488896697907564</v>
      </c>
      <c r="GF90" s="26">
        <f t="shared" si="161"/>
        <v>1</v>
      </c>
      <c r="GG90" s="26">
        <f t="shared" si="161"/>
        <v>1.0722444392815058</v>
      </c>
      <c r="GH90" s="26">
        <f t="shared" si="161"/>
        <v>1.1527429980220112</v>
      </c>
      <c r="GI90" s="26">
        <f t="shared" si="161"/>
        <v>1.2428220540682973</v>
      </c>
      <c r="GJ90" s="26">
        <f t="shared" si="171"/>
        <v>1.3440173207084252</v>
      </c>
      <c r="GK90" s="26">
        <f t="shared" si="162"/>
        <v>1.4581807338293333</v>
      </c>
      <c r="GL90" s="26">
        <f t="shared" si="162"/>
        <v>1.5876015752452177</v>
      </c>
      <c r="GM90" s="26">
        <f t="shared" si="162"/>
        <v>1.7351664887161415</v>
      </c>
      <c r="GN90" s="26">
        <f t="shared" si="162"/>
        <v>1.9045099398151919</v>
      </c>
      <c r="GO90" s="26">
        <f t="shared" si="275"/>
        <v>2.1001192989776629</v>
      </c>
      <c r="GP90" s="26">
        <f t="shared" si="265"/>
        <v>2.3278466104732067</v>
      </c>
      <c r="GQ90" s="26">
        <f t="shared" si="134"/>
        <v>2.5956885626056687</v>
      </c>
      <c r="GR90" s="26">
        <f t="shared" si="134"/>
        <v>2.9144594199122809</v>
      </c>
      <c r="GS90" s="26">
        <f t="shared" si="134"/>
        <v>3.2984810338856922</v>
      </c>
      <c r="GT90" s="26">
        <f t="shared" si="134"/>
        <v>3.7662910469421917</v>
      </c>
      <c r="GU90" s="26">
        <f t="shared" si="135"/>
        <v>5.2004445641819332</v>
      </c>
      <c r="GV90" s="26">
        <f t="shared" si="164"/>
        <v>4.4447873308269319</v>
      </c>
      <c r="GW90" s="26">
        <f t="shared" si="135"/>
        <v>3.6526906166812827</v>
      </c>
      <c r="GX90" s="26">
        <f t="shared" si="135"/>
        <v>2.818768001446267</v>
      </c>
      <c r="GY90" s="26">
        <f t="shared" si="135"/>
        <v>1.9370008799058813</v>
      </c>
      <c r="GZ90" s="26">
        <f t="shared" si="165"/>
        <v>1.0000000000000018</v>
      </c>
      <c r="HA90" s="26">
        <f t="shared" si="165"/>
        <v>0</v>
      </c>
      <c r="HB90" s="26">
        <f t="shared" si="165"/>
        <v>-1.0722444392815069</v>
      </c>
      <c r="HC90" s="26">
        <f t="shared" si="165"/>
        <v>-2.2278178184561019</v>
      </c>
      <c r="HD90" s="26">
        <f t="shared" si="165"/>
        <v>-3.480049914139892</v>
      </c>
      <c r="HE90" s="26">
        <f t="shared" si="172"/>
        <v>-4.8448325023941194</v>
      </c>
      <c r="HF90" s="26">
        <f t="shared" si="166"/>
        <v>-6.3413038032562392</v>
      </c>
      <c r="HG90" s="26">
        <f t="shared" si="166"/>
        <v>-7.9928812745974955</v>
      </c>
      <c r="HH90" s="26">
        <f t="shared" si="166"/>
        <v>-9.8287545615935059</v>
      </c>
      <c r="HI90" s="26">
        <f t="shared" si="166"/>
        <v>-11.885586099368103</v>
      </c>
      <c r="HJ90" s="26">
        <f t="shared" si="276"/>
        <v>-14.209045319315692</v>
      </c>
      <c r="HK90" s="26">
        <f t="shared" si="266"/>
        <v>-16.858244487509463</v>
      </c>
      <c r="HL90" s="26">
        <f t="shared" si="137"/>
        <v>-19.913013493196214</v>
      </c>
      <c r="HM90" s="26">
        <f t="shared" si="137"/>
        <v>-23.481295118399672</v>
      </c>
      <c r="HN90" s="26">
        <f t="shared" si="137"/>
        <v>-27.707055065268378</v>
      </c>
      <c r="HO90" s="26">
        <f t="shared" si="137"/>
        <v>-32.778458740758552</v>
      </c>
      <c r="HP90" s="26">
        <f t="shared" si="199"/>
        <v>558202.36162176239</v>
      </c>
      <c r="HQ90" s="26">
        <f t="shared" si="200"/>
        <v>565458.35614756553</v>
      </c>
      <c r="HR90" s="26">
        <f t="shared" si="201"/>
        <v>538439.09195438598</v>
      </c>
      <c r="HS90" s="26">
        <f t="shared" si="202"/>
        <v>548072.91885191831</v>
      </c>
      <c r="HT90" s="26">
        <f t="shared" si="203"/>
        <v>560056.15171841171</v>
      </c>
      <c r="HU90" s="26">
        <f t="shared" si="204"/>
        <v>575116.79799478583</v>
      </c>
      <c r="HV90" s="26">
        <f t="shared" si="205"/>
        <v>594008.34608589252</v>
      </c>
      <c r="HW90" s="26">
        <f t="shared" si="206"/>
        <v>617645.12095551402</v>
      </c>
      <c r="HX90" s="26">
        <f t="shared" si="207"/>
        <v>647140.73256568867</v>
      </c>
      <c r="HY90" s="26">
        <f t="shared" si="208"/>
        <v>683854.32096248528</v>
      </c>
      <c r="HZ90" s="26">
        <f t="shared" si="209"/>
        <v>729426.58355245949</v>
      </c>
      <c r="IA90" s="26">
        <f t="shared" si="210"/>
        <v>785854.00740132248</v>
      </c>
      <c r="IB90" s="26">
        <f t="shared" si="211"/>
        <v>855602.48542491649</v>
      </c>
      <c r="IC90" s="26">
        <f t="shared" si="212"/>
        <v>941772.19110023929</v>
      </c>
      <c r="ID90" s="26">
        <f t="shared" si="213"/>
        <v>1048286.6171049275</v>
      </c>
      <c r="IE90" s="26">
        <f t="shared" si="214"/>
        <v>1180064.2672954942</v>
      </c>
      <c r="IF90" s="26">
        <f t="shared" si="215"/>
        <v>1343507.4318689678</v>
      </c>
      <c r="IG90" s="26">
        <f t="shared" si="216"/>
        <v>1547306.1511399834</v>
      </c>
      <c r="IH90" s="26">
        <f t="shared" si="217"/>
        <v>1803260.0740528943</v>
      </c>
      <c r="II90" s="26">
        <f t="shared" si="218"/>
        <v>-54768405700.874733</v>
      </c>
      <c r="IJ90" s="26">
        <f t="shared" si="219"/>
        <v>579046.34767940349</v>
      </c>
      <c r="IK90" s="26">
        <f t="shared" si="220"/>
        <v>585732.76296284609</v>
      </c>
      <c r="IL90" s="26">
        <f t="shared" si="221"/>
        <v>557152.57582026441</v>
      </c>
      <c r="IM90" s="26">
        <f t="shared" si="222"/>
        <v>566364.99326317431</v>
      </c>
      <c r="IN90" s="26">
        <f t="shared" si="223"/>
        <v>578041.02735196392</v>
      </c>
      <c r="IO90" s="26">
        <f t="shared" si="224"/>
        <v>592934.91189854883</v>
      </c>
      <c r="IP90" s="26">
        <f t="shared" si="225"/>
        <v>611828.59646846936</v>
      </c>
      <c r="IQ90" s="26">
        <f t="shared" si="226"/>
        <v>635670.80202260322</v>
      </c>
      <c r="IR90" s="26">
        <f t="shared" si="227"/>
        <v>665616.90506657842</v>
      </c>
      <c r="IS90" s="26">
        <f t="shared" si="228"/>
        <v>703076.96287142171</v>
      </c>
      <c r="IT90" s="26">
        <f t="shared" si="229"/>
        <v>749753.3924741114</v>
      </c>
      <c r="IU90" s="26">
        <f t="shared" si="230"/>
        <v>807718.03203810833</v>
      </c>
      <c r="IV90" s="26">
        <f t="shared" si="231"/>
        <v>879529.94445690967</v>
      </c>
      <c r="IW90" s="26">
        <f t="shared" si="232"/>
        <v>968406.31951717625</v>
      </c>
      <c r="IX90" s="26">
        <f t="shared" si="233"/>
        <v>1078418.7908923537</v>
      </c>
      <c r="IY90" s="26">
        <f t="shared" si="234"/>
        <v>1214672.5446972633</v>
      </c>
      <c r="IZ90" s="26">
        <f t="shared" si="235"/>
        <v>1383812.6548250369</v>
      </c>
      <c r="JA90" s="26">
        <f t="shared" si="236"/>
        <v>1594856.8801318021</v>
      </c>
      <c r="JB90" s="26">
        <f t="shared" si="237"/>
        <v>1860049.6455091115</v>
      </c>
      <c r="JC90" s="26">
        <f t="shared" si="238"/>
        <v>-56411453066.172157</v>
      </c>
      <c r="JD90" s="26">
        <f t="shared" si="239"/>
        <v>141731.80038139771</v>
      </c>
      <c r="JE90" s="26">
        <f t="shared" si="240"/>
        <v>192276.1421221451</v>
      </c>
      <c r="JF90" s="26">
        <f t="shared" si="241"/>
        <v>284791.18268828554</v>
      </c>
      <c r="JG90" s="26">
        <f t="shared" si="242"/>
        <v>384549.14772151172</v>
      </c>
      <c r="JH90" s="26">
        <f t="shared" si="243"/>
        <v>493042.40196853038</v>
      </c>
      <c r="JI90" s="26">
        <f t="shared" si="244"/>
        <v>611828.59646846936</v>
      </c>
      <c r="JJ90" s="26">
        <f t="shared" si="245"/>
        <v>742779.99032093794</v>
      </c>
      <c r="JK90" s="26">
        <f t="shared" si="246"/>
        <v>888159.21861897607</v>
      </c>
      <c r="JL90" s="26">
        <f t="shared" si="247"/>
        <v>1050707.8834765998</v>
      </c>
      <c r="JM90" s="26">
        <f t="shared" si="248"/>
        <v>1233715.8713287909</v>
      </c>
      <c r="JN90" s="26">
        <f t="shared" si="249"/>
        <v>1441166.7851741444</v>
      </c>
      <c r="JO90" s="26">
        <f t="shared" si="250"/>
        <v>1677958.9165490963</v>
      </c>
      <c r="JP90" s="26">
        <f t="shared" si="251"/>
        <v>1950225.2821608672</v>
      </c>
      <c r="JQ90" s="26">
        <f t="shared" si="252"/>
        <v>2265699.8183475682</v>
      </c>
      <c r="JR90" s="26">
        <f t="shared" si="253"/>
        <v>2634049.7453530845</v>
      </c>
      <c r="JS90" s="26">
        <f t="shared" si="254"/>
        <v>3067825.0096962508</v>
      </c>
      <c r="JT90" s="26">
        <f t="shared" si="255"/>
        <v>3584017.7782374909</v>
      </c>
      <c r="JU90" s="26">
        <f t="shared" si="256"/>
        <v>4205655.1512935385</v>
      </c>
      <c r="JV90" s="26">
        <f t="shared" si="257"/>
        <v>-56408685338.898918</v>
      </c>
      <c r="JW90" s="26">
        <f t="shared" si="258"/>
        <v>3416054.3156333133</v>
      </c>
      <c r="JX90" s="26" t="e">
        <f>AH90+$AG$38*0.004*(1+$R$28)*#REF!-S90*#REF!</f>
        <v>#REF!</v>
      </c>
      <c r="JY90" s="34">
        <f t="shared" si="259"/>
        <v>6.6146562464891215E-2</v>
      </c>
      <c r="JZ90" s="4">
        <f t="shared" si="260"/>
        <v>41308.573672010447</v>
      </c>
      <c r="KA90" s="165"/>
    </row>
    <row r="91" spans="1:287" ht="15.75" x14ac:dyDescent="0.3">
      <c r="A91" s="34">
        <v>90</v>
      </c>
      <c r="B91" s="34">
        <v>63</v>
      </c>
      <c r="C91" s="2">
        <v>779390</v>
      </c>
      <c r="D91" s="1">
        <f t="shared" si="106"/>
        <v>13653</v>
      </c>
      <c r="E91" s="145">
        <f t="shared" si="107"/>
        <v>0.98248245422702374</v>
      </c>
      <c r="F91" s="146">
        <f t="shared" si="108"/>
        <v>1.7517545772976262E-2</v>
      </c>
      <c r="G91" s="158">
        <f t="shared" si="173"/>
        <v>2.1896932216220327E-2</v>
      </c>
      <c r="H91" s="43">
        <f t="shared" si="109"/>
        <v>16030.272964692529</v>
      </c>
      <c r="I91" s="43">
        <f t="shared" si="139"/>
        <v>732078.48507737427</v>
      </c>
      <c r="J91" s="43">
        <f t="shared" si="110"/>
        <v>772563.5</v>
      </c>
      <c r="K91" s="147">
        <f>SUM(J91:$J$138)</f>
        <v>14187061</v>
      </c>
      <c r="L91" s="147">
        <f t="shared" si="111"/>
        <v>18.202775247308793</v>
      </c>
      <c r="M91" s="43">
        <f t="shared" si="174"/>
        <v>965704.375</v>
      </c>
      <c r="N91" s="148">
        <f t="shared" si="175"/>
        <v>17733826.25</v>
      </c>
      <c r="O91" s="147">
        <f t="shared" si="6"/>
        <v>22.753469059135991</v>
      </c>
      <c r="P91" s="157">
        <f t="shared" si="176"/>
        <v>83813.814528146351</v>
      </c>
      <c r="Q91" s="43">
        <f t="shared" si="177"/>
        <v>974237.5</v>
      </c>
      <c r="R91" s="43">
        <f t="shared" si="178"/>
        <v>1803.9674861705869</v>
      </c>
      <c r="S91" s="43">
        <f>SUM(R91:$R$138)</f>
        <v>49991.905999111841</v>
      </c>
      <c r="T91" s="43">
        <f t="shared" si="112"/>
        <v>710900.940650456</v>
      </c>
      <c r="U91" s="153">
        <f>SUM(P91:$P$138)</f>
        <v>1025373.0742617993</v>
      </c>
      <c r="V91" s="129">
        <f t="shared" si="179"/>
        <v>531683.16525119205</v>
      </c>
      <c r="W91" s="43">
        <f t="shared" si="180"/>
        <v>53925.029336687992</v>
      </c>
      <c r="X91" s="26">
        <f t="shared" si="114"/>
        <v>5.890316671421945</v>
      </c>
      <c r="Y91" s="26">
        <f t="shared" si="115"/>
        <v>0.64339070641605145</v>
      </c>
      <c r="Z91" s="43">
        <f t="shared" si="181"/>
        <v>36569.040118935685</v>
      </c>
      <c r="AA91" s="149">
        <f t="shared" si="116"/>
        <v>0.16015099605887154</v>
      </c>
      <c r="AB91" s="150">
        <f t="shared" si="138"/>
        <v>941559.25973365293</v>
      </c>
      <c r="AC91" s="150">
        <f t="shared" si="117"/>
        <v>477758.13591450383</v>
      </c>
      <c r="AD91" s="26">
        <f t="shared" si="118"/>
        <v>5.5337073778379988</v>
      </c>
      <c r="AE91" s="26">
        <f t="shared" si="182"/>
        <v>573992.2910947979</v>
      </c>
      <c r="AF91" s="43">
        <f t="shared" si="183"/>
        <v>97446.762731728304</v>
      </c>
      <c r="AG91" s="43">
        <f t="shared" si="184"/>
        <v>596181.4186683608</v>
      </c>
      <c r="AH91" s="27">
        <f t="shared" si="185"/>
        <v>105056.61767587988</v>
      </c>
      <c r="AI91" s="28">
        <f t="shared" si="186"/>
        <v>641055.28889071057</v>
      </c>
      <c r="AJ91" s="20">
        <f t="shared" si="187"/>
        <v>112964.10502782784</v>
      </c>
      <c r="AK91" s="3">
        <f t="shared" si="188"/>
        <v>9790.2224357450796</v>
      </c>
      <c r="AL91" s="3"/>
      <c r="AM91" s="46">
        <f t="shared" si="121"/>
        <v>941559.25973365293</v>
      </c>
      <c r="AN91" s="46">
        <f t="shared" si="122"/>
        <v>862352.93208858941</v>
      </c>
      <c r="AO91" s="46">
        <f t="shared" si="122"/>
        <v>787654.85808610427</v>
      </c>
      <c r="AP91" s="3">
        <f t="shared" si="278"/>
        <v>717357.87731688586</v>
      </c>
      <c r="AQ91" s="3">
        <f t="shared" si="278"/>
        <v>651351.76418205327</v>
      </c>
      <c r="AR91" s="16">
        <f t="shared" si="278"/>
        <v>589503.97809554788</v>
      </c>
      <c r="AS91" s="16">
        <f t="shared" si="278"/>
        <v>531683.16525119205</v>
      </c>
      <c r="AT91" s="16">
        <f t="shared" si="278"/>
        <v>477758.13591450383</v>
      </c>
      <c r="AU91" s="16">
        <f t="shared" si="278"/>
        <v>427598.80903629219</v>
      </c>
      <c r="AV91" s="16">
        <f t="shared" si="278"/>
        <v>381075.0024663306</v>
      </c>
      <c r="AW91" s="16">
        <f t="shared" si="278"/>
        <v>338054.11876679707</v>
      </c>
      <c r="AX91" s="16">
        <f t="shared" si="278"/>
        <v>298401.41214207554</v>
      </c>
      <c r="AY91" s="16">
        <f t="shared" si="278"/>
        <v>261981.18319677183</v>
      </c>
      <c r="AZ91" s="16">
        <f t="shared" si="278"/>
        <v>228658.26391475086</v>
      </c>
      <c r="BA91" s="16">
        <f t="shared" si="278"/>
        <v>198298.32110974428</v>
      </c>
      <c r="BB91" s="16">
        <f t="shared" si="278"/>
        <v>170766.16478295706</v>
      </c>
      <c r="BC91" s="16">
        <f t="shared" si="144"/>
        <v>145927.40926349355</v>
      </c>
      <c r="BD91" s="16">
        <f t="shared" si="18"/>
        <v>123651.69649989734</v>
      </c>
      <c r="BE91" s="16">
        <f t="shared" si="18"/>
        <v>103812.40402277096</v>
      </c>
      <c r="BF91" s="16">
        <f t="shared" si="18"/>
        <v>86282.876870619526</v>
      </c>
      <c r="BG91" s="16">
        <f>BF92</f>
        <v>70930.687641563578</v>
      </c>
      <c r="BH91" s="172">
        <f t="shared" si="123"/>
        <v>79206.327645063458</v>
      </c>
      <c r="BI91" s="16">
        <f t="shared" si="277"/>
        <v>74698.07400248514</v>
      </c>
      <c r="BJ91" s="16">
        <f t="shared" si="277"/>
        <v>70296.980769218397</v>
      </c>
      <c r="BK91" s="16">
        <f t="shared" si="277"/>
        <v>66006.113134832645</v>
      </c>
      <c r="BL91" s="16">
        <f t="shared" si="277"/>
        <v>61847.786086505286</v>
      </c>
      <c r="BM91" s="16">
        <f t="shared" si="277"/>
        <v>57820.812844355773</v>
      </c>
      <c r="BN91" s="16">
        <f t="shared" si="277"/>
        <v>53925.029336687992</v>
      </c>
      <c r="BO91" s="16">
        <f t="shared" si="277"/>
        <v>50159.326878211672</v>
      </c>
      <c r="BP91" s="16">
        <f t="shared" si="277"/>
        <v>46523.806569961562</v>
      </c>
      <c r="BQ91" s="16">
        <f t="shared" si="277"/>
        <v>43020.8836995335</v>
      </c>
      <c r="BR91" s="16">
        <f t="shared" si="277"/>
        <v>39652.706624721577</v>
      </c>
      <c r="BS91" s="16">
        <f t="shared" si="277"/>
        <v>36420.228945303788</v>
      </c>
      <c r="BT91" s="16">
        <f t="shared" si="277"/>
        <v>33322.919282020994</v>
      </c>
      <c r="BU91" s="16">
        <f t="shared" si="277"/>
        <v>30359.942805006591</v>
      </c>
      <c r="BV91" s="16">
        <f t="shared" si="277"/>
        <v>27532.156326787204</v>
      </c>
      <c r="BW91" s="16">
        <f t="shared" si="277"/>
        <v>24838.755519463502</v>
      </c>
      <c r="BX91" s="16">
        <f t="shared" si="168"/>
        <v>22275.712763596202</v>
      </c>
      <c r="BY91" s="16">
        <f t="shared" si="149"/>
        <v>19839.292477126361</v>
      </c>
      <c r="BZ91" s="16">
        <f t="shared" si="149"/>
        <v>17529.527152151433</v>
      </c>
      <c r="CA91" s="16">
        <f t="shared" si="149"/>
        <v>15352.18922905595</v>
      </c>
      <c r="CB91" s="16">
        <f t="shared" si="149"/>
        <v>13317.317788616554</v>
      </c>
      <c r="CC91" s="18">
        <f t="shared" si="124"/>
        <v>5.1747897758772865</v>
      </c>
      <c r="CD91" s="18">
        <f t="shared" si="124"/>
        <v>4.4267509069430124</v>
      </c>
      <c r="CE91" s="18">
        <f t="shared" si="124"/>
        <v>3.641289996155809</v>
      </c>
      <c r="CF91" s="18">
        <f t="shared" si="124"/>
        <v>2.8129926645795758</v>
      </c>
      <c r="CG91" s="18">
        <f t="shared" si="280"/>
        <v>1.9348889669790783</v>
      </c>
      <c r="CH91" s="18">
        <f t="shared" si="150"/>
        <v>1.0000000000000009</v>
      </c>
      <c r="CI91" s="18">
        <f t="shared" si="150"/>
        <v>0</v>
      </c>
      <c r="CJ91" s="18">
        <f t="shared" si="150"/>
        <v>-1.0750748204340899</v>
      </c>
      <c r="CK91" s="18">
        <f t="shared" si="150"/>
        <v>-2.2372278600715938</v>
      </c>
      <c r="CL91" s="18">
        <f t="shared" si="151"/>
        <v>-3.5008151816856934</v>
      </c>
      <c r="CM91" s="18">
        <f t="shared" si="151"/>
        <v>-4.8831230694269046</v>
      </c>
      <c r="CN91" s="18">
        <f t="shared" si="151"/>
        <v>-6.4052796993522758</v>
      </c>
      <c r="CO91" s="18">
        <f t="shared" si="151"/>
        <v>-8.0935880728773633</v>
      </c>
      <c r="CP91" s="18">
        <f t="shared" si="271"/>
        <v>-9.9810761595529094</v>
      </c>
      <c r="CQ91" s="18">
        <f t="shared" si="272"/>
        <v>-12.108926020338027</v>
      </c>
      <c r="CR91" s="18">
        <f t="shared" si="273"/>
        <v>-14.530397877036254</v>
      </c>
      <c r="CS91" s="18">
        <f t="shared" si="267"/>
        <v>-17.317324930590544</v>
      </c>
      <c r="CT91" s="18">
        <f t="shared" si="125"/>
        <v>-20.566835698487388</v>
      </c>
      <c r="CU91" s="18">
        <f t="shared" si="125"/>
        <v>-24.408574031382685</v>
      </c>
      <c r="CV91" s="18">
        <f t="shared" si="125"/>
        <v>-29.012167693816359</v>
      </c>
      <c r="CW91" s="18">
        <f t="shared" si="22"/>
        <v>-34.597993749422493</v>
      </c>
      <c r="CX91" s="17">
        <f t="shared" si="190"/>
        <v>1861.5245372443221</v>
      </c>
      <c r="CY91" s="17">
        <f t="shared" si="264"/>
        <v>1907.6029537269662</v>
      </c>
      <c r="CZ91" s="17">
        <f t="shared" si="264"/>
        <v>1946.8763483882083</v>
      </c>
      <c r="DA91" s="17">
        <f t="shared" si="264"/>
        <v>1959.6554972111114</v>
      </c>
      <c r="DB91" s="17">
        <f t="shared" si="264"/>
        <v>1969.0822058508145</v>
      </c>
      <c r="DC91" s="17">
        <f t="shared" si="264"/>
        <v>1974.1568515841511</v>
      </c>
      <c r="DD91" s="17">
        <f t="shared" si="263"/>
        <v>1975.8460811551965</v>
      </c>
      <c r="DE91" s="17">
        <f t="shared" si="263"/>
        <v>1972.9572612906529</v>
      </c>
      <c r="DF91" s="3" t="e">
        <f>#REF!+$AG$35*0.004*(1+$R$28)*#REF!-S91*#REF!</f>
        <v>#REF!</v>
      </c>
      <c r="DG91" s="19">
        <f t="shared" si="191"/>
        <v>2892.7316051625771</v>
      </c>
      <c r="DH91" s="19">
        <f t="shared" si="192"/>
        <v>2789.7444552876341</v>
      </c>
      <c r="DI91" s="19">
        <f t="shared" si="193"/>
        <v>2672.495000160266</v>
      </c>
      <c r="DJ91" s="19">
        <f t="shared" si="194"/>
        <v>2520.2150645270403</v>
      </c>
      <c r="DK91" s="19">
        <f t="shared" si="195"/>
        <v>2354.6575170812343</v>
      </c>
      <c r="DL91" s="19">
        <f t="shared" si="196"/>
        <v>2173.4320130071937</v>
      </c>
      <c r="DM91" s="19">
        <f t="shared" si="197"/>
        <v>1975.8460811551965</v>
      </c>
      <c r="DN91" s="19">
        <f t="shared" si="198"/>
        <v>1758.7215529068014</v>
      </c>
      <c r="DO91" s="173">
        <f t="shared" si="127"/>
        <v>48187.938512941255</v>
      </c>
      <c r="DP91" s="25">
        <f t="shared" si="279"/>
        <v>0</v>
      </c>
      <c r="DQ91" s="26">
        <f t="shared" si="279"/>
        <v>0</v>
      </c>
      <c r="DR91" s="26">
        <f t="shared" si="279"/>
        <v>0</v>
      </c>
      <c r="DS91" s="26">
        <f t="shared" si="279"/>
        <v>0</v>
      </c>
      <c r="DT91" s="26">
        <f t="shared" si="279"/>
        <v>0</v>
      </c>
      <c r="DU91" s="26">
        <f t="shared" si="279"/>
        <v>0</v>
      </c>
      <c r="DV91" s="26">
        <f t="shared" si="279"/>
        <v>0</v>
      </c>
      <c r="DW91" s="26">
        <f t="shared" si="279"/>
        <v>0</v>
      </c>
      <c r="DX91" s="26">
        <f t="shared" si="279"/>
        <v>0</v>
      </c>
      <c r="DY91" s="26">
        <f t="shared" si="279"/>
        <v>0</v>
      </c>
      <c r="DZ91" s="26">
        <f t="shared" si="279"/>
        <v>0</v>
      </c>
      <c r="EA91" s="26">
        <f t="shared" si="279"/>
        <v>0</v>
      </c>
      <c r="EB91" s="26">
        <f t="shared" si="279"/>
        <v>0</v>
      </c>
      <c r="EC91" s="26">
        <f t="shared" si="279"/>
        <v>0</v>
      </c>
      <c r="ED91" s="26">
        <f t="shared" si="279"/>
        <v>0</v>
      </c>
      <c r="EE91" s="26">
        <f t="shared" si="145"/>
        <v>0</v>
      </c>
      <c r="EF91" s="26">
        <f t="shared" si="34"/>
        <v>0</v>
      </c>
      <c r="EG91" s="26">
        <f t="shared" si="34"/>
        <v>0</v>
      </c>
      <c r="EH91" s="26">
        <f t="shared" si="34"/>
        <v>0</v>
      </c>
      <c r="EI91" s="26">
        <f>EH92</f>
        <v>0</v>
      </c>
      <c r="EJ91" s="26">
        <f t="shared" si="128"/>
        <v>0.14669154270188814</v>
      </c>
      <c r="EK91" s="26">
        <f t="shared" si="128"/>
        <v>-0.48955800544093098</v>
      </c>
      <c r="EL91" s="26">
        <f t="shared" si="270"/>
        <v>-0.52020783423103312</v>
      </c>
      <c r="EM91" s="26">
        <f t="shared" si="270"/>
        <v>-0.55402504983493006</v>
      </c>
      <c r="EN91" s="26">
        <f t="shared" si="270"/>
        <v>-0.59127484479051984</v>
      </c>
      <c r="EO91" s="26">
        <f t="shared" si="270"/>
        <v>-0.63245461832875982</v>
      </c>
      <c r="EP91" s="26">
        <f t="shared" si="270"/>
        <v>-0.67814594760091995</v>
      </c>
      <c r="EQ91" s="26">
        <f t="shared" si="270"/>
        <v>-0.72905763284516145</v>
      </c>
      <c r="ER91" s="26">
        <f t="shared" si="270"/>
        <v>-0.78602854785633025</v>
      </c>
      <c r="ES91" s="26">
        <f t="shared" si="270"/>
        <v>-0.85002996159588939</v>
      </c>
      <c r="ET91" s="26">
        <f t="shared" si="270"/>
        <v>-0.92223313946838192</v>
      </c>
      <c r="EU91" s="26">
        <f t="shared" si="270"/>
        <v>-1.0040859483298521</v>
      </c>
      <c r="EV91" s="26">
        <f t="shared" si="270"/>
        <v>-1.0974140593578217</v>
      </c>
      <c r="EW91" s="26">
        <f t="shared" si="270"/>
        <v>-1.2045161070891466</v>
      </c>
      <c r="EX91" s="26">
        <f t="shared" si="270"/>
        <v>-1.3282301496797806</v>
      </c>
      <c r="EY91" s="26">
        <f t="shared" si="269"/>
        <v>-1.4722573395547294</v>
      </c>
      <c r="EZ91" s="26">
        <f t="shared" si="269"/>
        <v>-1.6416552191630953</v>
      </c>
      <c r="FA91" s="26">
        <f t="shared" si="269"/>
        <v>-1.8432633200552806</v>
      </c>
      <c r="FB91" s="26">
        <f t="shared" si="269"/>
        <v>-2.0861395633508288</v>
      </c>
      <c r="FC91" s="26">
        <f t="shared" si="269"/>
        <v>-2.3820081666088493</v>
      </c>
      <c r="FD91" s="26">
        <f t="shared" si="269"/>
        <v>-2.7459763819854444</v>
      </c>
      <c r="FE91" s="26">
        <f t="shared" si="130"/>
        <v>4.8556069648566202</v>
      </c>
      <c r="FF91" s="26">
        <f t="shared" si="130"/>
        <v>4.1486574628589548</v>
      </c>
      <c r="FG91" s="26">
        <f t="shared" si="130"/>
        <v>3.408393060136913</v>
      </c>
      <c r="FH91" s="26">
        <f t="shared" si="130"/>
        <v>2.6299628931784635</v>
      </c>
      <c r="FI91" s="26">
        <f t="shared" si="130"/>
        <v>1.806788072005477</v>
      </c>
      <c r="FJ91" s="26">
        <f t="shared" si="157"/>
        <v>0.93262316255991828</v>
      </c>
      <c r="FK91" s="26">
        <f t="shared" si="157"/>
        <v>0</v>
      </c>
      <c r="FL91" s="26">
        <f t="shared" si="157"/>
        <v>-0.99999999999999922</v>
      </c>
      <c r="FM91" s="26">
        <f t="shared" si="157"/>
        <v>-2.0781432255072052</v>
      </c>
      <c r="FN91" s="26">
        <f t="shared" si="157"/>
        <v>-3.2473534975112948</v>
      </c>
      <c r="FO91" s="26">
        <f t="shared" ref="FO91:FO122" si="281">(AX91-$AC91)/BR91</f>
        <v>-4.523189941859048</v>
      </c>
      <c r="FP91" s="26">
        <f t="shared" si="158"/>
        <v>-5.9246456973619708</v>
      </c>
      <c r="FQ91" s="26">
        <f t="shared" si="158"/>
        <v>-7.4753316146029256</v>
      </c>
      <c r="FR91" s="26">
        <f t="shared" si="158"/>
        <v>-9.2048860763556668</v>
      </c>
      <c r="FS91" s="26">
        <f t="shared" si="158"/>
        <v>-11.150306117972359</v>
      </c>
      <c r="FT91" s="26">
        <f t="shared" si="274"/>
        <v>-13.359394209222344</v>
      </c>
      <c r="FU91" s="26">
        <f t="shared" si="268"/>
        <v>-15.896525654312637</v>
      </c>
      <c r="FV91" s="26">
        <f t="shared" si="131"/>
        <v>-18.848743337136256</v>
      </c>
      <c r="FW91" s="26">
        <f t="shared" si="131"/>
        <v>-22.332334217916298</v>
      </c>
      <c r="FX91" s="26">
        <f t="shared" si="39"/>
        <v>427598.80903629219</v>
      </c>
      <c r="FY91" s="26">
        <f t="shared" si="40"/>
        <v>46523.806569961562</v>
      </c>
      <c r="FZ91" s="26">
        <f t="shared" si="132"/>
        <v>0.68081718897933119</v>
      </c>
      <c r="GA91" s="26">
        <f t="shared" si="160"/>
        <v>0.72190655591593911</v>
      </c>
      <c r="GB91" s="26">
        <f t="shared" si="132"/>
        <v>0.7671030639811014</v>
      </c>
      <c r="GC91" s="26">
        <f t="shared" si="132"/>
        <v>0.81697022859888346</v>
      </c>
      <c r="GD91" s="26">
        <f t="shared" si="132"/>
        <v>0.87189910502639678</v>
      </c>
      <c r="GE91" s="26">
        <f t="shared" si="161"/>
        <v>0.93262316255991429</v>
      </c>
      <c r="GF91" s="26">
        <f t="shared" si="161"/>
        <v>1</v>
      </c>
      <c r="GG91" s="26">
        <f t="shared" si="161"/>
        <v>1.0750748204340852</v>
      </c>
      <c r="GH91" s="26">
        <f t="shared" si="161"/>
        <v>1.1590846345643842</v>
      </c>
      <c r="GI91" s="26">
        <f t="shared" si="161"/>
        <v>1.253461684174394</v>
      </c>
      <c r="GJ91" s="26">
        <f t="shared" ref="GJ91:GJ122" si="282">$W91/BR91</f>
        <v>1.3599331275678492</v>
      </c>
      <c r="GK91" s="26">
        <f t="shared" si="162"/>
        <v>1.4806340019902968</v>
      </c>
      <c r="GL91" s="26">
        <f t="shared" si="162"/>
        <v>1.6182564582744297</v>
      </c>
      <c r="GM91" s="26">
        <f t="shared" si="162"/>
        <v>1.7761900831972364</v>
      </c>
      <c r="GN91" s="26">
        <f t="shared" si="162"/>
        <v>1.9586199023656581</v>
      </c>
      <c r="GO91" s="26">
        <f t="shared" si="275"/>
        <v>2.1710036678138991</v>
      </c>
      <c r="GP91" s="26">
        <f t="shared" si="265"/>
        <v>2.4207992762778967</v>
      </c>
      <c r="GQ91" s="26">
        <f t="shared" si="134"/>
        <v>2.7180923613511245</v>
      </c>
      <c r="GR91" s="26">
        <f t="shared" si="134"/>
        <v>3.07623981346637</v>
      </c>
      <c r="GS91" s="26">
        <f t="shared" si="134"/>
        <v>3.5125302673203174</v>
      </c>
      <c r="GT91" s="26">
        <f t="shared" si="134"/>
        <v>4.049241010286794</v>
      </c>
      <c r="GU91" s="26">
        <f t="shared" si="135"/>
        <v>5.1747897758772865</v>
      </c>
      <c r="GV91" s="26">
        <f t="shared" si="164"/>
        <v>4.4267509069430124</v>
      </c>
      <c r="GW91" s="26">
        <f t="shared" si="135"/>
        <v>3.641289996155809</v>
      </c>
      <c r="GX91" s="26">
        <f t="shared" si="135"/>
        <v>2.8129926645795758</v>
      </c>
      <c r="GY91" s="26">
        <f t="shared" si="135"/>
        <v>1.9348889669790783</v>
      </c>
      <c r="GZ91" s="26">
        <f t="shared" si="165"/>
        <v>1.0000000000000009</v>
      </c>
      <c r="HA91" s="26">
        <f t="shared" si="165"/>
        <v>0</v>
      </c>
      <c r="HB91" s="26">
        <f t="shared" si="165"/>
        <v>-1.0750748204340899</v>
      </c>
      <c r="HC91" s="26">
        <f t="shared" si="165"/>
        <v>-2.2372278600715938</v>
      </c>
      <c r="HD91" s="26">
        <f t="shared" si="165"/>
        <v>-3.5008151816856934</v>
      </c>
      <c r="HE91" s="26">
        <f t="shared" ref="HE91:HE122" si="283">(AW91-$V91)/BR91</f>
        <v>-4.8831230694269046</v>
      </c>
      <c r="HF91" s="26">
        <f t="shared" si="166"/>
        <v>-6.4052796993522758</v>
      </c>
      <c r="HG91" s="26">
        <f t="shared" si="166"/>
        <v>-8.0935880728773633</v>
      </c>
      <c r="HH91" s="26">
        <f t="shared" si="166"/>
        <v>-9.9810761595529094</v>
      </c>
      <c r="HI91" s="26">
        <f t="shared" si="166"/>
        <v>-12.108926020338027</v>
      </c>
      <c r="HJ91" s="26">
        <f t="shared" si="276"/>
        <v>-14.530397877036254</v>
      </c>
      <c r="HK91" s="26">
        <f t="shared" si="266"/>
        <v>-17.317324930590544</v>
      </c>
      <c r="HL91" s="26">
        <f t="shared" si="137"/>
        <v>-20.566835698487388</v>
      </c>
      <c r="HM91" s="26">
        <f t="shared" si="137"/>
        <v>-24.408574031382685</v>
      </c>
      <c r="HN91" s="26">
        <f t="shared" si="137"/>
        <v>-29.012167693816359</v>
      </c>
      <c r="HO91" s="26">
        <f t="shared" si="137"/>
        <v>-34.597993749422493</v>
      </c>
      <c r="HP91" s="26">
        <f t="shared" si="199"/>
        <v>561721.88493164815</v>
      </c>
      <c r="HQ91" s="26">
        <f t="shared" si="200"/>
        <v>532486.43339198432</v>
      </c>
      <c r="HR91" s="26">
        <f t="shared" si="201"/>
        <v>539504.04158370872</v>
      </c>
      <c r="HS91" s="26">
        <f t="shared" si="202"/>
        <v>548406.30806825135</v>
      </c>
      <c r="HT91" s="26">
        <f t="shared" si="203"/>
        <v>559877.47808606667</v>
      </c>
      <c r="HU91" s="26">
        <f t="shared" si="204"/>
        <v>574586.03001866851</v>
      </c>
      <c r="HV91" s="26">
        <f t="shared" si="205"/>
        <v>593346.40794916509</v>
      </c>
      <c r="HW91" s="26">
        <f t="shared" si="206"/>
        <v>617149.80562403938</v>
      </c>
      <c r="HX91" s="26">
        <f t="shared" si="207"/>
        <v>647209.90827360074</v>
      </c>
      <c r="HY91" s="26">
        <f t="shared" si="208"/>
        <v>684998.51100444328</v>
      </c>
      <c r="HZ91" s="26">
        <f t="shared" si="209"/>
        <v>732307.71220237098</v>
      </c>
      <c r="IA91" s="26">
        <f t="shared" si="210"/>
        <v>791349.88690080261</v>
      </c>
      <c r="IB91" s="26">
        <f t="shared" si="211"/>
        <v>864904.53650972922</v>
      </c>
      <c r="IC91" s="26">
        <f t="shared" si="212"/>
        <v>956490.37942145474</v>
      </c>
      <c r="ID91" s="26">
        <f t="shared" si="213"/>
        <v>1070525.2080983524</v>
      </c>
      <c r="IE91" s="26">
        <f t="shared" si="214"/>
        <v>1212757.0051268302</v>
      </c>
      <c r="IF91" s="26">
        <f t="shared" si="215"/>
        <v>1390980.027806422</v>
      </c>
      <c r="IG91" s="26">
        <f t="shared" si="216"/>
        <v>1615780.8484749394</v>
      </c>
      <c r="IH91" s="26">
        <f t="shared" si="217"/>
        <v>1901340.820761608</v>
      </c>
      <c r="II91" s="26">
        <f t="shared" si="218"/>
        <v>-49018396522.165253</v>
      </c>
      <c r="IJ91" s="26">
        <f t="shared" si="219"/>
        <v>582651.24088859418</v>
      </c>
      <c r="IK91" s="26">
        <f t="shared" si="220"/>
        <v>551758.24827164772</v>
      </c>
      <c r="IL91" s="26">
        <f t="shared" si="221"/>
        <v>558241.48280578561</v>
      </c>
      <c r="IM91" s="26">
        <f t="shared" si="222"/>
        <v>566704.59394705016</v>
      </c>
      <c r="IN91" s="26">
        <f t="shared" si="223"/>
        <v>577855.70347688184</v>
      </c>
      <c r="IO91" s="26">
        <f t="shared" si="224"/>
        <v>592388.22088314791</v>
      </c>
      <c r="IP91" s="26">
        <f t="shared" si="225"/>
        <v>611146.80018764001</v>
      </c>
      <c r="IQ91" s="26">
        <f t="shared" si="226"/>
        <v>635159.29769728973</v>
      </c>
      <c r="IR91" s="26">
        <f t="shared" si="227"/>
        <v>665684.19383457478</v>
      </c>
      <c r="IS91" s="26">
        <f t="shared" si="228"/>
        <v>704247.76342761517</v>
      </c>
      <c r="IT91" s="26">
        <f t="shared" si="229"/>
        <v>752708.65740972711</v>
      </c>
      <c r="IU91" s="26">
        <f t="shared" si="230"/>
        <v>813361.5200444333</v>
      </c>
      <c r="IV91" s="26">
        <f t="shared" si="231"/>
        <v>889089.1260820356</v>
      </c>
      <c r="IW91" s="26">
        <f t="shared" si="232"/>
        <v>983540.96237911971</v>
      </c>
      <c r="IX91" s="26">
        <f t="shared" si="233"/>
        <v>1101299.8029141899</v>
      </c>
      <c r="IY91" s="26">
        <f t="shared" si="234"/>
        <v>1248328.1154171256</v>
      </c>
      <c r="IZ91" s="26">
        <f t="shared" si="235"/>
        <v>1432709.4286406147</v>
      </c>
      <c r="JA91" s="26">
        <f t="shared" si="236"/>
        <v>1665422.9714220776</v>
      </c>
      <c r="JB91" s="26">
        <f t="shared" si="237"/>
        <v>1961179.1128806307</v>
      </c>
      <c r="JC91" s="26">
        <f t="shared" si="238"/>
        <v>-50488943385.732422</v>
      </c>
      <c r="JD91" s="26">
        <f t="shared" si="239"/>
        <v>103709.90333340556</v>
      </c>
      <c r="JE91" s="26">
        <f t="shared" si="240"/>
        <v>189692.632754397</v>
      </c>
      <c r="JF91" s="26">
        <f t="shared" si="241"/>
        <v>281990.87632821512</v>
      </c>
      <c r="JG91" s="26">
        <f t="shared" si="242"/>
        <v>382018.21058010752</v>
      </c>
      <c r="JH91" s="26">
        <f t="shared" si="243"/>
        <v>491174.40642715176</v>
      </c>
      <c r="JI91" s="26">
        <f t="shared" si="244"/>
        <v>611146.80018764001</v>
      </c>
      <c r="JJ91" s="26">
        <f t="shared" si="245"/>
        <v>743971.72109901893</v>
      </c>
      <c r="JK91" s="26">
        <f t="shared" si="246"/>
        <v>892122.55935964617</v>
      </c>
      <c r="JL91" s="26">
        <f t="shared" si="247"/>
        <v>1058578.621671485</v>
      </c>
      <c r="JM91" s="26">
        <f t="shared" si="248"/>
        <v>1246948.1697244956</v>
      </c>
      <c r="JN91" s="26">
        <f t="shared" si="249"/>
        <v>1461664.3110734327</v>
      </c>
      <c r="JO91" s="26">
        <f t="shared" si="250"/>
        <v>1708272.0475735075</v>
      </c>
      <c r="JP91" s="26">
        <f t="shared" si="251"/>
        <v>1993763.7528632733</v>
      </c>
      <c r="JQ91" s="26">
        <f t="shared" si="252"/>
        <v>2326890.3943980653</v>
      </c>
      <c r="JR91" s="26">
        <f t="shared" si="253"/>
        <v>2719005.110115272</v>
      </c>
      <c r="JS91" s="26">
        <f t="shared" si="254"/>
        <v>3185461.9410396004</v>
      </c>
      <c r="JT91" s="26">
        <f t="shared" si="255"/>
        <v>3747070.8637557356</v>
      </c>
      <c r="JU91" s="26">
        <f t="shared" si="256"/>
        <v>4431663.9960284401</v>
      </c>
      <c r="JV91" s="26">
        <f t="shared" si="257"/>
        <v>-50486006953.574493</v>
      </c>
      <c r="JW91" s="26">
        <f t="shared" si="258"/>
        <v>3605504.8232371639</v>
      </c>
      <c r="JX91" s="26" t="e">
        <f>AH91+$AG$38*0.004*(1+$R$28)*#REF!-S91*#REF!</f>
        <v>#REF!</v>
      </c>
      <c r="JY91" s="34">
        <f t="shared" si="259"/>
        <v>6.7517545772976265E-2</v>
      </c>
      <c r="JZ91" s="4">
        <f t="shared" si="260"/>
        <v>40728.757081658812</v>
      </c>
      <c r="KA91" s="165"/>
    </row>
    <row r="92" spans="1:287" ht="15.75" x14ac:dyDescent="0.3">
      <c r="A92" s="34">
        <v>91</v>
      </c>
      <c r="B92" s="34">
        <v>64</v>
      </c>
      <c r="C92" s="2">
        <v>765737</v>
      </c>
      <c r="D92" s="1">
        <f t="shared" si="106"/>
        <v>14647</v>
      </c>
      <c r="E92" s="145">
        <f t="shared" si="107"/>
        <v>0.98087202263962692</v>
      </c>
      <c r="F92" s="146">
        <f t="shared" si="108"/>
        <v>1.9127977360373083E-2</v>
      </c>
      <c r="G92" s="158">
        <f t="shared" ref="G92:G123" si="284">(1+majoration)*F92</f>
        <v>2.3909971700466354E-2</v>
      </c>
      <c r="H92" s="43">
        <f t="shared" si="109"/>
        <v>17120.692487783748</v>
      </c>
      <c r="I92" s="43">
        <f t="shared" si="139"/>
        <v>716048.21211268171</v>
      </c>
      <c r="J92" s="43">
        <f t="shared" si="110"/>
        <v>758413.5</v>
      </c>
      <c r="K92" s="147">
        <f>SUM(J92:$J$138)</f>
        <v>13414497.5</v>
      </c>
      <c r="L92" s="147">
        <f t="shared" si="111"/>
        <v>17.518413632879174</v>
      </c>
      <c r="M92" s="43">
        <f t="shared" ref="M92:M123" si="285">(1+majoration)*J92</f>
        <v>948016.875</v>
      </c>
      <c r="N92" s="148">
        <f t="shared" ref="N92:N123" si="286">(1+majoration)*K92</f>
        <v>16768121.875</v>
      </c>
      <c r="O92" s="147">
        <f t="shared" ref="O92:O133" si="287">(1+majoration)*L92</f>
        <v>21.898017041098967</v>
      </c>
      <c r="P92" s="157">
        <f t="shared" ref="P92:P123" si="288">I92*v^B92</f>
        <v>79206.327645063458</v>
      </c>
      <c r="Q92" s="43">
        <f t="shared" ref="Q92:Q123" si="289">C92*(1+majoration)</f>
        <v>957171.25</v>
      </c>
      <c r="R92" s="43">
        <f t="shared" ref="R92:R123" si="290">P92*v^0.5*G92</f>
        <v>1861.5245372443221</v>
      </c>
      <c r="S92" s="43">
        <f>SUM(R92:$R$138)</f>
        <v>48187.938512941255</v>
      </c>
      <c r="T92" s="43">
        <f t="shared" si="112"/>
        <v>660909.03465134406</v>
      </c>
      <c r="U92" s="153">
        <f>SUM(P92:$P$138)</f>
        <v>941559.25973365293</v>
      </c>
      <c r="V92" s="129">
        <f t="shared" ref="V92:V123" si="291">VLOOKUP(A92+n,A92:AF202,21)</f>
        <v>477758.13591450383</v>
      </c>
      <c r="W92" s="43">
        <f t="shared" ref="W92:W123" si="292">VLOOKUP(A92+n,A92:AF202,16)</f>
        <v>50159.326878211672</v>
      </c>
      <c r="X92" s="26">
        <f t="shared" si="114"/>
        <v>5.8556069648566211</v>
      </c>
      <c r="Y92" s="26">
        <f t="shared" si="115"/>
        <v>0.63327423918684678</v>
      </c>
      <c r="Z92" s="43">
        <f t="shared" ref="Z92:Z123" si="293">VLOOKUP(A92+n,A92:AF202,19)</f>
        <v>34593.194037780486</v>
      </c>
      <c r="AA92" s="149">
        <f t="shared" si="116"/>
        <v>0.17163710121849163</v>
      </c>
      <c r="AB92" s="150">
        <f t="shared" si="138"/>
        <v>862352.93208858941</v>
      </c>
      <c r="AC92" s="150">
        <f t="shared" si="117"/>
        <v>427598.80903629219</v>
      </c>
      <c r="AD92" s="26">
        <f t="shared" si="118"/>
        <v>5.4888812040434667</v>
      </c>
      <c r="AE92" s="26">
        <f t="shared" ref="AE92:AE123" si="294">(rd*Periodicité/(1+fractionnelentrente))*(AA92*0.5+$H$4-AD92-am*Y92)+(rv*Periodicité/(1+fractionnelentrente))*(1+am)*Y92</f>
        <v>578629.57758064731</v>
      </c>
      <c r="AF92" s="43">
        <f t="shared" ref="AF92:AF123" si="295">AE92/X92</f>
        <v>98816.327846692409</v>
      </c>
      <c r="AG92" s="43">
        <f t="shared" ref="AG92:AG123" si="296">AE92*(1+$H$7)+(rd*Periodicité/(1+fractionnelentrente))*gg*X92*$H$5+(rv*Periodicité/(1+fractionnelentrente))*grr*(1+am)*X92</f>
        <v>600928.54094502481</v>
      </c>
      <c r="AH92" s="27">
        <f t="shared" ref="AH92:AH123" si="297">AF92*(1+$H$7)+(rd*Periodicité/(1+fractionnelentrente))*gg*$H$5+(rv*Periodicité/(1+fractionnelentrente))*(gpp+grr)*(1+am)</f>
        <v>106467.26974429291</v>
      </c>
      <c r="AI92" s="28">
        <f t="shared" ref="AI92:AI123" si="298">AG92/(1-Frais_sur_versement)</f>
        <v>646159.72144626325</v>
      </c>
      <c r="AJ92" s="20">
        <f t="shared" ref="AJ92:AJ123" si="299">AH92/(1-Frais_sur_versement)</f>
        <v>114480.93520891712</v>
      </c>
      <c r="AK92" s="3">
        <f t="shared" ref="AK92:AK123" si="300">(AJ92/(period))*(1+frac)</f>
        <v>9921.6810514394838</v>
      </c>
      <c r="AL92" s="3"/>
      <c r="AM92" s="46">
        <f t="shared" si="121"/>
        <v>862352.93208858941</v>
      </c>
      <c r="AN92" s="46">
        <f t="shared" si="122"/>
        <v>787654.85808610427</v>
      </c>
      <c r="AO92" s="46">
        <f t="shared" si="122"/>
        <v>717357.87731688586</v>
      </c>
      <c r="AP92" s="3">
        <f t="shared" si="278"/>
        <v>651351.76418205327</v>
      </c>
      <c r="AQ92" s="3">
        <f t="shared" si="278"/>
        <v>589503.97809554788</v>
      </c>
      <c r="AR92" s="16">
        <f t="shared" si="278"/>
        <v>531683.16525119205</v>
      </c>
      <c r="AS92" s="16">
        <f t="shared" si="278"/>
        <v>477758.13591450383</v>
      </c>
      <c r="AT92" s="16">
        <f t="shared" si="278"/>
        <v>427598.80903629219</v>
      </c>
      <c r="AU92" s="16">
        <f t="shared" si="278"/>
        <v>381075.0024663306</v>
      </c>
      <c r="AV92" s="16">
        <f t="shared" si="278"/>
        <v>338054.11876679707</v>
      </c>
      <c r="AW92" s="16">
        <f t="shared" si="278"/>
        <v>298401.41214207554</v>
      </c>
      <c r="AX92" s="16">
        <f t="shared" si="278"/>
        <v>261981.18319677183</v>
      </c>
      <c r="AY92" s="16">
        <f t="shared" si="278"/>
        <v>228658.26391475086</v>
      </c>
      <c r="AZ92" s="16">
        <f t="shared" si="278"/>
        <v>198298.32110974428</v>
      </c>
      <c r="BA92" s="16">
        <f t="shared" si="278"/>
        <v>170766.16478295706</v>
      </c>
      <c r="BB92" s="16">
        <f t="shared" si="278"/>
        <v>145927.40926349355</v>
      </c>
      <c r="BC92" s="16">
        <f t="shared" si="278"/>
        <v>123651.69649989734</v>
      </c>
      <c r="BD92" s="16">
        <f t="shared" ref="BD92:BG107" si="301">BC93</f>
        <v>103812.40402277096</v>
      </c>
      <c r="BE92" s="16">
        <f t="shared" si="301"/>
        <v>86282.876870619526</v>
      </c>
      <c r="BF92" s="16">
        <f t="shared" si="301"/>
        <v>70930.687641563578</v>
      </c>
      <c r="BG92" s="16">
        <f t="shared" si="301"/>
        <v>57613.36985294702</v>
      </c>
      <c r="BH92" s="172">
        <f t="shared" si="123"/>
        <v>74698.07400248514</v>
      </c>
      <c r="BI92" s="16">
        <f t="shared" si="277"/>
        <v>70296.980769218397</v>
      </c>
      <c r="BJ92" s="16">
        <f t="shared" si="277"/>
        <v>66006.113134832645</v>
      </c>
      <c r="BK92" s="16">
        <f t="shared" si="277"/>
        <v>61847.786086505286</v>
      </c>
      <c r="BL92" s="16">
        <f t="shared" si="277"/>
        <v>57820.812844355773</v>
      </c>
      <c r="BM92" s="16">
        <f t="shared" si="277"/>
        <v>53925.029336687992</v>
      </c>
      <c r="BN92" s="16">
        <f t="shared" si="277"/>
        <v>50159.326878211672</v>
      </c>
      <c r="BO92" s="16">
        <f t="shared" si="277"/>
        <v>46523.806569961562</v>
      </c>
      <c r="BP92" s="16">
        <f t="shared" si="277"/>
        <v>43020.8836995335</v>
      </c>
      <c r="BQ92" s="16">
        <f t="shared" si="277"/>
        <v>39652.706624721577</v>
      </c>
      <c r="BR92" s="16">
        <f t="shared" si="277"/>
        <v>36420.228945303788</v>
      </c>
      <c r="BS92" s="16">
        <f t="shared" si="277"/>
        <v>33322.919282020994</v>
      </c>
      <c r="BT92" s="16">
        <f t="shared" si="277"/>
        <v>30359.942805006591</v>
      </c>
      <c r="BU92" s="16">
        <f t="shared" si="277"/>
        <v>27532.156326787204</v>
      </c>
      <c r="BV92" s="16">
        <f t="shared" si="277"/>
        <v>24838.755519463502</v>
      </c>
      <c r="BW92" s="16">
        <f t="shared" si="277"/>
        <v>22275.712763596202</v>
      </c>
      <c r="BX92" s="16">
        <f t="shared" si="277"/>
        <v>19839.292477126361</v>
      </c>
      <c r="BY92" s="16">
        <f t="shared" si="149"/>
        <v>17529.527152151433</v>
      </c>
      <c r="BZ92" s="16">
        <f t="shared" si="149"/>
        <v>15352.18922905595</v>
      </c>
      <c r="CA92" s="16">
        <f t="shared" si="149"/>
        <v>13317.317788616554</v>
      </c>
      <c r="CB92" s="16">
        <f t="shared" si="149"/>
        <v>11435.760006976861</v>
      </c>
      <c r="CC92" s="18">
        <f t="shared" si="124"/>
        <v>5.1486574628589548</v>
      </c>
      <c r="CD92" s="18">
        <f t="shared" si="124"/>
        <v>4.4083930601369135</v>
      </c>
      <c r="CE92" s="18">
        <f t="shared" si="124"/>
        <v>3.6299628931784627</v>
      </c>
      <c r="CF92" s="18">
        <f t="shared" si="124"/>
        <v>2.8067880720054785</v>
      </c>
      <c r="CG92" s="18">
        <f t="shared" si="280"/>
        <v>1.9326231625599191</v>
      </c>
      <c r="CH92" s="18">
        <f t="shared" si="150"/>
        <v>1.0000000000000042</v>
      </c>
      <c r="CI92" s="18">
        <f t="shared" si="150"/>
        <v>0</v>
      </c>
      <c r="CJ92" s="18">
        <f t="shared" si="150"/>
        <v>-1.0781432255072045</v>
      </c>
      <c r="CK92" s="18">
        <f t="shared" si="150"/>
        <v>-2.2473534975112943</v>
      </c>
      <c r="CL92" s="18">
        <f t="shared" si="151"/>
        <v>-3.5231899418590498</v>
      </c>
      <c r="CM92" s="18">
        <f t="shared" si="151"/>
        <v>-4.9246456973619734</v>
      </c>
      <c r="CN92" s="18">
        <f t="shared" si="151"/>
        <v>-6.4753316146029265</v>
      </c>
      <c r="CO92" s="18">
        <f t="shared" si="151"/>
        <v>-8.2048860763556668</v>
      </c>
      <c r="CP92" s="18">
        <f t="shared" si="271"/>
        <v>-10.150306117972359</v>
      </c>
      <c r="CQ92" s="18">
        <f t="shared" si="272"/>
        <v>-12.359394209222344</v>
      </c>
      <c r="CR92" s="18">
        <f t="shared" si="273"/>
        <v>-14.896525654312637</v>
      </c>
      <c r="CS92" s="18">
        <f t="shared" si="267"/>
        <v>-17.848743337136252</v>
      </c>
      <c r="CT92" s="18">
        <f t="shared" si="125"/>
        <v>-21.332334217916301</v>
      </c>
      <c r="CU92" s="18">
        <f t="shared" si="125"/>
        <v>-25.499637426496026</v>
      </c>
      <c r="CV92" s="18">
        <f t="shared" si="125"/>
        <v>-30.548752739135676</v>
      </c>
      <c r="CW92" s="18">
        <f t="shared" si="125"/>
        <v>-36.739557826085019</v>
      </c>
      <c r="CX92" s="17">
        <f t="shared" ref="CX92:CX123" si="302">R93</f>
        <v>1907.6029537269662</v>
      </c>
      <c r="CY92" s="17">
        <f t="shared" si="264"/>
        <v>1946.8763483882083</v>
      </c>
      <c r="CZ92" s="17">
        <f t="shared" si="264"/>
        <v>1959.6554972111114</v>
      </c>
      <c r="DA92" s="17">
        <f t="shared" si="264"/>
        <v>1969.0822058508145</v>
      </c>
      <c r="DB92" s="17">
        <f t="shared" si="264"/>
        <v>1974.1568515841511</v>
      </c>
      <c r="DC92" s="17">
        <f t="shared" si="264"/>
        <v>1975.8460811551965</v>
      </c>
      <c r="DD92" s="17">
        <f t="shared" si="263"/>
        <v>1972.9572612906529</v>
      </c>
      <c r="DE92" s="17">
        <f t="shared" si="263"/>
        <v>1963.1325772642524</v>
      </c>
      <c r="DF92" s="3" t="e">
        <f>#REF!+$AG$35*0.004*(1+$R$28)*#REF!-S92*#REF!</f>
        <v>#REF!</v>
      </c>
      <c r="DG92" s="19">
        <f t="shared" ref="DG92:DG123" si="303">CX92+rv*0.004*(1+am)*CC92-$O92*CC92</f>
        <v>2938.00693016692</v>
      </c>
      <c r="DH92" s="19">
        <f t="shared" ref="DH92:DH123" si="304">CY92+rv*0.004*(1+am)*CD92-$O92*CD92</f>
        <v>2829.1307558028057</v>
      </c>
      <c r="DI92" s="19">
        <f t="shared" ref="DI92:DI123" si="305">CZ92+rv*0.004*(1+am)*CE92-$O92*CE92</f>
        <v>2686.1221977912724</v>
      </c>
      <c r="DJ92" s="19">
        <f t="shared" ref="DJ92:DJ123" si="306">DA92+rv*0.004*(1+am)*CF92-$O92*CF92</f>
        <v>2530.8064245003752</v>
      </c>
      <c r="DK92" s="19">
        <f t="shared" ref="DK92:DK123" si="307">DB92+rv*0.004*(1+am)*CG92-$O92*CG92</f>
        <v>2360.9339106577067</v>
      </c>
      <c r="DL92" s="19">
        <f t="shared" ref="DL92:DL123" si="308">DC92+rv*0.004*(1+am)*CH92-$O92*CH92</f>
        <v>2175.9766945962765</v>
      </c>
      <c r="DM92" s="19">
        <f t="shared" ref="DM92:DM123" si="309">DD92+rv*0.004*(1+am)*CI92-$O92*CI92</f>
        <v>1972.9572612906529</v>
      </c>
      <c r="DN92" s="19">
        <f t="shared" ref="DN92:DN123" si="310">DE92+rv*0.004*(1+am)*CJ92-$O92*CJ92</f>
        <v>1747.3631121661517</v>
      </c>
      <c r="DO92" s="25"/>
      <c r="DP92" s="25"/>
      <c r="DW92" s="26">
        <f t="shared" si="279"/>
        <v>0</v>
      </c>
      <c r="DX92" s="26">
        <f t="shared" si="279"/>
        <v>0</v>
      </c>
      <c r="DY92" s="26">
        <f t="shared" si="279"/>
        <v>0</v>
      </c>
      <c r="DZ92" s="26">
        <f t="shared" si="279"/>
        <v>0</v>
      </c>
      <c r="EA92" s="26">
        <f t="shared" si="279"/>
        <v>0</v>
      </c>
      <c r="EB92" s="26">
        <f t="shared" si="279"/>
        <v>0</v>
      </c>
      <c r="EC92" s="26">
        <f t="shared" si="279"/>
        <v>0</v>
      </c>
      <c r="ED92" s="26">
        <f t="shared" si="279"/>
        <v>0</v>
      </c>
      <c r="EE92" s="26">
        <f t="shared" si="279"/>
        <v>0</v>
      </c>
      <c r="EF92" s="26">
        <f t="shared" ref="EC92:EI107" si="311">EE93</f>
        <v>0</v>
      </c>
      <c r="EG92" s="26">
        <f t="shared" si="311"/>
        <v>0</v>
      </c>
      <c r="EH92" s="26">
        <f t="shared" si="311"/>
        <v>0</v>
      </c>
      <c r="EI92" s="26">
        <f t="shared" si="311"/>
        <v>0</v>
      </c>
      <c r="ER92" s="26">
        <f t="shared" ref="ER92:FD118" si="312">(DW92-$Z92)/BP92</f>
        <v>-0.80410235827293342</v>
      </c>
      <c r="ES92" s="26">
        <f t="shared" si="312"/>
        <v>-0.87240435729079013</v>
      </c>
      <c r="ET92" s="26">
        <f t="shared" si="312"/>
        <v>-0.94983461223521803</v>
      </c>
      <c r="EU92" s="26">
        <f t="shared" si="312"/>
        <v>-1.0381201522294252</v>
      </c>
      <c r="EV92" s="26">
        <f t="shared" si="312"/>
        <v>-1.1394354152760722</v>
      </c>
      <c r="EW92" s="26">
        <f t="shared" si="312"/>
        <v>-1.2564651176313166</v>
      </c>
      <c r="EX92" s="26">
        <f t="shared" si="312"/>
        <v>-1.3927104363450682</v>
      </c>
      <c r="EY92" s="26">
        <f t="shared" si="269"/>
        <v>-1.5529556519652188</v>
      </c>
      <c r="EZ92" s="26">
        <f t="shared" si="269"/>
        <v>-1.743670752254123</v>
      </c>
      <c r="FA92" s="26">
        <f t="shared" si="269"/>
        <v>-1.9734242536904252</v>
      </c>
      <c r="FB92" s="26">
        <f t="shared" si="269"/>
        <v>-2.253306907675976</v>
      </c>
      <c r="FC92" s="26">
        <f t="shared" si="269"/>
        <v>-2.5976097129220896</v>
      </c>
      <c r="FD92" s="26">
        <f t="shared" si="269"/>
        <v>-3.0250017503581281</v>
      </c>
      <c r="FM92" s="26">
        <f t="shared" ref="FM92:FR138" si="313">(AV92-$AC92)/BP92</f>
        <v>-2.0814237776911613</v>
      </c>
      <c r="FN92" s="26">
        <f t="shared" si="313"/>
        <v>-3.2582239118493925</v>
      </c>
      <c r="FO92" s="26">
        <f t="shared" si="281"/>
        <v>-4.5474075983499809</v>
      </c>
      <c r="FP92" s="26">
        <f t="shared" si="158"/>
        <v>-5.9700815357097916</v>
      </c>
      <c r="FQ92" s="26">
        <f t="shared" si="158"/>
        <v>-7.5527312221660203</v>
      </c>
      <c r="FR92" s="26">
        <f t="shared" si="158"/>
        <v>-9.3284609169334018</v>
      </c>
      <c r="FS92" s="26">
        <f t="shared" si="158"/>
        <v>-11.339996464479977</v>
      </c>
      <c r="FT92" s="26">
        <f t="shared" si="274"/>
        <v>-13.644776073478399</v>
      </c>
      <c r="FU92" s="26">
        <f t="shared" si="268"/>
        <v>-16.32046129602805</v>
      </c>
      <c r="FV92" s="26">
        <f t="shared" si="131"/>
        <v>-19.470914942721787</v>
      </c>
      <c r="FW92" s="26">
        <f t="shared" si="131"/>
        <v>-23.232394811789401</v>
      </c>
      <c r="GH92" s="26">
        <f t="shared" ref="GH92:GM138" si="314">$W92/BP92</f>
        <v>1.1659297198201342</v>
      </c>
      <c r="GI92" s="26">
        <f t="shared" si="314"/>
        <v>1.2649660300096568</v>
      </c>
      <c r="GJ92" s="26">
        <f t="shared" si="282"/>
        <v>1.3772380990119908</v>
      </c>
      <c r="GK92" s="26">
        <f t="shared" si="162"/>
        <v>1.5052500788931351</v>
      </c>
      <c r="GL92" s="26">
        <f t="shared" si="162"/>
        <v>1.6521548541896465</v>
      </c>
      <c r="GM92" s="26">
        <f t="shared" si="162"/>
        <v>1.8218452010389588</v>
      </c>
      <c r="GN92" s="26">
        <f t="shared" si="162"/>
        <v>2.0193977447423692</v>
      </c>
      <c r="GO92" s="26">
        <f t="shared" si="275"/>
        <v>2.2517495808342396</v>
      </c>
      <c r="GP92" s="26">
        <f t="shared" si="265"/>
        <v>2.5282820411082039</v>
      </c>
      <c r="GQ92" s="26">
        <f t="shared" si="134"/>
        <v>2.8614192751945118</v>
      </c>
      <c r="GR92" s="26">
        <f t="shared" si="134"/>
        <v>3.2672426147066265</v>
      </c>
      <c r="GS92" s="26">
        <f t="shared" si="134"/>
        <v>3.7664736754338866</v>
      </c>
      <c r="GT92" s="26">
        <f t="shared" ref="GT92:GT138" si="315">$W92/CB92</f>
        <v>4.3861821905679976</v>
      </c>
      <c r="HC92" s="26">
        <f t="shared" ref="HC92:HH138" si="316">(AU92-$V92)/BP92</f>
        <v>-2.2473534975112943</v>
      </c>
      <c r="HD92" s="26">
        <f t="shared" si="316"/>
        <v>-3.5231899418590498</v>
      </c>
      <c r="HE92" s="26">
        <f t="shared" si="283"/>
        <v>-4.9246456973619734</v>
      </c>
      <c r="HF92" s="26">
        <f t="shared" si="166"/>
        <v>-6.4753316146029265</v>
      </c>
      <c r="HG92" s="26">
        <f t="shared" si="166"/>
        <v>-8.2048860763556668</v>
      </c>
      <c r="HH92" s="26">
        <f t="shared" si="166"/>
        <v>-10.150306117972359</v>
      </c>
      <c r="HI92" s="26">
        <f t="shared" si="166"/>
        <v>-12.359394209222344</v>
      </c>
      <c r="HJ92" s="26">
        <f t="shared" si="276"/>
        <v>-14.896525654312637</v>
      </c>
      <c r="HK92" s="26">
        <f t="shared" si="266"/>
        <v>-17.848743337136252</v>
      </c>
      <c r="HL92" s="26">
        <f t="shared" si="137"/>
        <v>-21.332334217916301</v>
      </c>
      <c r="HM92" s="26">
        <f t="shared" si="137"/>
        <v>-25.499637426496026</v>
      </c>
      <c r="HN92" s="26">
        <f t="shared" si="137"/>
        <v>-30.548752739135676</v>
      </c>
      <c r="HO92" s="26">
        <f t="shared" ref="HO92:HO138" si="317">(BG92-$V92)/CB92</f>
        <v>-36.739557826085019</v>
      </c>
      <c r="HP92" s="26">
        <f t="shared" ref="HP92:HP123" si="318">(rd*Periodicité/(1+fractionnelentrente))*(0.5*EJ92+am_n_1-FE92-am*FZ92)+(rv*Periodicité/(1+fractionnelentrente))*(1+am)*FZ92</f>
        <v>1031889.3409120624</v>
      </c>
      <c r="HX92" s="26">
        <f t="shared" ref="HX92:HX123" si="319">(rd*Periodicité/(1+fractionnelentrente))*(0.5*ER92+am_n_9-FM92-am*GH92)+(rv*Periodicité/(1+fractionnelentrente))*(1+am)*GH92</f>
        <v>647334.71467420459</v>
      </c>
      <c r="HY92" s="26">
        <f t="shared" ref="HY92:HY123" si="320">(rd*Periodicité/(1+fractionnelentrente))*(0.5*ES92+am_n_10-FN92-am*GI92)+(rv*Periodicité/(1+fractionnelentrente))*(1+am)*GI92</f>
        <v>686280.99290876545</v>
      </c>
      <c r="HZ92" s="26">
        <f t="shared" ref="HZ92:HZ123" si="321">(rd*Periodicité/(1+fractionnelentrente))*(0.5*ET92+am_n_11-FO92-am*GJ92)+(rv*Periodicité/(1+fractionnelentrente))*(1+am)*GJ92</f>
        <v>735485.60057812906</v>
      </c>
      <c r="IA92" s="26">
        <f t="shared" ref="IA92:IA123" si="322">(rd*Periodicité/(1+fractionnelentrente))*(0.5*EU92+am_n_12-FP92-am*GK92)+(rv*Periodicité/(1+fractionnelentrente))*(1+am)*GK92</f>
        <v>797429.5123255431</v>
      </c>
      <c r="IB92" s="26">
        <f t="shared" ref="IB92:IB123" si="323">(rd*Periodicité/(1+fractionnelentrente))*(0.5*EV92+am_n_13-FQ92-am*GL92)+(rv*Periodicité/(1+fractionnelentrente))*(1+am)*GL92</f>
        <v>875254.58934472676</v>
      </c>
      <c r="IC92" s="26">
        <f t="shared" ref="IC92:IC123" si="324">(rd*Periodicité/(1+fractionnelentrente))*(0.5*EW92+am_n_14-FR92-am*GM92)+(rv*Periodicité/(1+fractionnelentrente))*(1+am)*GM92</f>
        <v>972912.4131948672</v>
      </c>
      <c r="ID92" s="26">
        <f t="shared" ref="ID92:ID123" si="325">(rd*Periodicité/(1+fractionnelentrente))*(0.5*EX92+am_n_15-FS92-am*GN92)+(rv*Periodicité/(1+fractionnelentrente))*(1+am)*GN92</f>
        <v>1095541.6961663063</v>
      </c>
      <c r="IE92" s="26">
        <f t="shared" ref="IE92:IE123" si="326">(rd*Periodicité/(1+fractionnelentrente))*(0.5*EY92+am_n_16-FT92-am*GO92)+(rv*Periodicité/(1+fractionnelentrente))*(1+am)*GO92</f>
        <v>1250102.5120538515</v>
      </c>
      <c r="IF92" s="26">
        <f t="shared" ref="IF92:IF123" si="327">(rd*Periodicité/(1+fractionnelentrente))*(0.5*EZ92+am_n_17-FU92-am*GP92)+(rv*Periodicité/(1+fractionnelentrente))*(1+am)*GP92</f>
        <v>1446051.7167495226</v>
      </c>
      <c r="IG92" s="26">
        <f t="shared" ref="IG92:IG123" si="328">(rd*Periodicité/(1+fractionnelentrente))*(0.5*FA92+am_n_18-FV92-am*GQ92)+(rv*Periodicité/(1+fractionnelentrente))*(1+am)*GQ92</f>
        <v>1696073.0025444825</v>
      </c>
      <c r="IH92" s="26">
        <f t="shared" ref="IH92:IH123" si="329">(rd*Periodicité/(1+fractionnelentrente))*(0.5*FB92+am_n_19-FW92-am*GR92)+(rv*Periodicité/(1+fractionnelentrente))*(1+am)*GR92</f>
        <v>2016832.8713098704</v>
      </c>
      <c r="II92" s="26">
        <f t="shared" ref="II92:II123" si="330">(rd*Periodicité/(1+fractionnelentrente))*(0.5*FC92+am_n_20-FX92-am*GS92)+(rv*Periodicité/(1+fractionnelentrente))*(1+am)*GS92</f>
        <v>-754756.36554530216</v>
      </c>
      <c r="IR92" s="26">
        <f t="shared" ref="IR92:IR123" si="331">HX92*(1+$H$7)+(rd*Periodicité/(1+fractionnelentrente))*gg*HC92*am_n_2_9+(rv*Periodicité/(1+fractionnelentrente))*grr*(1+am)*HC92</f>
        <v>665808.48090581864</v>
      </c>
      <c r="IS92" s="26">
        <f t="shared" ref="IS92:IS123" si="332">HY92*(1+$H$7)+(rd*Periodicité/(1+fractionnelentrente))*gg*HD92*am_n_2_10+(rv*Periodicité/(1+fractionnelentrente))*grr*(1+am)*HD92</f>
        <v>705560.4066065395</v>
      </c>
      <c r="IT92" s="26">
        <f t="shared" ref="IT92:IT123" si="333">HZ92*(1+$H$7)+(rd*Periodicité/(1+fractionnelentrente))*gg*HE92*am_n_2_11+(rv*Periodicité/(1+fractionnelentrente))*grr*(1+am)*HE92</f>
        <v>755968.54683948983</v>
      </c>
      <c r="IU92" s="26">
        <f t="shared" ref="IU92:IU123" si="334">IA92*(1+$H$7)+(rd*Periodicité/(1+fractionnelentrente))*gg*HF92*am_n_2_12+(rv*Periodicité/(1+fractionnelentrente))*grr*(1+am)*HF92</f>
        <v>819604.62636176776</v>
      </c>
      <c r="IV92" s="26">
        <f t="shared" ref="IV92:IV123" si="335">IB92*(1+$H$7)+(rd*Periodicité/(1+fractionnelentrente))*gg*HG92*am_n_2_13+(rv*Periodicité/(1+fractionnelentrente))*grr*(1+am)*HG92</f>
        <v>899725.44305544265</v>
      </c>
      <c r="IW92" s="26">
        <f t="shared" ref="IW92:IW123" si="336">IC92*(1+$H$7)+(rd*Periodicité/(1+fractionnelentrente))*gg*HH92*am_n_2_14+(rv*Periodicité/(1+fractionnelentrente))*grr*(1+am)*HH92</f>
        <v>1000427.7808345106</v>
      </c>
      <c r="IX92" s="26">
        <f t="shared" ref="IX92:IX123" si="337">ID92*(1+$H$7)+(rd*Periodicité/(1+fractionnelentrente))*gg*HI92*am_n_2_15+(rv*Periodicité/(1+fractionnelentrente))*grr*(1+am)*HI92</f>
        <v>1127039.044247855</v>
      </c>
      <c r="IY92" s="26">
        <f t="shared" ref="IY92:IY123" si="338">IE92*(1+$H$7)+(rd*Periodicité/(1+fractionnelentrente))*gg*HJ92*am_n_2_16+(rv*Periodicité/(1+fractionnelentrente))*grr*(1+am)*HJ92</f>
        <v>1286773.5373718194</v>
      </c>
      <c r="IZ92" s="26">
        <f t="shared" ref="IZ92:IZ123" si="339">IF92*(1+$H$7)+(rd*Periodicité/(1+fractionnelentrente))*gg*HK92*am_n_2_17+(rv*Periodicité/(1+fractionnelentrente))*grr*(1+am)*HK92</f>
        <v>1489433.2682520084</v>
      </c>
      <c r="JA92" s="26">
        <f t="shared" ref="JA92:JA123" si="340">IG92*(1+$H$7)+(rd*Periodicité/(1+fractionnelentrente))*gg*HL92*am_n_2_18+(rv*Periodicité/(1+fractionnelentrente))*grr*(1+am)*HL92</f>
        <v>1748167.3890852351</v>
      </c>
      <c r="JB92" s="26">
        <f t="shared" ref="JB92:JB123" si="341">IH92*(1+$H$7)+(rd*Periodicité/(1+fractionnelentrente))*gg*HM92*am_n_2_19+(rv*Periodicité/(1+fractionnelentrente))*grr*(1+am)*HM92</f>
        <v>2080260.9985779999</v>
      </c>
      <c r="JC92" s="26">
        <f t="shared" ref="JC92:JC123" si="342">II92*(1+$H$7)+(rd*Periodicité/(1+fractionnelentrente))*gg*HN92*am_n_2_20+(rv*Periodicité/(1+fractionnelentrente))*grr*(1+am)*HN92</f>
        <v>-772100.44136766798</v>
      </c>
      <c r="JI92" s="26">
        <f t="shared" ref="JI92:JI138" si="343">IP92+(rv*Periodicité/(1+fractionnelentrente))*gpp*(1+am)*HA92-$AH92*HA92</f>
        <v>0</v>
      </c>
      <c r="JJ92" s="26">
        <f t="shared" ref="JJ92:JJ138" si="344">IQ92+(rv*Periodicité/(1+fractionnelentrente))*gpp*(1+am)*HB92-$AH92*HB92</f>
        <v>0</v>
      </c>
      <c r="JK92" s="26">
        <f t="shared" ref="JK92:JK138" si="345">IR92+(rv*Periodicité/(1+fractionnelentrente))*gpp*(1+am)*HC92-$AH92*HC92</f>
        <v>896441.93467968004</v>
      </c>
      <c r="JL92" s="26">
        <f t="shared" ref="JL92:JL138" si="346">IS92+(rv*Periodicité/(1+fractionnelentrente))*gpp*(1+am)*HD92-$AH92*HD92</f>
        <v>1067125.8948539882</v>
      </c>
      <c r="JM92" s="26">
        <f t="shared" ref="JM92:JM138" si="347">IT92+(rv*Periodicité/(1+fractionnelentrente))*gpp*(1+am)*HE92-$AH92*HE92</f>
        <v>1261357.6843529888</v>
      </c>
      <c r="JN92" s="26">
        <f t="shared" ref="JN92:JN138" si="348">IU92+(rv*Periodicité/(1+fractionnelentrente))*gpp*(1+am)*HF92-$AH92*HF92</f>
        <v>1484132.0788790332</v>
      </c>
      <c r="JO92" s="26">
        <f t="shared" ref="JO92:JO138" si="349">IV92+(rv*Periodicité/(1+fractionnelentrente))*gpp*(1+am)*HG92-$AH92*HG92</f>
        <v>1741747.4995349948</v>
      </c>
      <c r="JP92" s="26">
        <f t="shared" ref="JP92:JP138" si="350">IW92+(rv*Periodicité/(1+fractionnelentrente))*gpp*(1+am)*HH92-$AH92*HH92</f>
        <v>2042097.5312508694</v>
      </c>
      <c r="JQ92" s="26">
        <f t="shared" ref="JQ92:JQ138" si="351">IX92+(rv*Periodicité/(1+fractionnelentrente))*gpp*(1+am)*HI92-$AH92*HI92</f>
        <v>2395415.2815341684</v>
      </c>
      <c r="JR92" s="26">
        <f t="shared" ref="JR92:JR138" si="352">IY92+(rv*Periodicité/(1+fractionnelentrente))*gpp*(1+am)*HJ92-$AH92*HJ92</f>
        <v>2815521.535712827</v>
      </c>
      <c r="JS92" s="26">
        <f t="shared" ref="JS92:JS138" si="353">IZ92+(rv*Periodicité/(1+fractionnelentrente))*gpp*(1+am)*HK92-$AH92*HK92</f>
        <v>3321151.0313567165</v>
      </c>
      <c r="JT92" s="26">
        <f t="shared" ref="JT92:JT138" si="354">JA92+(rv*Periodicité/(1+fractionnelentrente))*gpp*(1+am)*HL92-$AH92*HL92</f>
        <v>3937386.8079192918</v>
      </c>
      <c r="JU92" s="26">
        <f t="shared" ref="JU92:JU138" si="355">JB92+(rv*Periodicité/(1+fractionnelentrente))*gpp*(1+am)*HM92-$AH92*HM92</f>
        <v>4697147.6860380098</v>
      </c>
      <c r="JV92" s="26">
        <f t="shared" ref="JV92:JV138" si="356">JC92+(rv*Periodicité/(1+fractionnelentrente))*gpp*(1+am)*HN92-$AH92*HN92</f>
        <v>2362949.0114722103</v>
      </c>
      <c r="JW92" s="26">
        <f t="shared" ref="JW92:JW138" si="357">JD92+(rv*Periodicité/(1+fractionnelentrente))*gpp*(1+am)*HO92-$AH92*HO92</f>
        <v>3770377.5222446527</v>
      </c>
      <c r="JY92" s="34">
        <f t="shared" ref="JY92:JY123" si="358">F92+$J$8</f>
        <v>6.9127977360373086E-2</v>
      </c>
      <c r="JZ92" s="4">
        <f t="shared" ref="JZ92:JZ123" si="359">IJ92+rv*gpp*(1+am)*GU92-$AH92*GU92</f>
        <v>0</v>
      </c>
      <c r="KA92" s="165"/>
    </row>
    <row r="93" spans="1:287" ht="15.75" x14ac:dyDescent="0.3">
      <c r="A93" s="34">
        <v>92</v>
      </c>
      <c r="B93" s="34">
        <v>65</v>
      </c>
      <c r="C93" s="2">
        <v>751090</v>
      </c>
      <c r="D93" s="1">
        <f t="shared" ref="D93:D133" si="360">C93-C94</f>
        <v>15611</v>
      </c>
      <c r="E93" s="145">
        <f t="shared" ref="E93:E133" si="361">C94/C93</f>
        <v>0.97921554008174783</v>
      </c>
      <c r="F93" s="146">
        <f t="shared" ref="F93:F133" si="362">1-E93</f>
        <v>2.0784459918252174E-2</v>
      </c>
      <c r="G93" s="158">
        <f t="shared" si="284"/>
        <v>2.5980574897815217E-2</v>
      </c>
      <c r="H93" s="43">
        <f t="shared" ref="H93:H133" si="363">+G93*I93</f>
        <v>18158.538771758878</v>
      </c>
      <c r="I93" s="43">
        <f t="shared" si="139"/>
        <v>698927.51962489798</v>
      </c>
      <c r="J93" s="43">
        <f t="shared" ref="J93:J133" si="364">(C93+C94)/2</f>
        <v>743284.5</v>
      </c>
      <c r="K93" s="147">
        <f>SUM(J93:$J$138)</f>
        <v>12656084</v>
      </c>
      <c r="L93" s="147">
        <f t="shared" ref="L93:L133" si="365">K93/C93</f>
        <v>16.850289579144977</v>
      </c>
      <c r="M93" s="43">
        <f t="shared" si="285"/>
        <v>929105.625</v>
      </c>
      <c r="N93" s="148">
        <f t="shared" si="286"/>
        <v>15820105</v>
      </c>
      <c r="O93" s="147">
        <f t="shared" si="287"/>
        <v>21.06286197393122</v>
      </c>
      <c r="P93" s="157">
        <f t="shared" si="288"/>
        <v>74698.07400248514</v>
      </c>
      <c r="Q93" s="43">
        <f t="shared" si="289"/>
        <v>938862.5</v>
      </c>
      <c r="R93" s="43">
        <f t="shared" si="290"/>
        <v>1907.6029537269662</v>
      </c>
      <c r="S93" s="43">
        <f>SUM(R93:$R$138)</f>
        <v>46326.413975696931</v>
      </c>
      <c r="T93" s="43">
        <f t="shared" ref="T93:T133" si="366">SUM(S93:S203)</f>
        <v>612721.09613840294</v>
      </c>
      <c r="U93" s="153">
        <f>SUM(P93:$P$138)</f>
        <v>862352.93208858941</v>
      </c>
      <c r="V93" s="129">
        <f t="shared" si="291"/>
        <v>427598.80903629219</v>
      </c>
      <c r="W93" s="43">
        <f t="shared" si="292"/>
        <v>46523.806569961562</v>
      </c>
      <c r="X93" s="26">
        <f t="shared" ref="X93:X133" si="367">(((U93-V93))/P93)</f>
        <v>5.8201517088356702</v>
      </c>
      <c r="Y93" s="26">
        <f t="shared" ref="Y93:Y133" si="368">(W93/P93)</f>
        <v>0.62282471390646232</v>
      </c>
      <c r="Z93" s="43">
        <f t="shared" si="293"/>
        <v>32620.236776489834</v>
      </c>
      <c r="AA93" s="149">
        <f t="shared" ref="AA93:AA133" si="369">((S93-Z93)/P93)</f>
        <v>0.18348769204880844</v>
      </c>
      <c r="AB93" s="150">
        <f t="shared" ref="AB93:AB133" si="370">U94</f>
        <v>787654.85808610427</v>
      </c>
      <c r="AC93" s="150">
        <f t="shared" ref="AC93:AC133" si="371">V94</f>
        <v>381075.0024663306</v>
      </c>
      <c r="AD93" s="26">
        <f t="shared" ref="AD93:AD133" si="372">((AB93-AC93)/P93)</f>
        <v>5.4429764227421327</v>
      </c>
      <c r="AE93" s="26">
        <f t="shared" si="294"/>
        <v>583373.22117892874</v>
      </c>
      <c r="AF93" s="43">
        <f t="shared" si="295"/>
        <v>100233.33589282562</v>
      </c>
      <c r="AG93" s="43">
        <f t="shared" si="296"/>
        <v>605784.58206555864</v>
      </c>
      <c r="AH93" s="27">
        <f t="shared" si="297"/>
        <v>107926.78803181011</v>
      </c>
      <c r="AI93" s="28">
        <f t="shared" si="298"/>
        <v>651381.27103823517</v>
      </c>
      <c r="AJ93" s="20">
        <f t="shared" si="299"/>
        <v>116050.30971162378</v>
      </c>
      <c r="AK93" s="3">
        <f t="shared" si="300"/>
        <v>10057.693508340728</v>
      </c>
      <c r="AL93" s="3"/>
      <c r="AM93" s="46">
        <f t="shared" ref="AM93:AM133" si="373">U94</f>
        <v>787654.85808610427</v>
      </c>
      <c r="AN93" s="46">
        <f t="shared" ref="AN93:AO133" si="374">AM94</f>
        <v>717357.87731688586</v>
      </c>
      <c r="AO93" s="46">
        <f t="shared" si="374"/>
        <v>651351.76418205327</v>
      </c>
      <c r="AP93" s="3">
        <f t="shared" si="278"/>
        <v>589503.97809554788</v>
      </c>
      <c r="AQ93" s="3">
        <f t="shared" si="278"/>
        <v>531683.16525119205</v>
      </c>
      <c r="AR93" s="16">
        <f t="shared" si="278"/>
        <v>477758.13591450383</v>
      </c>
      <c r="AS93" s="16">
        <f t="shared" si="278"/>
        <v>427598.80903629219</v>
      </c>
      <c r="AT93" s="16">
        <f t="shared" si="278"/>
        <v>381075.0024663306</v>
      </c>
      <c r="AU93" s="16">
        <f t="shared" si="278"/>
        <v>338054.11876679707</v>
      </c>
      <c r="AV93" s="16">
        <f t="shared" si="278"/>
        <v>298401.41214207554</v>
      </c>
      <c r="AW93" s="16">
        <f t="shared" si="278"/>
        <v>261981.18319677183</v>
      </c>
      <c r="AX93" s="16">
        <f t="shared" si="278"/>
        <v>228658.26391475086</v>
      </c>
      <c r="AY93" s="16">
        <f t="shared" si="278"/>
        <v>198298.32110974428</v>
      </c>
      <c r="AZ93" s="16">
        <f t="shared" si="278"/>
        <v>170766.16478295706</v>
      </c>
      <c r="BA93" s="16">
        <f t="shared" si="278"/>
        <v>145927.40926349355</v>
      </c>
      <c r="BB93" s="16">
        <f t="shared" si="278"/>
        <v>123651.69649989734</v>
      </c>
      <c r="BC93" s="16">
        <f t="shared" si="278"/>
        <v>103812.40402277096</v>
      </c>
      <c r="BD93" s="16">
        <f t="shared" si="301"/>
        <v>86282.876870619526</v>
      </c>
      <c r="BE93" s="16">
        <f t="shared" si="301"/>
        <v>70930.687641563578</v>
      </c>
      <c r="BF93" s="16">
        <f t="shared" si="301"/>
        <v>57613.36985294702</v>
      </c>
      <c r="BG93" s="16">
        <f t="shared" si="301"/>
        <v>46177.609845970153</v>
      </c>
      <c r="BH93" s="172">
        <f t="shared" ref="BH93:BH133" si="375">P94</f>
        <v>70296.980769218397</v>
      </c>
      <c r="BI93" s="16">
        <f t="shared" si="277"/>
        <v>66006.113134832645</v>
      </c>
      <c r="BJ93" s="16">
        <f t="shared" si="277"/>
        <v>61847.786086505286</v>
      </c>
      <c r="BK93" s="16">
        <f t="shared" si="277"/>
        <v>57820.812844355773</v>
      </c>
      <c r="BL93" s="16">
        <f t="shared" si="277"/>
        <v>53925.029336687992</v>
      </c>
      <c r="BM93" s="16">
        <f t="shared" si="277"/>
        <v>50159.326878211672</v>
      </c>
      <c r="BN93" s="16">
        <f t="shared" si="277"/>
        <v>46523.806569961562</v>
      </c>
      <c r="BO93" s="16">
        <f t="shared" si="277"/>
        <v>43020.8836995335</v>
      </c>
      <c r="BP93" s="16">
        <f t="shared" si="277"/>
        <v>39652.706624721577</v>
      </c>
      <c r="BQ93" s="16">
        <f t="shared" si="277"/>
        <v>36420.228945303788</v>
      </c>
      <c r="BR93" s="16">
        <f t="shared" si="277"/>
        <v>33322.919282020994</v>
      </c>
      <c r="BS93" s="16">
        <f t="shared" si="277"/>
        <v>30359.942805006591</v>
      </c>
      <c r="BT93" s="16">
        <f t="shared" si="277"/>
        <v>27532.156326787204</v>
      </c>
      <c r="BU93" s="16">
        <f t="shared" si="277"/>
        <v>24838.755519463502</v>
      </c>
      <c r="BV93" s="16">
        <f t="shared" si="149"/>
        <v>22275.712763596202</v>
      </c>
      <c r="BW93" s="16">
        <f t="shared" si="149"/>
        <v>19839.292477126361</v>
      </c>
      <c r="BX93" s="16">
        <f t="shared" si="149"/>
        <v>17529.527152151433</v>
      </c>
      <c r="BY93" s="16">
        <f t="shared" si="149"/>
        <v>15352.18922905595</v>
      </c>
      <c r="BZ93" s="16">
        <f t="shared" si="149"/>
        <v>13317.317788616554</v>
      </c>
      <c r="CA93" s="16">
        <f t="shared" si="149"/>
        <v>11435.760006976861</v>
      </c>
      <c r="CB93" s="16">
        <f t="shared" si="149"/>
        <v>9713.938442001665</v>
      </c>
      <c r="CC93" s="18">
        <f t="shared" ref="CC93:CF134" si="376">(AM93-$V93)/BH93</f>
        <v>5.1219276434056074</v>
      </c>
      <c r="CD93" s="18">
        <f t="shared" si="376"/>
        <v>4.3898823081537044</v>
      </c>
      <c r="CE93" s="18">
        <f t="shared" si="376"/>
        <v>3.6178005601170948</v>
      </c>
      <c r="CF93" s="18">
        <f t="shared" si="376"/>
        <v>2.8001192147726819</v>
      </c>
      <c r="CG93" s="18">
        <f t="shared" si="280"/>
        <v>1.930167818083798</v>
      </c>
      <c r="CH93" s="18">
        <f t="shared" si="150"/>
        <v>0.99999999999999922</v>
      </c>
      <c r="CI93" s="18">
        <f t="shared" si="150"/>
        <v>0</v>
      </c>
      <c r="CJ93" s="18">
        <f t="shared" si="150"/>
        <v>-1.0814237776911608</v>
      </c>
      <c r="CK93" s="18">
        <f t="shared" si="150"/>
        <v>-2.2582239118493939</v>
      </c>
      <c r="CL93" s="18">
        <f t="shared" si="151"/>
        <v>-3.5474075983499831</v>
      </c>
      <c r="CM93" s="18">
        <f t="shared" si="151"/>
        <v>-4.9700815357097925</v>
      </c>
      <c r="CN93" s="18">
        <f t="shared" si="151"/>
        <v>-6.5527312221660212</v>
      </c>
      <c r="CO93" s="18">
        <f t="shared" si="151"/>
        <v>-8.3284609169334018</v>
      </c>
      <c r="CP93" s="18">
        <f t="shared" si="271"/>
        <v>-10.339996464479977</v>
      </c>
      <c r="CQ93" s="18">
        <f t="shared" si="272"/>
        <v>-12.644776073478399</v>
      </c>
      <c r="CR93" s="18">
        <f t="shared" si="273"/>
        <v>-15.32046129602805</v>
      </c>
      <c r="CS93" s="18">
        <f t="shared" si="267"/>
        <v>-18.470914942721787</v>
      </c>
      <c r="CT93" s="18">
        <f t="shared" ref="CT93:CT107" si="377">(BD93-$V93)/BY93</f>
        <v>-22.232394811789401</v>
      </c>
      <c r="CU93" s="18">
        <f t="shared" ref="CU93:CU107" si="378">(BE93-$V93)/BZ93</f>
        <v>-26.782279063701793</v>
      </c>
      <c r="CV93" s="18">
        <f t="shared" ref="CV93:CV107" si="379">(BF93-$V93)/CA93</f>
        <v>-32.353375635517025</v>
      </c>
      <c r="CW93" s="18">
        <f t="shared" ref="CW93:CW107" si="380">(BG93-$V93)/CB93</f>
        <v>-39.265350657475025</v>
      </c>
      <c r="CX93" s="17">
        <f t="shared" si="302"/>
        <v>1946.8763483882083</v>
      </c>
      <c r="CY93" s="17">
        <f t="shared" ref="CY93:DE129" si="381">CX94</f>
        <v>1959.6554972111114</v>
      </c>
      <c r="CZ93" s="17">
        <f t="shared" si="381"/>
        <v>1969.0822058508145</v>
      </c>
      <c r="DA93" s="17">
        <f t="shared" si="381"/>
        <v>1974.1568515841511</v>
      </c>
      <c r="DB93" s="17">
        <f t="shared" si="381"/>
        <v>1975.8460811551965</v>
      </c>
      <c r="DC93" s="17">
        <f t="shared" si="381"/>
        <v>1972.9572612906529</v>
      </c>
      <c r="DD93" s="17">
        <f t="shared" si="381"/>
        <v>1963.1325772642524</v>
      </c>
      <c r="DE93" s="17">
        <f t="shared" si="381"/>
        <v>1946.5604965391135</v>
      </c>
      <c r="DF93" s="3" t="e">
        <f>#REF!+$AG$35*0.004*(1+$R$28)*#REF!-S93*#REF!</f>
        <v>#REF!</v>
      </c>
      <c r="DG93" s="19">
        <f t="shared" si="303"/>
        <v>2976.2084734888513</v>
      </c>
      <c r="DH93" s="19">
        <f t="shared" si="304"/>
        <v>2841.8715689299784</v>
      </c>
      <c r="DI93" s="19">
        <f t="shared" si="305"/>
        <v>2696.1362757243132</v>
      </c>
      <c r="DJ93" s="19">
        <f t="shared" si="306"/>
        <v>2536.8849614956525</v>
      </c>
      <c r="DK93" s="19">
        <f t="shared" si="307"/>
        <v>2363.7437400662934</v>
      </c>
      <c r="DL93" s="19">
        <f t="shared" si="308"/>
        <v>2173.9230297988997</v>
      </c>
      <c r="DM93" s="19">
        <f t="shared" si="309"/>
        <v>1963.1325772642524</v>
      </c>
      <c r="DN93" s="19">
        <f t="shared" si="310"/>
        <v>1729.2313359723175</v>
      </c>
      <c r="DO93" s="25"/>
      <c r="DP93" s="25"/>
      <c r="DW93" s="26">
        <f t="shared" si="279"/>
        <v>0</v>
      </c>
      <c r="DX93" s="26">
        <f t="shared" si="279"/>
        <v>0</v>
      </c>
      <c r="DY93" s="26">
        <f t="shared" si="279"/>
        <v>0</v>
      </c>
      <c r="DZ93" s="26">
        <f t="shared" si="279"/>
        <v>0</v>
      </c>
      <c r="EA93" s="26">
        <f t="shared" si="279"/>
        <v>0</v>
      </c>
      <c r="EB93" s="26">
        <f t="shared" si="279"/>
        <v>0</v>
      </c>
      <c r="EC93" s="26">
        <f t="shared" si="279"/>
        <v>0</v>
      </c>
      <c r="ED93" s="26">
        <f t="shared" si="279"/>
        <v>0</v>
      </c>
      <c r="EE93" s="26">
        <f t="shared" si="279"/>
        <v>0</v>
      </c>
      <c r="EF93" s="26">
        <f t="shared" si="311"/>
        <v>0</v>
      </c>
      <c r="EG93" s="26">
        <f t="shared" si="311"/>
        <v>0</v>
      </c>
      <c r="EH93" s="26">
        <f t="shared" si="311"/>
        <v>0</v>
      </c>
      <c r="EI93" s="26">
        <f t="shared" si="311"/>
        <v>0</v>
      </c>
      <c r="ER93" s="26">
        <f t="shared" si="312"/>
        <v>-0.82264842814418793</v>
      </c>
      <c r="ES93" s="26">
        <f t="shared" si="312"/>
        <v>-0.89566259524285763</v>
      </c>
      <c r="ET93" s="26">
        <f t="shared" si="312"/>
        <v>-0.97891293678131364</v>
      </c>
      <c r="EU93" s="26">
        <f t="shared" si="312"/>
        <v>-1.0744498758117063</v>
      </c>
      <c r="EV93" s="26">
        <f t="shared" si="312"/>
        <v>-1.1848050108865691</v>
      </c>
      <c r="EW93" s="26">
        <f t="shared" si="312"/>
        <v>-1.3132798360581635</v>
      </c>
      <c r="EX93" s="26">
        <f t="shared" si="312"/>
        <v>-1.4643857695004505</v>
      </c>
      <c r="EY93" s="26">
        <f t="shared" si="269"/>
        <v>-1.6442237954856109</v>
      </c>
      <c r="EZ93" s="26">
        <f t="shared" si="269"/>
        <v>-1.8608737413938907</v>
      </c>
      <c r="FA93" s="26">
        <f t="shared" si="269"/>
        <v>-2.1247938186400108</v>
      </c>
      <c r="FB93" s="26">
        <f t="shared" si="269"/>
        <v>-2.4494599659079346</v>
      </c>
      <c r="FC93" s="26">
        <f t="shared" si="269"/>
        <v>-2.8524765084776615</v>
      </c>
      <c r="FD93" s="26">
        <f t="shared" si="269"/>
        <v>-3.3580855974384858</v>
      </c>
      <c r="FM93" s="26">
        <f t="shared" si="313"/>
        <v>-2.0849419210317413</v>
      </c>
      <c r="FN93" s="26">
        <f t="shared" si="313"/>
        <v>-3.2699909560814371</v>
      </c>
      <c r="FO93" s="26">
        <f t="shared" si="281"/>
        <v>-4.57393115115861</v>
      </c>
      <c r="FP93" s="26">
        <f t="shared" si="158"/>
        <v>-6.0203236392937152</v>
      </c>
      <c r="FQ93" s="26">
        <f t="shared" si="158"/>
        <v>-7.6386620498284454</v>
      </c>
      <c r="FR93" s="26">
        <f t="shared" si="158"/>
        <v>-9.4669635529274707</v>
      </c>
      <c r="FS93" s="26">
        <f t="shared" si="158"/>
        <v>-11.556232058581935</v>
      </c>
      <c r="FT93" s="26">
        <f t="shared" si="274"/>
        <v>-13.975427740844513</v>
      </c>
      <c r="FU93" s="26">
        <f t="shared" si="268"/>
        <v>-16.816889756180938</v>
      </c>
      <c r="FV93" s="26">
        <f t="shared" ref="FV93:FV107" si="382">(BE93-$AC93)/BY93</f>
        <v>-20.201960137240874</v>
      </c>
      <c r="FW93" s="26">
        <f t="shared" ref="FW93:FW107" si="383">(BF93-$AC93)/BZ93</f>
        <v>-24.28879731997338</v>
      </c>
      <c r="GH93" s="26">
        <f t="shared" si="314"/>
        <v>1.1732819908176504</v>
      </c>
      <c r="GI93" s="26">
        <f t="shared" si="314"/>
        <v>1.2774166422685429</v>
      </c>
      <c r="GJ93" s="26">
        <f t="shared" si="282"/>
        <v>1.3961503845511807</v>
      </c>
      <c r="GK93" s="26">
        <f t="shared" si="162"/>
        <v>1.5324075828723045</v>
      </c>
      <c r="GL93" s="26">
        <f t="shared" si="162"/>
        <v>1.689798867104956</v>
      </c>
      <c r="GM93" s="26">
        <f t="shared" si="162"/>
        <v>1.8730329115525044</v>
      </c>
      <c r="GN93" s="26">
        <f t="shared" si="162"/>
        <v>2.0885440148964616</v>
      </c>
      <c r="GO93" s="26">
        <f t="shared" si="275"/>
        <v>2.3450335551835337</v>
      </c>
      <c r="GP93" s="26">
        <f t="shared" si="265"/>
        <v>2.6540251865408475</v>
      </c>
      <c r="GQ93" s="26">
        <f t="shared" ref="GQ93:GQ107" si="384">$W93/BY93</f>
        <v>3.0304346745485264</v>
      </c>
      <c r="GR93" s="26">
        <f t="shared" ref="GR93:GR107" si="385">$W93/BZ93</f>
        <v>3.4934817437284122</v>
      </c>
      <c r="GS93" s="26">
        <f t="shared" ref="GS93:GS107" si="386">$W93/CA93</f>
        <v>4.0682741279615673</v>
      </c>
      <c r="GT93" s="26">
        <f t="shared" si="315"/>
        <v>4.789386596151294</v>
      </c>
      <c r="HC93" s="26">
        <f t="shared" si="316"/>
        <v>-2.2582239118493939</v>
      </c>
      <c r="HD93" s="26">
        <f t="shared" si="316"/>
        <v>-3.5474075983499831</v>
      </c>
      <c r="HE93" s="26">
        <f t="shared" si="283"/>
        <v>-4.9700815357097925</v>
      </c>
      <c r="HF93" s="26">
        <f t="shared" si="166"/>
        <v>-6.5527312221660212</v>
      </c>
      <c r="HG93" s="26">
        <f t="shared" si="166"/>
        <v>-8.3284609169334018</v>
      </c>
      <c r="HH93" s="26">
        <f t="shared" si="166"/>
        <v>-10.339996464479977</v>
      </c>
      <c r="HI93" s="26">
        <f t="shared" si="166"/>
        <v>-12.644776073478399</v>
      </c>
      <c r="HJ93" s="26">
        <f t="shared" si="276"/>
        <v>-15.32046129602805</v>
      </c>
      <c r="HK93" s="26">
        <f t="shared" si="266"/>
        <v>-18.470914942721787</v>
      </c>
      <c r="HL93" s="26">
        <f t="shared" ref="HL93:HL107" si="387">(BD93-$V93)/BY93</f>
        <v>-22.232394811789401</v>
      </c>
      <c r="HM93" s="26">
        <f t="shared" ref="HM93:HM107" si="388">(BE93-$V93)/BZ93</f>
        <v>-26.782279063701793</v>
      </c>
      <c r="HN93" s="26">
        <f t="shared" ref="HN93:HN107" si="389">(BF93-$V93)/CA93</f>
        <v>-32.353375635517025</v>
      </c>
      <c r="HO93" s="26">
        <f t="shared" si="317"/>
        <v>-39.265350657475025</v>
      </c>
      <c r="HP93" s="26">
        <f t="shared" si="318"/>
        <v>1031889.3409120624</v>
      </c>
      <c r="HX93" s="26">
        <f t="shared" si="319"/>
        <v>647517.82964762975</v>
      </c>
      <c r="HY93" s="26">
        <f t="shared" si="320"/>
        <v>687724.07506504038</v>
      </c>
      <c r="HZ93" s="26">
        <f t="shared" si="321"/>
        <v>739027.42915662355</v>
      </c>
      <c r="IA93" s="26">
        <f t="shared" si="322"/>
        <v>804219.86462451622</v>
      </c>
      <c r="IB93" s="26">
        <f t="shared" si="323"/>
        <v>886820.08059408795</v>
      </c>
      <c r="IC93" s="26">
        <f t="shared" si="324"/>
        <v>991401.02641141857</v>
      </c>
      <c r="ID93" s="26">
        <f t="shared" si="325"/>
        <v>1124148.0992886275</v>
      </c>
      <c r="IE93" s="26">
        <f t="shared" si="326"/>
        <v>1293468.9670250637</v>
      </c>
      <c r="IF93" s="26">
        <f t="shared" si="327"/>
        <v>1510656.3596680665</v>
      </c>
      <c r="IG93" s="26">
        <f t="shared" si="328"/>
        <v>1790575.0066165074</v>
      </c>
      <c r="IH93" s="26">
        <f t="shared" si="329"/>
        <v>2152625.0368737779</v>
      </c>
      <c r="II93" s="26">
        <f t="shared" si="330"/>
        <v>-734767.86528829951</v>
      </c>
      <c r="IR93" s="26">
        <f t="shared" si="331"/>
        <v>665992.51220980159</v>
      </c>
      <c r="IS93" s="26">
        <f t="shared" si="332"/>
        <v>707037.78332999523</v>
      </c>
      <c r="IT93" s="26">
        <f t="shared" si="333"/>
        <v>759602.03789350123</v>
      </c>
      <c r="IU93" s="26">
        <f t="shared" si="334"/>
        <v>826577.7981273887</v>
      </c>
      <c r="IV93" s="26">
        <f t="shared" si="335"/>
        <v>911610.98805995798</v>
      </c>
      <c r="IW93" s="26">
        <f t="shared" si="336"/>
        <v>1019439.8057878144</v>
      </c>
      <c r="IX93" s="26">
        <f t="shared" si="337"/>
        <v>1156472.0311157813</v>
      </c>
      <c r="IY93" s="26">
        <f t="shared" si="338"/>
        <v>1331417.3069358983</v>
      </c>
      <c r="IZ93" s="26">
        <f t="shared" si="339"/>
        <v>1555976.0504581085</v>
      </c>
      <c r="JA93" s="26">
        <f t="shared" si="340"/>
        <v>1845555.5986561296</v>
      </c>
      <c r="JB93" s="26">
        <f t="shared" si="341"/>
        <v>2220273.964239582</v>
      </c>
      <c r="JC93" s="26">
        <f t="shared" si="342"/>
        <v>-751199.27816153073</v>
      </c>
      <c r="JI93" s="26">
        <f t="shared" si="343"/>
        <v>0</v>
      </c>
      <c r="JJ93" s="26">
        <f t="shared" si="344"/>
        <v>0</v>
      </c>
      <c r="JK93" s="26">
        <f t="shared" si="345"/>
        <v>901037.45555266261</v>
      </c>
      <c r="JL93" s="26">
        <f t="shared" si="346"/>
        <v>1076266.1019183667</v>
      </c>
      <c r="JM93" s="26">
        <f t="shared" si="347"/>
        <v>1276907.9289703544</v>
      </c>
      <c r="JN93" s="26">
        <f t="shared" si="348"/>
        <v>1508612.1751319519</v>
      </c>
      <c r="JO93" s="26">
        <f t="shared" si="349"/>
        <v>1778470.3876447757</v>
      </c>
      <c r="JP93" s="26">
        <f t="shared" si="350"/>
        <v>2095667.8407521197</v>
      </c>
      <c r="JQ93" s="26">
        <f t="shared" si="351"/>
        <v>2472590.7118979152</v>
      </c>
      <c r="JR93" s="26">
        <f t="shared" si="352"/>
        <v>2926031.9677833859</v>
      </c>
      <c r="JS93" s="26">
        <f t="shared" si="353"/>
        <v>3478502.4808187447</v>
      </c>
      <c r="JT93" s="26">
        <f t="shared" si="354"/>
        <v>4159591.8425791655</v>
      </c>
      <c r="JU93" s="26">
        <f t="shared" si="355"/>
        <v>5007880.2915346902</v>
      </c>
      <c r="JV93" s="26">
        <f t="shared" si="356"/>
        <v>2616268.9801001684</v>
      </c>
      <c r="JW93" s="26">
        <f t="shared" si="357"/>
        <v>4086894.1614675885</v>
      </c>
      <c r="JY93" s="34">
        <f t="shared" si="358"/>
        <v>7.0784459918252177E-2</v>
      </c>
      <c r="JZ93" s="4">
        <f t="shared" si="359"/>
        <v>0</v>
      </c>
      <c r="KA93" s="165"/>
    </row>
    <row r="94" spans="1:287" ht="15.75" x14ac:dyDescent="0.3">
      <c r="A94" s="34">
        <v>93</v>
      </c>
      <c r="B94" s="34">
        <v>66</v>
      </c>
      <c r="C94" s="2">
        <v>735479</v>
      </c>
      <c r="D94" s="1">
        <f t="shared" si="360"/>
        <v>16578</v>
      </c>
      <c r="E94" s="145">
        <f t="shared" si="361"/>
        <v>0.97745958756130358</v>
      </c>
      <c r="F94" s="146">
        <f t="shared" si="362"/>
        <v>2.2540412438696422E-2</v>
      </c>
      <c r="G94" s="158">
        <f t="shared" si="284"/>
        <v>2.8175515548370528E-2</v>
      </c>
      <c r="H94" s="43">
        <f t="shared" si="363"/>
        <v>19181.017004875979</v>
      </c>
      <c r="I94" s="43">
        <f t="shared" ref="I94:I133" si="390">I93-H93</f>
        <v>680768.98085313907</v>
      </c>
      <c r="J94" s="43">
        <f t="shared" si="364"/>
        <v>727190</v>
      </c>
      <c r="K94" s="147">
        <f>SUM(J94:$J$138)</f>
        <v>11912799.5</v>
      </c>
      <c r="L94" s="147">
        <f t="shared" si="365"/>
        <v>16.197334662172544</v>
      </c>
      <c r="M94" s="43">
        <f t="shared" si="285"/>
        <v>908987.5</v>
      </c>
      <c r="N94" s="148">
        <f t="shared" si="286"/>
        <v>14890999.375</v>
      </c>
      <c r="O94" s="147">
        <f t="shared" si="287"/>
        <v>20.246668327715682</v>
      </c>
      <c r="P94" s="157">
        <f t="shared" si="288"/>
        <v>70296.980769218397</v>
      </c>
      <c r="Q94" s="43">
        <f t="shared" si="289"/>
        <v>919348.75</v>
      </c>
      <c r="R94" s="43">
        <f t="shared" si="290"/>
        <v>1946.8763483882083</v>
      </c>
      <c r="S94" s="43">
        <f>SUM(R94:$R$138)</f>
        <v>44418.811021969959</v>
      </c>
      <c r="T94" s="43">
        <f t="shared" si="366"/>
        <v>566394.68216270616</v>
      </c>
      <c r="U94" s="153">
        <f>SUM(P94:$P$138)</f>
        <v>787654.85808610427</v>
      </c>
      <c r="V94" s="129">
        <f t="shared" si="291"/>
        <v>381075.0024663306</v>
      </c>
      <c r="W94" s="43">
        <f t="shared" si="292"/>
        <v>43020.8836995335</v>
      </c>
      <c r="X94" s="26">
        <f t="shared" si="367"/>
        <v>5.7837456341767473</v>
      </c>
      <c r="Y94" s="26">
        <f t="shared" si="368"/>
        <v>0.61198764482885815</v>
      </c>
      <c r="Z94" s="43">
        <f t="shared" si="293"/>
        <v>30657.104199225581</v>
      </c>
      <c r="AA94" s="149">
        <f t="shared" si="369"/>
        <v>0.19576526149712459</v>
      </c>
      <c r="AB94" s="150">
        <f t="shared" si="370"/>
        <v>717357.87731688586</v>
      </c>
      <c r="AC94" s="150">
        <f t="shared" si="371"/>
        <v>338054.11876679707</v>
      </c>
      <c r="AD94" s="26">
        <f t="shared" si="372"/>
        <v>5.3957332790056061</v>
      </c>
      <c r="AE94" s="26">
        <f t="shared" si="294"/>
        <v>588250.3347709009</v>
      </c>
      <c r="AF94" s="43">
        <f t="shared" si="295"/>
        <v>101707.5044405254</v>
      </c>
      <c r="AG94" s="43">
        <f t="shared" si="296"/>
        <v>610777.29512255057</v>
      </c>
      <c r="AH94" s="27">
        <f t="shared" si="297"/>
        <v>109445.18163594088</v>
      </c>
      <c r="AI94" s="28">
        <f t="shared" si="298"/>
        <v>656749.77970166737</v>
      </c>
      <c r="AJ94" s="20">
        <f t="shared" si="299"/>
        <v>117682.99100638805</v>
      </c>
      <c r="AK94" s="3">
        <f t="shared" si="300"/>
        <v>10199.192553886965</v>
      </c>
      <c r="AL94" s="3"/>
      <c r="AM94" s="46">
        <f t="shared" si="373"/>
        <v>717357.87731688586</v>
      </c>
      <c r="AN94" s="46">
        <f t="shared" si="374"/>
        <v>651351.76418205327</v>
      </c>
      <c r="AO94" s="46">
        <f t="shared" si="374"/>
        <v>589503.97809554788</v>
      </c>
      <c r="AP94" s="3">
        <f t="shared" si="278"/>
        <v>531683.16525119205</v>
      </c>
      <c r="AQ94" s="3">
        <f t="shared" si="278"/>
        <v>477758.13591450383</v>
      </c>
      <c r="AR94" s="16">
        <f t="shared" si="278"/>
        <v>427598.80903629219</v>
      </c>
      <c r="AS94" s="16">
        <f t="shared" si="278"/>
        <v>381075.0024663306</v>
      </c>
      <c r="AT94" s="16">
        <f t="shared" si="278"/>
        <v>338054.11876679707</v>
      </c>
      <c r="AU94" s="16">
        <f t="shared" si="278"/>
        <v>298401.41214207554</v>
      </c>
      <c r="AV94" s="16">
        <f t="shared" si="278"/>
        <v>261981.18319677183</v>
      </c>
      <c r="AW94" s="16">
        <f t="shared" si="278"/>
        <v>228658.26391475086</v>
      </c>
      <c r="AX94" s="16">
        <f t="shared" si="278"/>
        <v>198298.32110974428</v>
      </c>
      <c r="AY94" s="16">
        <f t="shared" si="278"/>
        <v>170766.16478295706</v>
      </c>
      <c r="AZ94" s="16">
        <f t="shared" si="278"/>
        <v>145927.40926349355</v>
      </c>
      <c r="BA94" s="16">
        <f t="shared" ref="AX94:BG125" si="391">AZ95</f>
        <v>123651.69649989734</v>
      </c>
      <c r="BB94" s="16">
        <f t="shared" si="391"/>
        <v>103812.40402277096</v>
      </c>
      <c r="BC94" s="16">
        <f t="shared" si="391"/>
        <v>86282.876870619526</v>
      </c>
      <c r="BD94" s="16">
        <f t="shared" si="301"/>
        <v>70930.687641563578</v>
      </c>
      <c r="BE94" s="16">
        <f t="shared" si="301"/>
        <v>57613.36985294702</v>
      </c>
      <c r="BF94" s="16">
        <f t="shared" si="301"/>
        <v>46177.609845970153</v>
      </c>
      <c r="BG94" s="16">
        <f t="shared" si="301"/>
        <v>36463.671403968496</v>
      </c>
      <c r="BH94" s="172">
        <f t="shared" si="375"/>
        <v>66006.113134832645</v>
      </c>
      <c r="BI94" s="16">
        <f t="shared" si="277"/>
        <v>61847.786086505286</v>
      </c>
      <c r="BJ94" s="16">
        <f t="shared" ref="BI94:BX109" si="392">BI95</f>
        <v>57820.812844355773</v>
      </c>
      <c r="BK94" s="16">
        <f t="shared" si="392"/>
        <v>53925.029336687992</v>
      </c>
      <c r="BL94" s="16">
        <f t="shared" si="392"/>
        <v>50159.326878211672</v>
      </c>
      <c r="BM94" s="16">
        <f t="shared" si="392"/>
        <v>46523.806569961562</v>
      </c>
      <c r="BN94" s="16">
        <f t="shared" si="392"/>
        <v>43020.8836995335</v>
      </c>
      <c r="BO94" s="16">
        <f t="shared" si="392"/>
        <v>39652.706624721577</v>
      </c>
      <c r="BP94" s="16">
        <f t="shared" si="392"/>
        <v>36420.228945303788</v>
      </c>
      <c r="BQ94" s="16">
        <f t="shared" si="392"/>
        <v>33322.919282020994</v>
      </c>
      <c r="BR94" s="16">
        <f t="shared" si="392"/>
        <v>30359.942805006591</v>
      </c>
      <c r="BS94" s="16">
        <f t="shared" si="392"/>
        <v>27532.156326787204</v>
      </c>
      <c r="BT94" s="16">
        <f t="shared" si="392"/>
        <v>24838.755519463502</v>
      </c>
      <c r="BU94" s="16">
        <f t="shared" si="392"/>
        <v>22275.712763596202</v>
      </c>
      <c r="BV94" s="16">
        <f t="shared" si="149"/>
        <v>19839.292477126361</v>
      </c>
      <c r="BW94" s="16">
        <f t="shared" si="149"/>
        <v>17529.527152151433</v>
      </c>
      <c r="BX94" s="16">
        <f t="shared" si="149"/>
        <v>15352.18922905595</v>
      </c>
      <c r="BY94" s="16">
        <f t="shared" si="149"/>
        <v>13317.317788616554</v>
      </c>
      <c r="BZ94" s="16">
        <f t="shared" si="149"/>
        <v>11435.760006976861</v>
      </c>
      <c r="CA94" s="16">
        <f t="shared" si="149"/>
        <v>9713.938442001665</v>
      </c>
      <c r="CB94" s="16">
        <f t="shared" si="149"/>
        <v>8155.0232828267881</v>
      </c>
      <c r="CC94" s="18">
        <f t="shared" si="376"/>
        <v>5.0947231836484637</v>
      </c>
      <c r="CD94" s="18">
        <f t="shared" si="376"/>
        <v>4.3700313110269118</v>
      </c>
      <c r="CE94" s="18">
        <f t="shared" si="376"/>
        <v>3.6047396322544651</v>
      </c>
      <c r="CF94" s="18">
        <f t="shared" si="376"/>
        <v>2.7929175864610039</v>
      </c>
      <c r="CG94" s="18">
        <f t="shared" si="280"/>
        <v>1.9275205523176724</v>
      </c>
      <c r="CH94" s="18">
        <f t="shared" si="150"/>
        <v>1.0000000000000009</v>
      </c>
      <c r="CI94" s="18">
        <f t="shared" si="150"/>
        <v>0</v>
      </c>
      <c r="CJ94" s="18">
        <f t="shared" si="150"/>
        <v>-1.0849419210317426</v>
      </c>
      <c r="CK94" s="18">
        <f t="shared" si="150"/>
        <v>-2.2699909560814393</v>
      </c>
      <c r="CL94" s="18">
        <f t="shared" si="151"/>
        <v>-3.5739311511586109</v>
      </c>
      <c r="CM94" s="18">
        <f t="shared" si="151"/>
        <v>-5.0203236392937152</v>
      </c>
      <c r="CN94" s="18">
        <f t="shared" si="151"/>
        <v>-6.6386620498284445</v>
      </c>
      <c r="CO94" s="18">
        <f t="shared" si="151"/>
        <v>-8.4669635529274707</v>
      </c>
      <c r="CP94" s="18">
        <f t="shared" si="271"/>
        <v>-10.556232058581935</v>
      </c>
      <c r="CQ94" s="18">
        <f t="shared" si="272"/>
        <v>-12.975427740844514</v>
      </c>
      <c r="CR94" s="18">
        <f t="shared" si="273"/>
        <v>-15.816889756180938</v>
      </c>
      <c r="CS94" s="18">
        <f t="shared" si="267"/>
        <v>-19.201960137240874</v>
      </c>
      <c r="CT94" s="18">
        <f t="shared" si="377"/>
        <v>-23.28879731997338</v>
      </c>
      <c r="CU94" s="18">
        <f t="shared" si="378"/>
        <v>-28.285101507555453</v>
      </c>
      <c r="CV94" s="18">
        <f t="shared" si="379"/>
        <v>-34.475964061323729</v>
      </c>
      <c r="CW94" s="18">
        <f t="shared" si="380"/>
        <v>-42.257553303135261</v>
      </c>
      <c r="CX94" s="17">
        <f t="shared" si="302"/>
        <v>1959.6554972111114</v>
      </c>
      <c r="CY94" s="17">
        <f t="shared" si="381"/>
        <v>1969.0822058508145</v>
      </c>
      <c r="CZ94" s="17">
        <f t="shared" si="381"/>
        <v>1974.1568515841511</v>
      </c>
      <c r="DA94" s="17">
        <f t="shared" si="381"/>
        <v>1975.8460811551965</v>
      </c>
      <c r="DB94" s="17">
        <f t="shared" si="381"/>
        <v>1972.9572612906529</v>
      </c>
      <c r="DC94" s="17">
        <f t="shared" si="381"/>
        <v>1963.1325772642524</v>
      </c>
      <c r="DD94" s="17">
        <f t="shared" si="381"/>
        <v>1946.5604965391135</v>
      </c>
      <c r="DE94" s="17">
        <f t="shared" si="381"/>
        <v>1924.3825953648957</v>
      </c>
      <c r="DF94" s="3" t="e">
        <f>#REF!+$AG$35*0.004*(1+$R$28)*#REF!-S94*#REF!</f>
        <v>#REF!</v>
      </c>
      <c r="DG94" s="19">
        <f t="shared" si="303"/>
        <v>2987.6787378415293</v>
      </c>
      <c r="DH94" s="19">
        <f t="shared" si="304"/>
        <v>2850.8756984662637</v>
      </c>
      <c r="DI94" s="19">
        <f t="shared" si="305"/>
        <v>2701.5282876364136</v>
      </c>
      <c r="DJ94" s="19">
        <f t="shared" si="306"/>
        <v>2539.406471887004</v>
      </c>
      <c r="DK94" s="19">
        <f t="shared" si="307"/>
        <v>2361.8961404303664</v>
      </c>
      <c r="DL94" s="19">
        <f t="shared" si="308"/>
        <v>2164.9145394187153</v>
      </c>
      <c r="DM94" s="19">
        <f t="shared" si="309"/>
        <v>1946.5604965391135</v>
      </c>
      <c r="DN94" s="19">
        <f t="shared" si="310"/>
        <v>1705.4608857154785</v>
      </c>
      <c r="DO94" s="25"/>
      <c r="DP94" s="25"/>
      <c r="DW94" s="26">
        <f t="shared" si="279"/>
        <v>0</v>
      </c>
      <c r="DX94" s="26">
        <f t="shared" si="279"/>
        <v>0</v>
      </c>
      <c r="DY94" s="26">
        <f t="shared" si="279"/>
        <v>0</v>
      </c>
      <c r="DZ94" s="26">
        <f t="shared" si="279"/>
        <v>0</v>
      </c>
      <c r="EA94" s="26">
        <f t="shared" si="279"/>
        <v>0</v>
      </c>
      <c r="EB94" s="26">
        <f t="shared" si="279"/>
        <v>0</v>
      </c>
      <c r="EC94" s="26">
        <f t="shared" si="311"/>
        <v>0</v>
      </c>
      <c r="ED94" s="26">
        <f t="shared" si="311"/>
        <v>0</v>
      </c>
      <c r="EE94" s="26">
        <f t="shared" si="311"/>
        <v>0</v>
      </c>
      <c r="EF94" s="26">
        <f t="shared" si="311"/>
        <v>0</v>
      </c>
      <c r="EG94" s="26">
        <f t="shared" si="311"/>
        <v>0</v>
      </c>
      <c r="EH94" s="26">
        <f t="shared" si="311"/>
        <v>0</v>
      </c>
      <c r="EI94" s="26">
        <f t="shared" si="311"/>
        <v>0</v>
      </c>
      <c r="ER94" s="26">
        <f t="shared" si="312"/>
        <v>-0.84176033723639365</v>
      </c>
      <c r="ES94" s="26">
        <f t="shared" si="312"/>
        <v>-0.92000055396605895</v>
      </c>
      <c r="ET94" s="26">
        <f t="shared" si="312"/>
        <v>-1.0097879431502086</v>
      </c>
      <c r="EU94" s="26">
        <f t="shared" si="312"/>
        <v>-1.1135017481140037</v>
      </c>
      <c r="EV94" s="26">
        <f t="shared" si="312"/>
        <v>-1.2342447742682943</v>
      </c>
      <c r="EW94" s="26">
        <f t="shared" si="312"/>
        <v>-1.3762569361787858</v>
      </c>
      <c r="EX94" s="26">
        <f t="shared" si="312"/>
        <v>-1.5452720521445802</v>
      </c>
      <c r="EY94" s="26">
        <f t="shared" si="269"/>
        <v>-1.7488836939599353</v>
      </c>
      <c r="EZ94" s="26">
        <f t="shared" si="269"/>
        <v>-1.9969206828953849</v>
      </c>
      <c r="FA94" s="26">
        <f t="shared" si="269"/>
        <v>-2.3020479563407896</v>
      </c>
      <c r="FB94" s="26">
        <f t="shared" si="269"/>
        <v>-2.6808103860628361</v>
      </c>
      <c r="FC94" s="26">
        <f t="shared" si="269"/>
        <v>-3.1559911957717066</v>
      </c>
      <c r="FD94" s="26">
        <f t="shared" si="269"/>
        <v>-3.7592908243174095</v>
      </c>
      <c r="FM94" s="26">
        <f t="shared" si="313"/>
        <v>-2.0887550071217897</v>
      </c>
      <c r="FN94" s="26">
        <f t="shared" si="313"/>
        <v>-3.2829012946374574</v>
      </c>
      <c r="FO94" s="26">
        <f t="shared" si="281"/>
        <v>-4.6032958149712311</v>
      </c>
      <c r="FP94" s="26">
        <f t="shared" si="158"/>
        <v>-6.0760934232048669</v>
      </c>
      <c r="FQ94" s="26">
        <f t="shared" si="158"/>
        <v>-7.7349571460113671</v>
      </c>
      <c r="FR94" s="26">
        <f t="shared" si="158"/>
        <v>-9.6249410531672925</v>
      </c>
      <c r="FS94" s="26">
        <f t="shared" si="158"/>
        <v>-11.806959094639803</v>
      </c>
      <c r="FT94" s="26">
        <f t="shared" si="274"/>
        <v>-14.362694424719674</v>
      </c>
      <c r="FU94" s="26">
        <f t="shared" si="268"/>
        <v>-17.399696365106596</v>
      </c>
      <c r="FV94" s="26">
        <f t="shared" si="382"/>
        <v>-21.058350740384572</v>
      </c>
      <c r="FW94" s="26">
        <f t="shared" si="383"/>
        <v>-25.52314045964199</v>
      </c>
      <c r="GH94" s="26">
        <f t="shared" si="314"/>
        <v>1.1812359489596465</v>
      </c>
      <c r="GI94" s="26">
        <f t="shared" si="314"/>
        <v>1.2910298565211522</v>
      </c>
      <c r="GJ94" s="26">
        <f t="shared" si="282"/>
        <v>1.4170278243224828</v>
      </c>
      <c r="GK94" s="26">
        <f t="shared" si="162"/>
        <v>1.5625686266235768</v>
      </c>
      <c r="GL94" s="26">
        <f t="shared" si="162"/>
        <v>1.732006406916103</v>
      </c>
      <c r="GM94" s="26">
        <f t="shared" si="162"/>
        <v>1.9312910054146428</v>
      </c>
      <c r="GN94" s="26">
        <f t="shared" si="162"/>
        <v>2.1684686462047109</v>
      </c>
      <c r="GO94" s="26">
        <f t="shared" si="275"/>
        <v>2.4541953314612632</v>
      </c>
      <c r="GP94" s="26">
        <f t="shared" si="265"/>
        <v>2.8022637721342742</v>
      </c>
      <c r="GQ94" s="26">
        <f t="shared" si="384"/>
        <v>3.2304465795888055</v>
      </c>
      <c r="GR94" s="26">
        <f t="shared" si="385"/>
        <v>3.7619610479134593</v>
      </c>
      <c r="GS94" s="26">
        <f t="shared" si="386"/>
        <v>4.4287787035500887</v>
      </c>
      <c r="GT94" s="26">
        <f t="shared" si="315"/>
        <v>5.2753845338650098</v>
      </c>
      <c r="HC94" s="26">
        <f t="shared" si="316"/>
        <v>-2.2699909560814393</v>
      </c>
      <c r="HD94" s="26">
        <f t="shared" si="316"/>
        <v>-3.5739311511586109</v>
      </c>
      <c r="HE94" s="26">
        <f t="shared" si="283"/>
        <v>-5.0203236392937152</v>
      </c>
      <c r="HF94" s="26">
        <f t="shared" si="166"/>
        <v>-6.6386620498284445</v>
      </c>
      <c r="HG94" s="26">
        <f t="shared" si="166"/>
        <v>-8.4669635529274707</v>
      </c>
      <c r="HH94" s="26">
        <f t="shared" si="166"/>
        <v>-10.556232058581935</v>
      </c>
      <c r="HI94" s="26">
        <f t="shared" si="166"/>
        <v>-12.975427740844514</v>
      </c>
      <c r="HJ94" s="26">
        <f t="shared" si="276"/>
        <v>-15.816889756180938</v>
      </c>
      <c r="HK94" s="26">
        <f t="shared" si="266"/>
        <v>-19.201960137240874</v>
      </c>
      <c r="HL94" s="26">
        <f t="shared" si="387"/>
        <v>-23.28879731997338</v>
      </c>
      <c r="HM94" s="26">
        <f t="shared" si="388"/>
        <v>-28.285101507555453</v>
      </c>
      <c r="HN94" s="26">
        <f t="shared" si="389"/>
        <v>-34.475964061323729</v>
      </c>
      <c r="HO94" s="26">
        <f t="shared" si="317"/>
        <v>-42.257553303135261</v>
      </c>
      <c r="HP94" s="26">
        <f t="shared" si="318"/>
        <v>1031889.3409120624</v>
      </c>
      <c r="HX94" s="26">
        <f t="shared" si="319"/>
        <v>647771.29706335859</v>
      </c>
      <c r="HY94" s="26">
        <f t="shared" si="320"/>
        <v>689369.60607115086</v>
      </c>
      <c r="HZ94" s="26">
        <f t="shared" si="321"/>
        <v>743017.24113703263</v>
      </c>
      <c r="IA94" s="26">
        <f t="shared" si="322"/>
        <v>811832.16382256837</v>
      </c>
      <c r="IB94" s="26">
        <f t="shared" si="323"/>
        <v>899863.52287103818</v>
      </c>
      <c r="IC94" s="26">
        <f t="shared" si="324"/>
        <v>1012579.4327485774</v>
      </c>
      <c r="ID94" s="26">
        <f t="shared" si="325"/>
        <v>1157416.0420530234</v>
      </c>
      <c r="IE94" s="26">
        <f t="shared" si="326"/>
        <v>1344378.0290167686</v>
      </c>
      <c r="IF94" s="26">
        <f t="shared" si="327"/>
        <v>1586661.5999638943</v>
      </c>
      <c r="IG94" s="26">
        <f t="shared" si="328"/>
        <v>1901515.5718831907</v>
      </c>
      <c r="IH94" s="26">
        <f t="shared" si="329"/>
        <v>2311640.1264995467</v>
      </c>
      <c r="II94" s="26">
        <f t="shared" si="330"/>
        <v>-710838.20664208289</v>
      </c>
      <c r="IR94" s="26">
        <f t="shared" si="331"/>
        <v>666248.62899256079</v>
      </c>
      <c r="IS94" s="26">
        <f t="shared" si="332"/>
        <v>708722.82562945434</v>
      </c>
      <c r="IT94" s="26">
        <f t="shared" si="333"/>
        <v>763695.40824933967</v>
      </c>
      <c r="IU94" s="26">
        <f t="shared" si="334"/>
        <v>834395.27251823817</v>
      </c>
      <c r="IV94" s="26">
        <f t="shared" si="335"/>
        <v>925015.5717860955</v>
      </c>
      <c r="IW94" s="26">
        <f t="shared" si="336"/>
        <v>1041217.9450009909</v>
      </c>
      <c r="IX94" s="26">
        <f t="shared" si="337"/>
        <v>1190701.389818457</v>
      </c>
      <c r="IY94" s="26">
        <f t="shared" si="338"/>
        <v>1383825.9126223093</v>
      </c>
      <c r="IZ94" s="26">
        <f t="shared" si="339"/>
        <v>1634261.4479628112</v>
      </c>
      <c r="JA94" s="26">
        <f t="shared" si="340"/>
        <v>1959884.4102883942</v>
      </c>
      <c r="JB94" s="26">
        <f t="shared" si="341"/>
        <v>2384231.7820269666</v>
      </c>
      <c r="JC94" s="26">
        <f t="shared" si="342"/>
        <v>-726183.57138057635</v>
      </c>
      <c r="JI94" s="26">
        <f t="shared" si="343"/>
        <v>0</v>
      </c>
      <c r="JJ94" s="26">
        <f t="shared" si="344"/>
        <v>0</v>
      </c>
      <c r="JK94" s="26">
        <f t="shared" si="345"/>
        <v>905965.07293770008</v>
      </c>
      <c r="JL94" s="26">
        <f t="shared" si="346"/>
        <v>1086138.4554870403</v>
      </c>
      <c r="JM94" s="26">
        <f t="shared" si="347"/>
        <v>1293853.5249771113</v>
      </c>
      <c r="JN94" s="26">
        <f t="shared" si="348"/>
        <v>1535453.7744805384</v>
      </c>
      <c r="JO94" s="26">
        <f t="shared" si="349"/>
        <v>1819147.060937305</v>
      </c>
      <c r="JP94" s="26">
        <f t="shared" si="350"/>
        <v>2155981.1574990731</v>
      </c>
      <c r="JQ94" s="26">
        <f t="shared" si="351"/>
        <v>2560937.4202173231</v>
      </c>
      <c r="JR94" s="26">
        <f t="shared" si="352"/>
        <v>3054127.0900195846</v>
      </c>
      <c r="JS94" s="26">
        <f t="shared" si="353"/>
        <v>3662034.1087057646</v>
      </c>
      <c r="JT94" s="26">
        <f t="shared" si="354"/>
        <v>4419236.7977270782</v>
      </c>
      <c r="JU94" s="26">
        <f t="shared" si="355"/>
        <v>5371205.774964422</v>
      </c>
      <c r="JV94" s="26">
        <f t="shared" si="356"/>
        <v>2914560.2316817143</v>
      </c>
      <c r="JW94" s="26">
        <f t="shared" si="357"/>
        <v>4462498.1348543903</v>
      </c>
      <c r="JY94" s="34">
        <f t="shared" si="358"/>
        <v>7.2540412438696425E-2</v>
      </c>
      <c r="JZ94" s="4">
        <f t="shared" si="359"/>
        <v>0</v>
      </c>
      <c r="KA94" s="165"/>
    </row>
    <row r="95" spans="1:287" ht="15.75" x14ac:dyDescent="0.3">
      <c r="A95" s="34">
        <v>94</v>
      </c>
      <c r="B95" s="34">
        <v>67</v>
      </c>
      <c r="C95" s="2">
        <v>718901</v>
      </c>
      <c r="D95" s="1">
        <f t="shared" si="360"/>
        <v>17371</v>
      </c>
      <c r="E95" s="145">
        <f t="shared" si="361"/>
        <v>0.97583672856206904</v>
      </c>
      <c r="F95" s="146">
        <f t="shared" si="362"/>
        <v>2.4163271437930955E-2</v>
      </c>
      <c r="G95" s="158">
        <f t="shared" si="284"/>
        <v>3.0204089297413694E-2</v>
      </c>
      <c r="H95" s="43">
        <f t="shared" si="363"/>
        <v>19982.661938167043</v>
      </c>
      <c r="I95" s="43">
        <f t="shared" si="390"/>
        <v>661587.96384826314</v>
      </c>
      <c r="J95" s="43">
        <f t="shared" si="364"/>
        <v>710215.5</v>
      </c>
      <c r="K95" s="147">
        <f>SUM(J95:$J$138)</f>
        <v>11185609.5</v>
      </c>
      <c r="L95" s="147">
        <f t="shared" si="365"/>
        <v>15.559318320603253</v>
      </c>
      <c r="M95" s="43">
        <f t="shared" si="285"/>
        <v>887769.375</v>
      </c>
      <c r="N95" s="148">
        <f t="shared" si="286"/>
        <v>13982011.875</v>
      </c>
      <c r="O95" s="147">
        <f t="shared" si="287"/>
        <v>19.449147900754067</v>
      </c>
      <c r="P95" s="157">
        <f t="shared" si="288"/>
        <v>66006.113134832645</v>
      </c>
      <c r="Q95" s="43">
        <f t="shared" si="289"/>
        <v>898626.25</v>
      </c>
      <c r="R95" s="43">
        <f t="shared" si="290"/>
        <v>1959.6554972111114</v>
      </c>
      <c r="S95" s="43">
        <f>SUM(R95:$R$138)</f>
        <v>42471.934673581753</v>
      </c>
      <c r="T95" s="43">
        <f t="shared" si="366"/>
        <v>521975.87114073645</v>
      </c>
      <c r="U95" s="153">
        <f>SUM(P95:$P$138)</f>
        <v>717357.87731688586</v>
      </c>
      <c r="V95" s="129">
        <f t="shared" si="291"/>
        <v>338054.11876679707</v>
      </c>
      <c r="W95" s="43">
        <f t="shared" si="292"/>
        <v>39652.706624721577</v>
      </c>
      <c r="X95" s="26">
        <f t="shared" si="367"/>
        <v>5.7464943856832438</v>
      </c>
      <c r="Y95" s="26">
        <f t="shared" si="368"/>
        <v>0.60074294245628157</v>
      </c>
      <c r="Z95" s="43">
        <f t="shared" si="293"/>
        <v>28710.543702686471</v>
      </c>
      <c r="AA95" s="149">
        <f t="shared" si="369"/>
        <v>0.20848661309270672</v>
      </c>
      <c r="AB95" s="150">
        <f t="shared" si="370"/>
        <v>651351.76418205327</v>
      </c>
      <c r="AC95" s="150">
        <f t="shared" si="371"/>
        <v>298401.41214207554</v>
      </c>
      <c r="AD95" s="26">
        <f t="shared" si="372"/>
        <v>5.3472373281395251</v>
      </c>
      <c r="AE95" s="26">
        <f t="shared" si="294"/>
        <v>593249.77093821648</v>
      </c>
      <c r="AF95" s="43">
        <f t="shared" si="295"/>
        <v>103236.81380708085</v>
      </c>
      <c r="AG95" s="43">
        <f t="shared" si="296"/>
        <v>615895.28740221926</v>
      </c>
      <c r="AH95" s="27">
        <f t="shared" si="297"/>
        <v>111020.370283493</v>
      </c>
      <c r="AI95" s="28">
        <f t="shared" si="298"/>
        <v>662252.99720668746</v>
      </c>
      <c r="AJ95" s="20">
        <f t="shared" si="299"/>
        <v>119376.74224031506</v>
      </c>
      <c r="AK95" s="3">
        <f t="shared" si="300"/>
        <v>10345.984327493972</v>
      </c>
      <c r="AL95" s="3"/>
      <c r="AM95" s="46">
        <f t="shared" si="373"/>
        <v>651351.76418205327</v>
      </c>
      <c r="AN95" s="46">
        <f t="shared" si="374"/>
        <v>589503.97809554788</v>
      </c>
      <c r="AO95" s="46">
        <f t="shared" si="374"/>
        <v>531683.16525119205</v>
      </c>
      <c r="AP95" s="3">
        <f t="shared" ref="AP95:AW118" si="393">AO96</f>
        <v>477758.13591450383</v>
      </c>
      <c r="AQ95" s="3">
        <f t="shared" si="393"/>
        <v>427598.80903629219</v>
      </c>
      <c r="AR95" s="16">
        <f t="shared" si="393"/>
        <v>381075.0024663306</v>
      </c>
      <c r="AS95" s="16">
        <f t="shared" si="393"/>
        <v>338054.11876679707</v>
      </c>
      <c r="AT95" s="16">
        <f t="shared" si="393"/>
        <v>298401.41214207554</v>
      </c>
      <c r="AU95" s="16">
        <f t="shared" si="393"/>
        <v>261981.18319677183</v>
      </c>
      <c r="AV95" s="16">
        <f t="shared" si="393"/>
        <v>228658.26391475086</v>
      </c>
      <c r="AW95" s="16">
        <f t="shared" si="393"/>
        <v>198298.32110974428</v>
      </c>
      <c r="AX95" s="16">
        <f t="shared" si="391"/>
        <v>170766.16478295706</v>
      </c>
      <c r="AY95" s="16">
        <f t="shared" si="391"/>
        <v>145927.40926349355</v>
      </c>
      <c r="AZ95" s="16">
        <f t="shared" si="391"/>
        <v>123651.69649989734</v>
      </c>
      <c r="BA95" s="16">
        <f t="shared" si="391"/>
        <v>103812.40402277096</v>
      </c>
      <c r="BB95" s="16">
        <f t="shared" si="391"/>
        <v>86282.876870619526</v>
      </c>
      <c r="BC95" s="16">
        <f t="shared" si="391"/>
        <v>70930.687641563578</v>
      </c>
      <c r="BD95" s="16">
        <f t="shared" si="301"/>
        <v>57613.36985294702</v>
      </c>
      <c r="BE95" s="16">
        <f t="shared" si="301"/>
        <v>46177.609845970153</v>
      </c>
      <c r="BF95" s="16">
        <f t="shared" si="301"/>
        <v>36463.671403968496</v>
      </c>
      <c r="BG95" s="16">
        <f t="shared" si="301"/>
        <v>28308.648121141709</v>
      </c>
      <c r="BH95" s="172">
        <f t="shared" si="375"/>
        <v>61847.786086505286</v>
      </c>
      <c r="BI95" s="16">
        <f t="shared" si="392"/>
        <v>57820.812844355773</v>
      </c>
      <c r="BJ95" s="16">
        <f t="shared" si="392"/>
        <v>53925.029336687992</v>
      </c>
      <c r="BK95" s="16">
        <f t="shared" si="392"/>
        <v>50159.326878211672</v>
      </c>
      <c r="BL95" s="16">
        <f t="shared" si="392"/>
        <v>46523.806569961562</v>
      </c>
      <c r="BM95" s="16">
        <f t="shared" si="392"/>
        <v>43020.8836995335</v>
      </c>
      <c r="BN95" s="16">
        <f t="shared" si="392"/>
        <v>39652.706624721577</v>
      </c>
      <c r="BO95" s="16">
        <f t="shared" si="392"/>
        <v>36420.228945303788</v>
      </c>
      <c r="BP95" s="16">
        <f t="shared" si="392"/>
        <v>33322.919282020994</v>
      </c>
      <c r="BQ95" s="16">
        <f t="shared" si="392"/>
        <v>30359.942805006591</v>
      </c>
      <c r="BR95" s="16">
        <f t="shared" si="392"/>
        <v>27532.156326787204</v>
      </c>
      <c r="BS95" s="16">
        <f t="shared" si="392"/>
        <v>24838.755519463502</v>
      </c>
      <c r="BT95" s="16">
        <f t="shared" si="392"/>
        <v>22275.712763596202</v>
      </c>
      <c r="BU95" s="16">
        <f t="shared" si="392"/>
        <v>19839.292477126361</v>
      </c>
      <c r="BV95" s="16">
        <f t="shared" si="149"/>
        <v>17529.527152151433</v>
      </c>
      <c r="BW95" s="16">
        <f t="shared" si="149"/>
        <v>15352.18922905595</v>
      </c>
      <c r="BX95" s="16">
        <f t="shared" si="149"/>
        <v>13317.317788616554</v>
      </c>
      <c r="BY95" s="16">
        <f t="shared" si="149"/>
        <v>11435.760006976861</v>
      </c>
      <c r="BZ95" s="16">
        <f t="shared" si="149"/>
        <v>9713.938442001665</v>
      </c>
      <c r="CA95" s="16">
        <f t="shared" si="149"/>
        <v>8155.0232828267881</v>
      </c>
      <c r="CB95" s="16">
        <f t="shared" si="149"/>
        <v>6760.4784782803481</v>
      </c>
      <c r="CC95" s="18">
        <f t="shared" si="376"/>
        <v>5.0656242565748908</v>
      </c>
      <c r="CD95" s="18">
        <f t="shared" si="376"/>
        <v>4.3487776625626653</v>
      </c>
      <c r="CE95" s="18">
        <f t="shared" si="376"/>
        <v>3.5907082270729358</v>
      </c>
      <c r="CF95" s="18">
        <f t="shared" si="376"/>
        <v>2.7852051820175387</v>
      </c>
      <c r="CG95" s="18">
        <f t="shared" si="280"/>
        <v>1.9247068731325676</v>
      </c>
      <c r="CH95" s="18">
        <f t="shared" si="150"/>
        <v>1.0000000000000007</v>
      </c>
      <c r="CI95" s="18">
        <f t="shared" si="150"/>
        <v>0</v>
      </c>
      <c r="CJ95" s="18">
        <f t="shared" si="150"/>
        <v>-1.0887550071217922</v>
      </c>
      <c r="CK95" s="18">
        <f t="shared" si="150"/>
        <v>-2.2829012946374578</v>
      </c>
      <c r="CL95" s="18">
        <f t="shared" si="151"/>
        <v>-3.6032958149712315</v>
      </c>
      <c r="CM95" s="18">
        <f t="shared" si="151"/>
        <v>-5.0760934232048669</v>
      </c>
      <c r="CN95" s="18">
        <f t="shared" si="151"/>
        <v>-6.7349571460113671</v>
      </c>
      <c r="CO95" s="18">
        <f t="shared" si="151"/>
        <v>-8.6249410531672925</v>
      </c>
      <c r="CP95" s="18">
        <f t="shared" si="271"/>
        <v>-10.806959094639803</v>
      </c>
      <c r="CQ95" s="18">
        <f t="shared" si="272"/>
        <v>-13.362694424719674</v>
      </c>
      <c r="CR95" s="18">
        <f t="shared" si="273"/>
        <v>-16.3996963651066</v>
      </c>
      <c r="CS95" s="18">
        <f t="shared" si="267"/>
        <v>-20.058350740384572</v>
      </c>
      <c r="CT95" s="18">
        <f t="shared" si="377"/>
        <v>-24.52314045964199</v>
      </c>
      <c r="CU95" s="18">
        <f t="shared" si="378"/>
        <v>-30.047185357773639</v>
      </c>
      <c r="CV95" s="18">
        <f t="shared" si="379"/>
        <v>-36.982168769270253</v>
      </c>
      <c r="CW95" s="18">
        <f t="shared" si="380"/>
        <v>-45.817092923346571</v>
      </c>
      <c r="CX95" s="17">
        <f t="shared" si="302"/>
        <v>1969.0822058508145</v>
      </c>
      <c r="CY95" s="17">
        <f t="shared" si="381"/>
        <v>1974.1568515841511</v>
      </c>
      <c r="CZ95" s="17">
        <f t="shared" si="381"/>
        <v>1975.8460811551965</v>
      </c>
      <c r="DA95" s="17">
        <f t="shared" si="381"/>
        <v>1972.9572612906529</v>
      </c>
      <c r="DB95" s="17">
        <f t="shared" si="381"/>
        <v>1963.1325772642524</v>
      </c>
      <c r="DC95" s="17">
        <f t="shared" si="381"/>
        <v>1946.5604965391135</v>
      </c>
      <c r="DD95" s="17">
        <f t="shared" si="381"/>
        <v>1924.3825953648957</v>
      </c>
      <c r="DE95" s="17">
        <f t="shared" si="381"/>
        <v>1898.0768096081936</v>
      </c>
      <c r="DF95" s="3" t="e">
        <f>#REF!+$AG$35*0.004*(1+$R$28)*#REF!-S95*#REF!</f>
        <v>#REF!</v>
      </c>
      <c r="DG95" s="19">
        <f t="shared" si="303"/>
        <v>2995.2737466996673</v>
      </c>
      <c r="DH95" s="19">
        <f t="shared" si="304"/>
        <v>2855.1299803277516</v>
      </c>
      <c r="DI95" s="19">
        <f t="shared" si="305"/>
        <v>2703.2498958964952</v>
      </c>
      <c r="DJ95" s="19">
        <f t="shared" si="306"/>
        <v>2537.1826859468674</v>
      </c>
      <c r="DK95" s="19">
        <f t="shared" si="307"/>
        <v>2353.0386997443588</v>
      </c>
      <c r="DL95" s="19">
        <f t="shared" si="308"/>
        <v>2149.1399791205376</v>
      </c>
      <c r="DM95" s="19">
        <f t="shared" si="309"/>
        <v>1924.3825953648957</v>
      </c>
      <c r="DN95" s="19">
        <f t="shared" si="310"/>
        <v>1677.517383607526</v>
      </c>
      <c r="DO95" s="25"/>
      <c r="DP95" s="25"/>
      <c r="DW95" s="26">
        <f t="shared" si="279"/>
        <v>0</v>
      </c>
      <c r="DX95" s="26">
        <f t="shared" si="279"/>
        <v>0</v>
      </c>
      <c r="DY95" s="26">
        <f t="shared" si="279"/>
        <v>0</v>
      </c>
      <c r="DZ95" s="26">
        <f t="shared" si="279"/>
        <v>0</v>
      </c>
      <c r="EA95" s="26">
        <f t="shared" si="279"/>
        <v>0</v>
      </c>
      <c r="EB95" s="26">
        <f t="shared" si="279"/>
        <v>0</v>
      </c>
      <c r="EC95" s="26">
        <f t="shared" si="311"/>
        <v>0</v>
      </c>
      <c r="ED95" s="26">
        <f t="shared" si="311"/>
        <v>0</v>
      </c>
      <c r="EE95" s="26">
        <f t="shared" si="311"/>
        <v>0</v>
      </c>
      <c r="EF95" s="26">
        <f t="shared" si="311"/>
        <v>0</v>
      </c>
      <c r="EG95" s="26">
        <f t="shared" si="311"/>
        <v>0</v>
      </c>
      <c r="EH95" s="26">
        <f t="shared" si="311"/>
        <v>0</v>
      </c>
      <c r="EI95" s="26">
        <f t="shared" si="311"/>
        <v>0</v>
      </c>
      <c r="ER95" s="26">
        <f t="shared" si="312"/>
        <v>-0.86158548894534948</v>
      </c>
      <c r="ES95" s="26">
        <f t="shared" si="312"/>
        <v>-0.94567186397834313</v>
      </c>
      <c r="ET95" s="26">
        <f t="shared" si="312"/>
        <v>-1.042800402624213</v>
      </c>
      <c r="EU95" s="26">
        <f t="shared" si="312"/>
        <v>-1.1558768989126311</v>
      </c>
      <c r="EV95" s="26">
        <f t="shared" si="312"/>
        <v>-1.2888720557398419</v>
      </c>
      <c r="EW95" s="26">
        <f t="shared" si="312"/>
        <v>-1.4471556249189927</v>
      </c>
      <c r="EX95" s="26">
        <f t="shared" si="312"/>
        <v>-1.6378390274584658</v>
      </c>
      <c r="EY95" s="26">
        <f t="shared" si="269"/>
        <v>-1.8701270075767535</v>
      </c>
      <c r="EZ95" s="26">
        <f t="shared" si="269"/>
        <v>-2.155880347559763</v>
      </c>
      <c r="FA95" s="26">
        <f t="shared" si="269"/>
        <v>-2.5105934091980253</v>
      </c>
      <c r="FB95" s="26">
        <f t="shared" si="269"/>
        <v>-2.9556028045788545</v>
      </c>
      <c r="FC95" s="26">
        <f t="shared" si="269"/>
        <v>-3.5205961659418454</v>
      </c>
      <c r="FD95" s="26">
        <f t="shared" si="269"/>
        <v>-4.2468212560584213</v>
      </c>
      <c r="FM95" s="26">
        <f t="shared" si="313"/>
        <v>-2.0929483289584958</v>
      </c>
      <c r="FN95" s="26">
        <f t="shared" si="313"/>
        <v>-3.2972094735245507</v>
      </c>
      <c r="FO95" s="26">
        <f t="shared" si="281"/>
        <v>-4.6358609127515642</v>
      </c>
      <c r="FP95" s="26">
        <f t="shared" si="158"/>
        <v>-6.1385524230110589</v>
      </c>
      <c r="FQ95" s="26">
        <f t="shared" si="158"/>
        <v>-7.8448540568255432</v>
      </c>
      <c r="FR95" s="26">
        <f t="shared" si="158"/>
        <v>-9.8082634924433556</v>
      </c>
      <c r="FS95" s="26">
        <f t="shared" si="158"/>
        <v>-12.100642158246822</v>
      </c>
      <c r="FT95" s="26">
        <f t="shared" si="274"/>
        <v>-14.816826519438347</v>
      </c>
      <c r="FU95" s="26">
        <f t="shared" si="268"/>
        <v>-18.080821236762148</v>
      </c>
      <c r="FV95" s="26">
        <f t="shared" si="382"/>
        <v>-22.055709646077371</v>
      </c>
      <c r="FW95" s="26">
        <f t="shared" si="383"/>
        <v>-26.965143160216677</v>
      </c>
      <c r="GH95" s="26">
        <f t="shared" si="314"/>
        <v>1.1899529656789629</v>
      </c>
      <c r="GI95" s="26">
        <f t="shared" si="314"/>
        <v>1.3060863414466821</v>
      </c>
      <c r="GJ95" s="26">
        <f t="shared" si="282"/>
        <v>1.4402325104533049</v>
      </c>
      <c r="GK95" s="26">
        <f t="shared" si="162"/>
        <v>1.5964047230003109</v>
      </c>
      <c r="GL95" s="26">
        <f t="shared" si="162"/>
        <v>1.7800869963417514</v>
      </c>
      <c r="GM95" s="26">
        <f t="shared" si="162"/>
        <v>1.9986956021964504</v>
      </c>
      <c r="GN95" s="26">
        <f t="shared" si="162"/>
        <v>2.2620522664728537</v>
      </c>
      <c r="GO95" s="26">
        <f t="shared" si="275"/>
        <v>2.5828698456682542</v>
      </c>
      <c r="GP95" s="26">
        <f t="shared" si="265"/>
        <v>2.9775295036224279</v>
      </c>
      <c r="GQ95" s="26">
        <f t="shared" si="384"/>
        <v>3.4674308135646248</v>
      </c>
      <c r="GR95" s="26">
        <f t="shared" si="385"/>
        <v>4.0820421975569667</v>
      </c>
      <c r="GS95" s="26">
        <f t="shared" si="386"/>
        <v>4.8623658387614928</v>
      </c>
      <c r="GT95" s="26">
        <f t="shared" si="315"/>
        <v>5.8653698480241259</v>
      </c>
      <c r="HC95" s="26">
        <f t="shared" si="316"/>
        <v>-2.2829012946374578</v>
      </c>
      <c r="HD95" s="26">
        <f t="shared" si="316"/>
        <v>-3.6032958149712315</v>
      </c>
      <c r="HE95" s="26">
        <f t="shared" si="283"/>
        <v>-5.0760934232048669</v>
      </c>
      <c r="HF95" s="26">
        <f t="shared" si="166"/>
        <v>-6.7349571460113671</v>
      </c>
      <c r="HG95" s="26">
        <f t="shared" si="166"/>
        <v>-8.6249410531672925</v>
      </c>
      <c r="HH95" s="26">
        <f t="shared" si="166"/>
        <v>-10.806959094639803</v>
      </c>
      <c r="HI95" s="26">
        <f t="shared" si="166"/>
        <v>-13.362694424719674</v>
      </c>
      <c r="HJ95" s="26">
        <f t="shared" si="276"/>
        <v>-16.3996963651066</v>
      </c>
      <c r="HK95" s="26">
        <f t="shared" si="266"/>
        <v>-20.058350740384572</v>
      </c>
      <c r="HL95" s="26">
        <f t="shared" si="387"/>
        <v>-24.52314045964199</v>
      </c>
      <c r="HM95" s="26">
        <f t="shared" si="388"/>
        <v>-30.047185357773639</v>
      </c>
      <c r="HN95" s="26">
        <f t="shared" si="389"/>
        <v>-36.982168769270253</v>
      </c>
      <c r="HO95" s="26">
        <f t="shared" si="317"/>
        <v>-45.817092923346571</v>
      </c>
      <c r="HP95" s="26">
        <f t="shared" si="318"/>
        <v>1031889.3409120624</v>
      </c>
      <c r="HX95" s="26">
        <f t="shared" si="319"/>
        <v>648114.94443766458</v>
      </c>
      <c r="HY95" s="26">
        <f t="shared" si="320"/>
        <v>691264.40263837064</v>
      </c>
      <c r="HZ95" s="26">
        <f t="shared" si="321"/>
        <v>747518.20356841967</v>
      </c>
      <c r="IA95" s="26">
        <f t="shared" si="322"/>
        <v>820442.08558008994</v>
      </c>
      <c r="IB95" s="26">
        <f t="shared" si="323"/>
        <v>914842.12414995464</v>
      </c>
      <c r="IC95" s="26">
        <f t="shared" si="324"/>
        <v>1037257.7081360926</v>
      </c>
      <c r="ID95" s="26">
        <f t="shared" si="325"/>
        <v>1196504.5196041162</v>
      </c>
      <c r="IE95" s="26">
        <f t="shared" si="326"/>
        <v>1404238.500162364</v>
      </c>
      <c r="IF95" s="26">
        <f t="shared" si="327"/>
        <v>1675722.4673640376</v>
      </c>
      <c r="IG95" s="26">
        <f t="shared" si="328"/>
        <v>2031060.7590624916</v>
      </c>
      <c r="IH95" s="26">
        <f t="shared" si="329"/>
        <v>2497885.5693411557</v>
      </c>
      <c r="II95" s="26">
        <f t="shared" si="330"/>
        <v>-682032.28742279252</v>
      </c>
      <c r="IR95" s="26">
        <f t="shared" si="331"/>
        <v>666597.14973483433</v>
      </c>
      <c r="IS95" s="26">
        <f t="shared" si="332"/>
        <v>710663.55586233002</v>
      </c>
      <c r="IT95" s="26">
        <f t="shared" si="333"/>
        <v>768313.48827456706</v>
      </c>
      <c r="IU95" s="26">
        <f t="shared" si="334"/>
        <v>843237.50070229254</v>
      </c>
      <c r="IV95" s="26">
        <f t="shared" si="335"/>
        <v>940409.12822899909</v>
      </c>
      <c r="IW95" s="26">
        <f t="shared" si="336"/>
        <v>1066595.2677482744</v>
      </c>
      <c r="IX95" s="26">
        <f t="shared" si="337"/>
        <v>1230919.6287807615</v>
      </c>
      <c r="IY95" s="26">
        <f t="shared" si="338"/>
        <v>1445449.6450590359</v>
      </c>
      <c r="IZ95" s="26">
        <f t="shared" si="339"/>
        <v>1725994.1413849588</v>
      </c>
      <c r="JA95" s="26">
        <f t="shared" si="340"/>
        <v>2093386.0938550357</v>
      </c>
      <c r="JB95" s="26">
        <f t="shared" si="341"/>
        <v>2576266.5839582691</v>
      </c>
      <c r="JC95" s="26">
        <f t="shared" si="342"/>
        <v>-696078.77879424836</v>
      </c>
      <c r="JI95" s="26">
        <f t="shared" si="343"/>
        <v>0</v>
      </c>
      <c r="JJ95" s="26">
        <f t="shared" si="344"/>
        <v>0</v>
      </c>
      <c r="JK95" s="26">
        <f t="shared" si="345"/>
        <v>911272.95634044067</v>
      </c>
      <c r="JL95" s="26">
        <f t="shared" si="346"/>
        <v>1096856.0347214313</v>
      </c>
      <c r="JM95" s="26">
        <f t="shared" si="347"/>
        <v>1312356.831561252</v>
      </c>
      <c r="JN95" s="26">
        <f t="shared" si="348"/>
        <v>1565073.8218894596</v>
      </c>
      <c r="JO95" s="26">
        <f t="shared" si="349"/>
        <v>1864809.3263745122</v>
      </c>
      <c r="JP95" s="26">
        <f t="shared" si="350"/>
        <v>2224858.8508677124</v>
      </c>
      <c r="JQ95" s="26">
        <f t="shared" si="351"/>
        <v>2663100.7066366705</v>
      </c>
      <c r="JR95" s="26">
        <f t="shared" si="352"/>
        <v>3203129.2020530757</v>
      </c>
      <c r="JS95" s="26">
        <f t="shared" si="353"/>
        <v>3875799.3730479204</v>
      </c>
      <c r="JT95" s="26">
        <f t="shared" si="354"/>
        <v>4721716.6250786223</v>
      </c>
      <c r="JU95" s="26">
        <f t="shared" si="355"/>
        <v>5796650.8077137489</v>
      </c>
      <c r="JV95" s="26">
        <f t="shared" si="356"/>
        <v>3267580.0946319257</v>
      </c>
      <c r="JW95" s="26">
        <f t="shared" si="357"/>
        <v>4910564.5494515887</v>
      </c>
      <c r="JY95" s="34">
        <f t="shared" si="358"/>
        <v>7.4163271437930958E-2</v>
      </c>
      <c r="JZ95" s="4">
        <f t="shared" si="359"/>
        <v>0</v>
      </c>
      <c r="KA95" s="165"/>
    </row>
    <row r="96" spans="1:287" ht="15.75" x14ac:dyDescent="0.3">
      <c r="A96" s="34">
        <v>95</v>
      </c>
      <c r="B96" s="34">
        <v>68</v>
      </c>
      <c r="C96" s="2">
        <v>701530</v>
      </c>
      <c r="D96" s="1">
        <f t="shared" si="360"/>
        <v>18178</v>
      </c>
      <c r="E96" s="145">
        <f t="shared" si="361"/>
        <v>0.97408806465867459</v>
      </c>
      <c r="F96" s="146">
        <f t="shared" si="362"/>
        <v>2.5911935341325409E-2</v>
      </c>
      <c r="G96" s="158">
        <f t="shared" si="284"/>
        <v>3.2389919176656762E-2</v>
      </c>
      <c r="H96" s="43">
        <f t="shared" si="363"/>
        <v>20781.543872182472</v>
      </c>
      <c r="I96" s="43">
        <f t="shared" si="390"/>
        <v>641605.30191009608</v>
      </c>
      <c r="J96" s="43">
        <f t="shared" si="364"/>
        <v>692441</v>
      </c>
      <c r="K96" s="147">
        <f>SUM(J96:$J$138)</f>
        <v>10475394</v>
      </c>
      <c r="L96" s="147">
        <f t="shared" si="365"/>
        <v>14.932211024475077</v>
      </c>
      <c r="M96" s="43">
        <f t="shared" si="285"/>
        <v>865551.25</v>
      </c>
      <c r="N96" s="148">
        <f t="shared" si="286"/>
        <v>13094242.5</v>
      </c>
      <c r="O96" s="147">
        <f t="shared" si="287"/>
        <v>18.665263780593847</v>
      </c>
      <c r="P96" s="157">
        <f t="shared" si="288"/>
        <v>61847.786086505286</v>
      </c>
      <c r="Q96" s="43">
        <f t="shared" si="289"/>
        <v>876912.5</v>
      </c>
      <c r="R96" s="43">
        <f t="shared" si="290"/>
        <v>1969.0822058508145</v>
      </c>
      <c r="S96" s="43">
        <f>SUM(R96:$R$138)</f>
        <v>40512.279176370641</v>
      </c>
      <c r="T96" s="43">
        <f t="shared" si="366"/>
        <v>479503.93646715471</v>
      </c>
      <c r="U96" s="153">
        <f>SUM(P96:$P$138)</f>
        <v>651351.76418205327</v>
      </c>
      <c r="V96" s="129">
        <f t="shared" si="291"/>
        <v>298401.41214207554</v>
      </c>
      <c r="W96" s="43">
        <f t="shared" si="292"/>
        <v>36420.228945303788</v>
      </c>
      <c r="X96" s="26">
        <f t="shared" si="367"/>
        <v>5.7067580648127487</v>
      </c>
      <c r="Y96" s="26">
        <f t="shared" si="368"/>
        <v>0.58886875747441514</v>
      </c>
      <c r="Z96" s="43">
        <f t="shared" si="293"/>
        <v>26786.161107321579</v>
      </c>
      <c r="AA96" s="149">
        <f t="shared" si="369"/>
        <v>0.22193386275542037</v>
      </c>
      <c r="AB96" s="150">
        <f t="shared" si="370"/>
        <v>589503.97809554788</v>
      </c>
      <c r="AC96" s="150">
        <f t="shared" si="371"/>
        <v>261981.18319677183</v>
      </c>
      <c r="AD96" s="26">
        <f t="shared" si="372"/>
        <v>5.2956268222871605</v>
      </c>
      <c r="AE96" s="26">
        <f t="shared" si="294"/>
        <v>598575.68894453882</v>
      </c>
      <c r="AF96" s="43">
        <f t="shared" si="295"/>
        <v>104888.91979411071</v>
      </c>
      <c r="AG96" s="43">
        <f t="shared" si="296"/>
        <v>621347.45944763103</v>
      </c>
      <c r="AH96" s="27">
        <f t="shared" si="297"/>
        <v>112722.03945013376</v>
      </c>
      <c r="AI96" s="28">
        <f t="shared" si="298"/>
        <v>668115.54779315169</v>
      </c>
      <c r="AJ96" s="20">
        <f t="shared" si="299"/>
        <v>121206.4940324019</v>
      </c>
      <c r="AK96" s="3">
        <f t="shared" si="300"/>
        <v>10504.562816141499</v>
      </c>
      <c r="AL96" s="3"/>
      <c r="AM96" s="46">
        <f t="shared" si="373"/>
        <v>589503.97809554788</v>
      </c>
      <c r="AN96" s="46">
        <f t="shared" si="374"/>
        <v>531683.16525119205</v>
      </c>
      <c r="AO96" s="46">
        <f t="shared" si="374"/>
        <v>477758.13591450383</v>
      </c>
      <c r="AP96" s="3">
        <f t="shared" si="393"/>
        <v>427598.80903629219</v>
      </c>
      <c r="AQ96" s="3">
        <f t="shared" si="393"/>
        <v>381075.0024663306</v>
      </c>
      <c r="AR96" s="16">
        <f t="shared" si="393"/>
        <v>338054.11876679707</v>
      </c>
      <c r="AS96" s="16">
        <f t="shared" si="393"/>
        <v>298401.41214207554</v>
      </c>
      <c r="AT96" s="16">
        <f t="shared" si="393"/>
        <v>261981.18319677183</v>
      </c>
      <c r="AU96" s="16">
        <f t="shared" si="393"/>
        <v>228658.26391475086</v>
      </c>
      <c r="AV96" s="16">
        <f t="shared" si="393"/>
        <v>198298.32110974428</v>
      </c>
      <c r="AW96" s="16">
        <f t="shared" si="393"/>
        <v>170766.16478295706</v>
      </c>
      <c r="AX96" s="16">
        <f t="shared" si="391"/>
        <v>145927.40926349355</v>
      </c>
      <c r="AY96" s="16">
        <f t="shared" si="391"/>
        <v>123651.69649989734</v>
      </c>
      <c r="AZ96" s="16">
        <f t="shared" si="391"/>
        <v>103812.40402277096</v>
      </c>
      <c r="BA96" s="16">
        <f t="shared" si="391"/>
        <v>86282.876870619526</v>
      </c>
      <c r="BB96" s="16">
        <f t="shared" si="391"/>
        <v>70930.687641563578</v>
      </c>
      <c r="BC96" s="16">
        <f t="shared" si="391"/>
        <v>57613.36985294702</v>
      </c>
      <c r="BD96" s="16">
        <f t="shared" si="301"/>
        <v>46177.609845970153</v>
      </c>
      <c r="BE96" s="16">
        <f t="shared" si="301"/>
        <v>36463.671403968496</v>
      </c>
      <c r="BF96" s="16">
        <f t="shared" si="301"/>
        <v>28308.648121141709</v>
      </c>
      <c r="BG96" s="16">
        <f t="shared" si="301"/>
        <v>21548.169642861361</v>
      </c>
      <c r="BH96" s="172">
        <f t="shared" si="375"/>
        <v>57820.812844355773</v>
      </c>
      <c r="BI96" s="16">
        <f t="shared" si="392"/>
        <v>53925.029336687992</v>
      </c>
      <c r="BJ96" s="16">
        <f t="shared" si="392"/>
        <v>50159.326878211672</v>
      </c>
      <c r="BK96" s="16">
        <f t="shared" si="392"/>
        <v>46523.806569961562</v>
      </c>
      <c r="BL96" s="16">
        <f t="shared" si="392"/>
        <v>43020.8836995335</v>
      </c>
      <c r="BM96" s="16">
        <f t="shared" si="392"/>
        <v>39652.706624721577</v>
      </c>
      <c r="BN96" s="16">
        <f t="shared" si="392"/>
        <v>36420.228945303788</v>
      </c>
      <c r="BO96" s="16">
        <f t="shared" si="392"/>
        <v>33322.919282020994</v>
      </c>
      <c r="BP96" s="16">
        <f t="shared" si="392"/>
        <v>30359.942805006591</v>
      </c>
      <c r="BQ96" s="16">
        <f t="shared" si="392"/>
        <v>27532.156326787204</v>
      </c>
      <c r="BR96" s="16">
        <f t="shared" si="392"/>
        <v>24838.755519463502</v>
      </c>
      <c r="BS96" s="16">
        <f t="shared" si="392"/>
        <v>22275.712763596202</v>
      </c>
      <c r="BT96" s="16">
        <f t="shared" si="392"/>
        <v>19839.292477126361</v>
      </c>
      <c r="BU96" s="16">
        <f t="shared" si="392"/>
        <v>17529.527152151433</v>
      </c>
      <c r="BV96" s="16">
        <f t="shared" si="149"/>
        <v>15352.18922905595</v>
      </c>
      <c r="BW96" s="16">
        <f t="shared" si="149"/>
        <v>13317.317788616554</v>
      </c>
      <c r="BX96" s="16">
        <f t="shared" si="149"/>
        <v>11435.760006976861</v>
      </c>
      <c r="BY96" s="16">
        <f t="shared" si="149"/>
        <v>9713.938442001665</v>
      </c>
      <c r="BZ96" s="16">
        <f t="shared" si="149"/>
        <v>8155.0232828267881</v>
      </c>
      <c r="CA96" s="16">
        <f t="shared" si="149"/>
        <v>6760.4784782803481</v>
      </c>
      <c r="CB96" s="16">
        <f t="shared" si="149"/>
        <v>5529.2942159323538</v>
      </c>
      <c r="CC96" s="18">
        <f t="shared" si="376"/>
        <v>5.0345637086955719</v>
      </c>
      <c r="CD96" s="18">
        <f t="shared" si="376"/>
        <v>4.3260385015757947</v>
      </c>
      <c r="CE96" s="18">
        <f t="shared" si="376"/>
        <v>3.575740244838447</v>
      </c>
      <c r="CF96" s="18">
        <f t="shared" si="376"/>
        <v>2.7770168956388428</v>
      </c>
      <c r="CG96" s="18">
        <f t="shared" si="280"/>
        <v>1.9217083243027742</v>
      </c>
      <c r="CH96" s="18">
        <f t="shared" si="150"/>
        <v>0.99999999999999867</v>
      </c>
      <c r="CI96" s="18">
        <f t="shared" si="150"/>
        <v>0</v>
      </c>
      <c r="CJ96" s="18">
        <f t="shared" si="150"/>
        <v>-1.0929483289584965</v>
      </c>
      <c r="CK96" s="18">
        <f t="shared" si="150"/>
        <v>-2.2972094735245512</v>
      </c>
      <c r="CL96" s="18">
        <f t="shared" si="151"/>
        <v>-3.6358609127515633</v>
      </c>
      <c r="CM96" s="18">
        <f t="shared" si="151"/>
        <v>-5.1385524230110589</v>
      </c>
      <c r="CN96" s="18">
        <f t="shared" si="151"/>
        <v>-6.8448540568255432</v>
      </c>
      <c r="CO96" s="18">
        <f t="shared" si="151"/>
        <v>-8.8082634924433538</v>
      </c>
      <c r="CP96" s="18">
        <f t="shared" si="271"/>
        <v>-11.100642158246824</v>
      </c>
      <c r="CQ96" s="18">
        <f t="shared" si="272"/>
        <v>-13.816826519438347</v>
      </c>
      <c r="CR96" s="18">
        <f t="shared" si="273"/>
        <v>-17.080821236762148</v>
      </c>
      <c r="CS96" s="18">
        <f t="shared" si="267"/>
        <v>-21.055709646077371</v>
      </c>
      <c r="CT96" s="18">
        <f t="shared" si="377"/>
        <v>-25.96514316021668</v>
      </c>
      <c r="CU96" s="18">
        <f t="shared" si="378"/>
        <v>-32.119802930508762</v>
      </c>
      <c r="CV96" s="18">
        <f t="shared" si="379"/>
        <v>-39.951723075322455</v>
      </c>
      <c r="CW96" s="18">
        <f t="shared" si="380"/>
        <v>-50.070267865558137</v>
      </c>
      <c r="CX96" s="17">
        <f t="shared" si="302"/>
        <v>1974.1568515841511</v>
      </c>
      <c r="CY96" s="17">
        <f t="shared" si="381"/>
        <v>1975.8460811551965</v>
      </c>
      <c r="CZ96" s="17">
        <f t="shared" si="381"/>
        <v>1972.9572612906529</v>
      </c>
      <c r="DA96" s="17">
        <f t="shared" si="381"/>
        <v>1963.1325772642524</v>
      </c>
      <c r="DB96" s="17">
        <f t="shared" si="381"/>
        <v>1946.5604965391135</v>
      </c>
      <c r="DC96" s="17">
        <f t="shared" si="381"/>
        <v>1924.3825953648957</v>
      </c>
      <c r="DD96" s="17">
        <f t="shared" si="381"/>
        <v>1898.0768096081936</v>
      </c>
      <c r="DE96" s="17">
        <f t="shared" si="381"/>
        <v>1867.9701356980975</v>
      </c>
      <c r="DF96" s="3" t="e">
        <f>#REF!+$AG$35*0.004*(1+$R$28)*#REF!-S96*#REF!</f>
        <v>#REF!</v>
      </c>
      <c r="DG96" s="19">
        <f t="shared" si="303"/>
        <v>2998.0026772580977</v>
      </c>
      <c r="DH96" s="19">
        <f t="shared" si="304"/>
        <v>2855.6038353163281</v>
      </c>
      <c r="DI96" s="19">
        <f t="shared" si="305"/>
        <v>2700.1318359313477</v>
      </c>
      <c r="DJ96" s="19">
        <f t="shared" si="306"/>
        <v>2527.8760825485501</v>
      </c>
      <c r="DK96" s="19">
        <f t="shared" si="307"/>
        <v>2337.3655711877859</v>
      </c>
      <c r="DL96" s="19">
        <f t="shared" si="308"/>
        <v>2127.7459620664799</v>
      </c>
      <c r="DM96" s="19">
        <f t="shared" si="309"/>
        <v>1898.0768096081936</v>
      </c>
      <c r="DN96" s="19">
        <f t="shared" si="310"/>
        <v>1645.7044838902266</v>
      </c>
      <c r="DO96" s="25"/>
      <c r="DP96" s="25"/>
      <c r="DW96" s="26">
        <f t="shared" si="279"/>
        <v>0</v>
      </c>
      <c r="DX96" s="26">
        <f t="shared" si="279"/>
        <v>0</v>
      </c>
      <c r="DY96" s="26">
        <f t="shared" si="279"/>
        <v>0</v>
      </c>
      <c r="DZ96" s="26">
        <f t="shared" si="279"/>
        <v>0</v>
      </c>
      <c r="EA96" s="26">
        <f t="shared" si="279"/>
        <v>0</v>
      </c>
      <c r="EB96" s="26">
        <f t="shared" si="279"/>
        <v>0</v>
      </c>
      <c r="EC96" s="26">
        <f t="shared" si="311"/>
        <v>0</v>
      </c>
      <c r="ED96" s="26">
        <f t="shared" si="311"/>
        <v>0</v>
      </c>
      <c r="EE96" s="26">
        <f t="shared" si="311"/>
        <v>0</v>
      </c>
      <c r="EF96" s="26">
        <f t="shared" si="311"/>
        <v>0</v>
      </c>
      <c r="EG96" s="26">
        <f t="shared" si="311"/>
        <v>0</v>
      </c>
      <c r="EH96" s="26">
        <f t="shared" si="311"/>
        <v>0</v>
      </c>
      <c r="EI96" s="26">
        <f t="shared" si="311"/>
        <v>0</v>
      </c>
      <c r="ER96" s="26">
        <f t="shared" si="312"/>
        <v>-0.88228628358628969</v>
      </c>
      <c r="ES96" s="26">
        <f t="shared" si="312"/>
        <v>-0.97290458434816396</v>
      </c>
      <c r="ET96" s="26">
        <f t="shared" si="312"/>
        <v>-1.078401898449868</v>
      </c>
      <c r="EU96" s="26">
        <f t="shared" si="312"/>
        <v>-1.2024827843487245</v>
      </c>
      <c r="EV96" s="26">
        <f t="shared" si="312"/>
        <v>-1.3501570753193233</v>
      </c>
      <c r="EW96" s="26">
        <f t="shared" si="312"/>
        <v>-1.5280595349107327</v>
      </c>
      <c r="EX96" s="26">
        <f t="shared" si="312"/>
        <v>-1.7447779406356847</v>
      </c>
      <c r="EY96" s="26">
        <f t="shared" si="269"/>
        <v>-2.0113780817198785</v>
      </c>
      <c r="EZ96" s="26">
        <f t="shared" si="269"/>
        <v>-2.3423157788358244</v>
      </c>
      <c r="FA96" s="26">
        <f t="shared" si="269"/>
        <v>-2.7574975142422247</v>
      </c>
      <c r="FB96" s="26">
        <f t="shared" si="269"/>
        <v>-3.2846210462365044</v>
      </c>
      <c r="FC96" s="26">
        <f t="shared" si="269"/>
        <v>-3.9621694223831225</v>
      </c>
      <c r="FD96" s="26">
        <f t="shared" si="269"/>
        <v>-4.8444087185917413</v>
      </c>
      <c r="FM96" s="26">
        <f t="shared" si="313"/>
        <v>-2.0975949294781198</v>
      </c>
      <c r="FN96" s="26">
        <f t="shared" si="313"/>
        <v>-3.3130357583022949</v>
      </c>
      <c r="FO96" s="26">
        <f t="shared" si="281"/>
        <v>-4.6722861715974142</v>
      </c>
      <c r="FP96" s="26">
        <f t="shared" si="158"/>
        <v>-6.2098792602020652</v>
      </c>
      <c r="FQ96" s="26">
        <f t="shared" si="158"/>
        <v>-7.972501003065557</v>
      </c>
      <c r="FR96" s="26">
        <f t="shared" si="158"/>
        <v>-10.022991767041958</v>
      </c>
      <c r="FS96" s="26">
        <f t="shared" si="158"/>
        <v>-12.444511509382723</v>
      </c>
      <c r="FT96" s="26">
        <f t="shared" si="274"/>
        <v>-15.34601911493885</v>
      </c>
      <c r="FU96" s="26">
        <f t="shared" si="268"/>
        <v>-18.870942833632547</v>
      </c>
      <c r="FV96" s="26">
        <f t="shared" si="382"/>
        <v>-23.21586791385235</v>
      </c>
      <c r="FW96" s="26">
        <f t="shared" si="383"/>
        <v>-28.653815810398502</v>
      </c>
      <c r="GH96" s="26">
        <f t="shared" si="314"/>
        <v>1.1996145440464339</v>
      </c>
      <c r="GI96" s="26">
        <f t="shared" si="314"/>
        <v>1.3228251544492722</v>
      </c>
      <c r="GJ96" s="26">
        <f t="shared" si="282"/>
        <v>1.4662662514136471</v>
      </c>
      <c r="GK96" s="26">
        <f t="shared" si="162"/>
        <v>1.6349747966234813</v>
      </c>
      <c r="GL96" s="26">
        <f t="shared" si="162"/>
        <v>1.835762489377802</v>
      </c>
      <c r="GM96" s="26">
        <f t="shared" si="162"/>
        <v>2.0776503912048683</v>
      </c>
      <c r="GN96" s="26">
        <f t="shared" si="162"/>
        <v>2.3723150100556292</v>
      </c>
      <c r="GO96" s="26">
        <f t="shared" si="275"/>
        <v>2.7348021218233045</v>
      </c>
      <c r="GP96" s="26">
        <f t="shared" si="265"/>
        <v>3.1847668124448321</v>
      </c>
      <c r="GQ96" s="26">
        <f t="shared" si="384"/>
        <v>3.7492752463643364</v>
      </c>
      <c r="GR96" s="26">
        <f t="shared" si="385"/>
        <v>4.4659871201102677</v>
      </c>
      <c r="GS96" s="26">
        <f t="shared" si="386"/>
        <v>5.387226519885016</v>
      </c>
      <c r="GT96" s="26">
        <f t="shared" si="315"/>
        <v>6.5867771767978853</v>
      </c>
      <c r="HC96" s="26">
        <f t="shared" si="316"/>
        <v>-2.2972094735245512</v>
      </c>
      <c r="HD96" s="26">
        <f t="shared" si="316"/>
        <v>-3.6358609127515633</v>
      </c>
      <c r="HE96" s="26">
        <f t="shared" si="283"/>
        <v>-5.1385524230110589</v>
      </c>
      <c r="HF96" s="26">
        <f t="shared" si="166"/>
        <v>-6.8448540568255432</v>
      </c>
      <c r="HG96" s="26">
        <f t="shared" si="166"/>
        <v>-8.8082634924433538</v>
      </c>
      <c r="HH96" s="26">
        <f t="shared" si="166"/>
        <v>-11.100642158246824</v>
      </c>
      <c r="HI96" s="26">
        <f t="shared" si="166"/>
        <v>-13.816826519438347</v>
      </c>
      <c r="HJ96" s="26">
        <f t="shared" si="276"/>
        <v>-17.080821236762148</v>
      </c>
      <c r="HK96" s="26">
        <f t="shared" si="266"/>
        <v>-21.055709646077371</v>
      </c>
      <c r="HL96" s="26">
        <f t="shared" si="387"/>
        <v>-25.96514316021668</v>
      </c>
      <c r="HM96" s="26">
        <f t="shared" si="388"/>
        <v>-32.119802930508762</v>
      </c>
      <c r="HN96" s="26">
        <f t="shared" si="389"/>
        <v>-39.951723075322455</v>
      </c>
      <c r="HO96" s="26">
        <f t="shared" si="317"/>
        <v>-50.070267865558137</v>
      </c>
      <c r="HP96" s="26">
        <f t="shared" si="318"/>
        <v>1031889.3409120624</v>
      </c>
      <c r="HX96" s="26">
        <f t="shared" si="319"/>
        <v>648568.64320533094</v>
      </c>
      <c r="HY96" s="26">
        <f t="shared" si="320"/>
        <v>693436.58388464618</v>
      </c>
      <c r="HZ96" s="26">
        <f t="shared" si="321"/>
        <v>752637.58509796485</v>
      </c>
      <c r="IA96" s="26">
        <f t="shared" si="322"/>
        <v>830368.75180741725</v>
      </c>
      <c r="IB96" s="26">
        <f t="shared" si="323"/>
        <v>932344.52914356941</v>
      </c>
      <c r="IC96" s="26">
        <f t="shared" si="324"/>
        <v>1066286.7588751516</v>
      </c>
      <c r="ID96" s="26">
        <f t="shared" si="325"/>
        <v>1242434.3270251416</v>
      </c>
      <c r="IE96" s="26">
        <f t="shared" si="326"/>
        <v>1474222.8565749633</v>
      </c>
      <c r="IF96" s="26">
        <f t="shared" si="327"/>
        <v>1779368.344939355</v>
      </c>
      <c r="IG96" s="26">
        <f t="shared" si="328"/>
        <v>2182212.3054671353</v>
      </c>
      <c r="IH96" s="26">
        <f t="shared" si="329"/>
        <v>2716620.8478375687</v>
      </c>
      <c r="II96" s="26">
        <f t="shared" si="330"/>
        <v>-647174.87531983014</v>
      </c>
      <c r="IR96" s="26">
        <f t="shared" si="331"/>
        <v>667058.43483479205</v>
      </c>
      <c r="IS96" s="26">
        <f t="shared" si="332"/>
        <v>712888.80321622349</v>
      </c>
      <c r="IT96" s="26">
        <f t="shared" si="333"/>
        <v>773566.39163169893</v>
      </c>
      <c r="IU96" s="26">
        <f t="shared" si="334"/>
        <v>853432.30439383886</v>
      </c>
      <c r="IV96" s="26">
        <f t="shared" si="335"/>
        <v>958396.6831123539</v>
      </c>
      <c r="IW96" s="26">
        <f t="shared" si="336"/>
        <v>1096446.8131947117</v>
      </c>
      <c r="IX96" s="26">
        <f t="shared" si="337"/>
        <v>1278177.0316244063</v>
      </c>
      <c r="IY96" s="26">
        <f t="shared" si="338"/>
        <v>1517495.4877238302</v>
      </c>
      <c r="IZ96" s="26">
        <f t="shared" si="339"/>
        <v>1832749.3952875359</v>
      </c>
      <c r="JA96" s="26">
        <f t="shared" si="340"/>
        <v>2249154.1275476185</v>
      </c>
      <c r="JB96" s="26">
        <f t="shared" si="341"/>
        <v>2801801.5145278643</v>
      </c>
      <c r="JC96" s="26">
        <f t="shared" si="342"/>
        <v>-659660.58155128709</v>
      </c>
      <c r="JI96" s="26">
        <f t="shared" si="343"/>
        <v>0</v>
      </c>
      <c r="JJ96" s="26">
        <f t="shared" si="344"/>
        <v>0</v>
      </c>
      <c r="JK96" s="26">
        <f t="shared" si="345"/>
        <v>917176.84777303971</v>
      </c>
      <c r="JL96" s="26">
        <f t="shared" si="346"/>
        <v>1108758.562436033</v>
      </c>
      <c r="JM96" s="26">
        <f t="shared" si="347"/>
        <v>1333048.0547782429</v>
      </c>
      <c r="JN96" s="26">
        <f t="shared" si="348"/>
        <v>1598694.7862085316</v>
      </c>
      <c r="JO96" s="26">
        <f t="shared" si="349"/>
        <v>1917433.68468438</v>
      </c>
      <c r="JP96" s="26">
        <f t="shared" si="350"/>
        <v>2305076.2530499389</v>
      </c>
      <c r="JQ96" s="26">
        <f t="shared" si="351"/>
        <v>2782542.550186716</v>
      </c>
      <c r="JR96" s="26">
        <f t="shared" si="352"/>
        <v>3377242.2581679253</v>
      </c>
      <c r="JS96" s="26">
        <f t="shared" si="353"/>
        <v>4125278.9798383452</v>
      </c>
      <c r="JT96" s="26">
        <f t="shared" si="354"/>
        <v>5076219.0834411085</v>
      </c>
      <c r="JU96" s="26">
        <f t="shared" si="355"/>
        <v>6298981.1254678005</v>
      </c>
      <c r="JV96" s="26">
        <f t="shared" si="356"/>
        <v>3690252.5129722725</v>
      </c>
      <c r="JW96" s="26">
        <f t="shared" si="357"/>
        <v>5451612.5230459943</v>
      </c>
      <c r="JY96" s="34">
        <f t="shared" si="358"/>
        <v>7.5911935341325412E-2</v>
      </c>
      <c r="JZ96" s="4">
        <f t="shared" si="359"/>
        <v>0</v>
      </c>
      <c r="KA96" s="165"/>
    </row>
    <row r="97" spans="1:287" ht="15.75" x14ac:dyDescent="0.3">
      <c r="A97" s="34">
        <v>96</v>
      </c>
      <c r="B97" s="34">
        <v>69</v>
      </c>
      <c r="C97" s="2">
        <v>683352</v>
      </c>
      <c r="D97" s="1">
        <f t="shared" si="360"/>
        <v>18989</v>
      </c>
      <c r="E97" s="145">
        <f t="shared" si="361"/>
        <v>0.97221197859960895</v>
      </c>
      <c r="F97" s="146">
        <f t="shared" si="362"/>
        <v>2.778802140039105E-2</v>
      </c>
      <c r="G97" s="158">
        <f t="shared" si="284"/>
        <v>3.4735026750488812E-2</v>
      </c>
      <c r="H97" s="43">
        <f t="shared" si="363"/>
        <v>21564.329842785923</v>
      </c>
      <c r="I97" s="43">
        <f t="shared" si="390"/>
        <v>620823.75803791359</v>
      </c>
      <c r="J97" s="43">
        <f t="shared" si="364"/>
        <v>673857.5</v>
      </c>
      <c r="K97" s="147">
        <f>SUM(J97:$J$138)</f>
        <v>9782953</v>
      </c>
      <c r="L97" s="147">
        <f t="shared" si="365"/>
        <v>14.316125510717756</v>
      </c>
      <c r="M97" s="43">
        <f t="shared" si="285"/>
        <v>842321.875</v>
      </c>
      <c r="N97" s="148">
        <f t="shared" si="286"/>
        <v>12228691.25</v>
      </c>
      <c r="O97" s="147">
        <f t="shared" si="287"/>
        <v>17.895156888397196</v>
      </c>
      <c r="P97" s="157">
        <f t="shared" si="288"/>
        <v>57820.812844355773</v>
      </c>
      <c r="Q97" s="43">
        <f t="shared" si="289"/>
        <v>854190</v>
      </c>
      <c r="R97" s="43">
        <f t="shared" si="290"/>
        <v>1974.1568515841511</v>
      </c>
      <c r="S97" s="43">
        <f>SUM(R97:$R$138)</f>
        <v>38543.196970519821</v>
      </c>
      <c r="T97" s="43">
        <f t="shared" si="366"/>
        <v>438991.65729078412</v>
      </c>
      <c r="U97" s="153">
        <f>SUM(P97:$P$138)</f>
        <v>589503.97809554788</v>
      </c>
      <c r="V97" s="129">
        <f t="shared" si="291"/>
        <v>261981.18319677183</v>
      </c>
      <c r="W97" s="43">
        <f t="shared" si="292"/>
        <v>33322.919282020994</v>
      </c>
      <c r="X97" s="26">
        <f t="shared" si="367"/>
        <v>5.6644446659789125</v>
      </c>
      <c r="Y97" s="26">
        <f t="shared" si="368"/>
        <v>0.57631357365592339</v>
      </c>
      <c r="Z97" s="43">
        <f t="shared" si="293"/>
        <v>24888.084297713383</v>
      </c>
      <c r="AA97" s="149">
        <f t="shared" si="369"/>
        <v>0.23616258577276975</v>
      </c>
      <c r="AB97" s="150">
        <f t="shared" si="370"/>
        <v>531683.16525119205</v>
      </c>
      <c r="AC97" s="150">
        <f t="shared" si="371"/>
        <v>228658.26391475086</v>
      </c>
      <c r="AD97" s="26">
        <f t="shared" si="372"/>
        <v>5.2407582396348342</v>
      </c>
      <c r="AE97" s="26">
        <f t="shared" si="294"/>
        <v>604241.82124072523</v>
      </c>
      <c r="AF97" s="43">
        <f t="shared" si="295"/>
        <v>106672.7379066562</v>
      </c>
      <c r="AG97" s="43">
        <f t="shared" si="296"/>
        <v>627147.87806276244</v>
      </c>
      <c r="AH97" s="27">
        <f t="shared" si="297"/>
        <v>114559.37210605561</v>
      </c>
      <c r="AI97" s="28">
        <f t="shared" si="298"/>
        <v>674352.55705673387</v>
      </c>
      <c r="AJ97" s="20">
        <f t="shared" si="299"/>
        <v>123182.12054414583</v>
      </c>
      <c r="AK97" s="3">
        <f t="shared" si="300"/>
        <v>10675.78378049264</v>
      </c>
      <c r="AL97" s="3"/>
      <c r="AM97" s="46">
        <f t="shared" si="373"/>
        <v>531683.16525119205</v>
      </c>
      <c r="AN97" s="46">
        <f t="shared" si="374"/>
        <v>477758.13591450383</v>
      </c>
      <c r="AO97" s="46">
        <f t="shared" si="374"/>
        <v>427598.80903629219</v>
      </c>
      <c r="AP97" s="3">
        <f t="shared" si="393"/>
        <v>381075.0024663306</v>
      </c>
      <c r="AQ97" s="3">
        <f t="shared" si="393"/>
        <v>338054.11876679707</v>
      </c>
      <c r="AR97" s="16">
        <f t="shared" si="393"/>
        <v>298401.41214207554</v>
      </c>
      <c r="AS97" s="16">
        <f t="shared" si="393"/>
        <v>261981.18319677183</v>
      </c>
      <c r="AT97" s="16">
        <f t="shared" si="393"/>
        <v>228658.26391475086</v>
      </c>
      <c r="AU97" s="16">
        <f t="shared" si="393"/>
        <v>198298.32110974428</v>
      </c>
      <c r="AV97" s="16">
        <f t="shared" si="393"/>
        <v>170766.16478295706</v>
      </c>
      <c r="AW97" s="16">
        <f t="shared" si="393"/>
        <v>145927.40926349355</v>
      </c>
      <c r="AX97" s="16">
        <f t="shared" si="391"/>
        <v>123651.69649989734</v>
      </c>
      <c r="AY97" s="16">
        <f t="shared" si="391"/>
        <v>103812.40402277096</v>
      </c>
      <c r="AZ97" s="16">
        <f t="shared" si="391"/>
        <v>86282.876870619526</v>
      </c>
      <c r="BA97" s="16">
        <f t="shared" si="391"/>
        <v>70930.687641563578</v>
      </c>
      <c r="BB97" s="16">
        <f t="shared" si="391"/>
        <v>57613.36985294702</v>
      </c>
      <c r="BC97" s="16">
        <f t="shared" si="391"/>
        <v>46177.609845970153</v>
      </c>
      <c r="BD97" s="16">
        <f t="shared" si="301"/>
        <v>36463.671403968496</v>
      </c>
      <c r="BE97" s="16">
        <f t="shared" si="301"/>
        <v>28308.648121141709</v>
      </c>
      <c r="BF97" s="16">
        <f t="shared" si="301"/>
        <v>21548.169642861361</v>
      </c>
      <c r="BG97" s="16">
        <f t="shared" si="301"/>
        <v>16018.875426929008</v>
      </c>
      <c r="BH97" s="172">
        <f t="shared" si="375"/>
        <v>53925.029336687992</v>
      </c>
      <c r="BI97" s="16">
        <f t="shared" si="392"/>
        <v>50159.326878211672</v>
      </c>
      <c r="BJ97" s="16">
        <f t="shared" si="392"/>
        <v>46523.806569961562</v>
      </c>
      <c r="BK97" s="16">
        <f t="shared" si="392"/>
        <v>43020.8836995335</v>
      </c>
      <c r="BL97" s="16">
        <f t="shared" si="392"/>
        <v>39652.706624721577</v>
      </c>
      <c r="BM97" s="16">
        <f t="shared" si="392"/>
        <v>36420.228945303788</v>
      </c>
      <c r="BN97" s="16">
        <f t="shared" si="392"/>
        <v>33322.919282020994</v>
      </c>
      <c r="BO97" s="16">
        <f t="shared" si="392"/>
        <v>30359.942805006591</v>
      </c>
      <c r="BP97" s="16">
        <f t="shared" si="392"/>
        <v>27532.156326787204</v>
      </c>
      <c r="BQ97" s="16">
        <f t="shared" si="392"/>
        <v>24838.755519463502</v>
      </c>
      <c r="BR97" s="16">
        <f t="shared" si="392"/>
        <v>22275.712763596202</v>
      </c>
      <c r="BS97" s="16">
        <f t="shared" si="392"/>
        <v>19839.292477126361</v>
      </c>
      <c r="BT97" s="16">
        <f t="shared" si="392"/>
        <v>17529.527152151433</v>
      </c>
      <c r="BU97" s="16">
        <f t="shared" si="392"/>
        <v>15352.18922905595</v>
      </c>
      <c r="BV97" s="16">
        <f t="shared" si="149"/>
        <v>13317.317788616554</v>
      </c>
      <c r="BW97" s="16">
        <f t="shared" si="149"/>
        <v>11435.760006976861</v>
      </c>
      <c r="BX97" s="16">
        <f t="shared" si="149"/>
        <v>9713.938442001665</v>
      </c>
      <c r="BY97" s="16">
        <f t="shared" si="149"/>
        <v>8155.0232828267881</v>
      </c>
      <c r="BZ97" s="16">
        <f t="shared" si="149"/>
        <v>6760.4784782803481</v>
      </c>
      <c r="CA97" s="16">
        <f t="shared" si="149"/>
        <v>5529.2942159323538</v>
      </c>
      <c r="CB97" s="16">
        <f t="shared" si="149"/>
        <v>4458.4313671326408</v>
      </c>
      <c r="CC97" s="18">
        <f t="shared" si="376"/>
        <v>5.0014248554321687</v>
      </c>
      <c r="CD97" s="18">
        <f t="shared" si="376"/>
        <v>4.3018311079342197</v>
      </c>
      <c r="CE97" s="18">
        <f t="shared" si="376"/>
        <v>3.55984684078823</v>
      </c>
      <c r="CF97" s="18">
        <f t="shared" si="376"/>
        <v>2.7682792408759882</v>
      </c>
      <c r="CG97" s="18">
        <f t="shared" si="280"/>
        <v>1.9184802765165436</v>
      </c>
      <c r="CH97" s="18">
        <f t="shared" si="150"/>
        <v>0.99999999999999778</v>
      </c>
      <c r="CI97" s="18">
        <f t="shared" si="150"/>
        <v>0</v>
      </c>
      <c r="CJ97" s="18">
        <f t="shared" si="150"/>
        <v>-1.0975949294781202</v>
      </c>
      <c r="CK97" s="18">
        <f t="shared" si="150"/>
        <v>-2.313035758302294</v>
      </c>
      <c r="CL97" s="18">
        <f t="shared" si="151"/>
        <v>-3.6722861715974147</v>
      </c>
      <c r="CM97" s="18">
        <f t="shared" si="151"/>
        <v>-5.2098792602020652</v>
      </c>
      <c r="CN97" s="18">
        <f t="shared" si="151"/>
        <v>-6.9725010030655561</v>
      </c>
      <c r="CO97" s="18">
        <f t="shared" si="151"/>
        <v>-9.0229917670419599</v>
      </c>
      <c r="CP97" s="18">
        <f t="shared" si="271"/>
        <v>-11.444511509382723</v>
      </c>
      <c r="CQ97" s="18">
        <f t="shared" si="272"/>
        <v>-14.346019114938848</v>
      </c>
      <c r="CR97" s="18">
        <f t="shared" si="273"/>
        <v>-17.870942833632547</v>
      </c>
      <c r="CS97" s="18">
        <f t="shared" si="267"/>
        <v>-22.21586791385235</v>
      </c>
      <c r="CT97" s="18">
        <f t="shared" si="377"/>
        <v>-27.653815810398502</v>
      </c>
      <c r="CU97" s="18">
        <f t="shared" si="378"/>
        <v>-34.564496555437451</v>
      </c>
      <c r="CV97" s="18">
        <f t="shared" si="379"/>
        <v>-43.483490688760263</v>
      </c>
      <c r="CW97" s="18">
        <f t="shared" si="380"/>
        <v>-55.167902680540536</v>
      </c>
      <c r="CX97" s="17">
        <f t="shared" si="302"/>
        <v>1975.8460811551965</v>
      </c>
      <c r="CY97" s="17">
        <f t="shared" si="381"/>
        <v>1972.9572612906529</v>
      </c>
      <c r="CZ97" s="17">
        <f t="shared" si="381"/>
        <v>1963.1325772642524</v>
      </c>
      <c r="DA97" s="17">
        <f t="shared" si="381"/>
        <v>1946.5604965391135</v>
      </c>
      <c r="DB97" s="17">
        <f t="shared" si="381"/>
        <v>1924.3825953648957</v>
      </c>
      <c r="DC97" s="17">
        <f t="shared" si="381"/>
        <v>1898.0768096081936</v>
      </c>
      <c r="DD97" s="17">
        <f t="shared" si="381"/>
        <v>1867.9701356980975</v>
      </c>
      <c r="DE97" s="17">
        <f t="shared" si="381"/>
        <v>1832.3703028506459</v>
      </c>
      <c r="DF97" s="3" t="e">
        <f>#REF!+$AG$35*0.004*(1+$R$28)*#REF!-S97*#REF!</f>
        <v>#REF!</v>
      </c>
      <c r="DG97" s="19">
        <f t="shared" si="303"/>
        <v>2996.8043098128401</v>
      </c>
      <c r="DH97" s="19">
        <f t="shared" si="304"/>
        <v>2851.1049881670492</v>
      </c>
      <c r="DI97" s="19">
        <f t="shared" si="305"/>
        <v>2689.8164783362017</v>
      </c>
      <c r="DJ97" s="19">
        <f t="shared" si="306"/>
        <v>2511.6589538566845</v>
      </c>
      <c r="DK97" s="19">
        <f t="shared" si="307"/>
        <v>2316.0086382313752</v>
      </c>
      <c r="DL97" s="19">
        <f t="shared" si="308"/>
        <v>2102.2102832019741</v>
      </c>
      <c r="DM97" s="19">
        <f t="shared" si="309"/>
        <v>1867.9701356980975</v>
      </c>
      <c r="DN97" s="19">
        <f t="shared" si="310"/>
        <v>1608.3144372973561</v>
      </c>
      <c r="DO97" s="25"/>
      <c r="DP97" s="25"/>
      <c r="DW97" s="26">
        <f t="shared" si="279"/>
        <v>0</v>
      </c>
      <c r="DX97" s="26">
        <f t="shared" si="279"/>
        <v>0</v>
      </c>
      <c r="DY97" s="26">
        <f t="shared" si="279"/>
        <v>0</v>
      </c>
      <c r="DZ97" s="26">
        <f t="shared" si="279"/>
        <v>0</v>
      </c>
      <c r="EA97" s="26">
        <f t="shared" si="279"/>
        <v>0</v>
      </c>
      <c r="EB97" s="26">
        <f t="shared" si="279"/>
        <v>0</v>
      </c>
      <c r="EC97" s="26">
        <f t="shared" si="311"/>
        <v>0</v>
      </c>
      <c r="ED97" s="26">
        <f t="shared" si="311"/>
        <v>0</v>
      </c>
      <c r="EE97" s="26">
        <f t="shared" si="311"/>
        <v>0</v>
      </c>
      <c r="EF97" s="26">
        <f t="shared" si="311"/>
        <v>0</v>
      </c>
      <c r="EG97" s="26">
        <f t="shared" si="311"/>
        <v>0</v>
      </c>
      <c r="EH97" s="26">
        <f t="shared" si="311"/>
        <v>0</v>
      </c>
      <c r="EI97" s="26">
        <f t="shared" si="311"/>
        <v>0</v>
      </c>
      <c r="ER97" s="26">
        <f t="shared" si="312"/>
        <v>-0.90396422286396472</v>
      </c>
      <c r="ES97" s="26">
        <f t="shared" si="312"/>
        <v>-1.0019859601344048</v>
      </c>
      <c r="ET97" s="26">
        <f t="shared" si="312"/>
        <v>-1.1172744307596933</v>
      </c>
      <c r="EU97" s="26">
        <f t="shared" si="312"/>
        <v>-1.2544844694642214</v>
      </c>
      <c r="EV97" s="26">
        <f t="shared" si="312"/>
        <v>-1.4197806981153407</v>
      </c>
      <c r="EW97" s="26">
        <f t="shared" si="312"/>
        <v>-1.6211423612867897</v>
      </c>
      <c r="EX97" s="26">
        <f t="shared" si="312"/>
        <v>-1.8688511224825879</v>
      </c>
      <c r="EY97" s="26">
        <f t="shared" si="269"/>
        <v>-2.1763384578313443</v>
      </c>
      <c r="EZ97" s="26">
        <f t="shared" si="269"/>
        <v>-2.5621002692482491</v>
      </c>
      <c r="FA97" s="26">
        <f t="shared" si="269"/>
        <v>-3.0518716421231833</v>
      </c>
      <c r="FB97" s="26">
        <f t="shared" si="269"/>
        <v>-3.6814087017172379</v>
      </c>
      <c r="FC97" s="26">
        <f t="shared" si="269"/>
        <v>-4.5011322106897032</v>
      </c>
      <c r="FD97" s="26">
        <f t="shared" si="269"/>
        <v>-5.5822513005778767</v>
      </c>
      <c r="FM97" s="26">
        <f t="shared" si="313"/>
        <v>-2.1027085000047063</v>
      </c>
      <c r="FN97" s="26">
        <f t="shared" si="313"/>
        <v>-3.3307165725927734</v>
      </c>
      <c r="FO97" s="26">
        <f t="shared" si="281"/>
        <v>-4.713948708588986</v>
      </c>
      <c r="FP97" s="26">
        <f t="shared" si="158"/>
        <v>-6.2928584795007421</v>
      </c>
      <c r="FQ97" s="26">
        <f t="shared" si="158"/>
        <v>-8.1220323747670129</v>
      </c>
      <c r="FR97" s="26">
        <f t="shared" si="158"/>
        <v>-10.273946856691163</v>
      </c>
      <c r="FS97" s="26">
        <f t="shared" si="158"/>
        <v>-12.843794582120019</v>
      </c>
      <c r="FT97" s="26">
        <f t="shared" si="274"/>
        <v>-15.957020255536213</v>
      </c>
      <c r="FU97" s="26">
        <f t="shared" si="268"/>
        <v>-19.785444766641792</v>
      </c>
      <c r="FV97" s="26">
        <f t="shared" si="382"/>
        <v>-24.567632592234816</v>
      </c>
      <c r="FW97" s="26">
        <f t="shared" si="383"/>
        <v>-30.635419510213687</v>
      </c>
      <c r="GH97" s="26">
        <f t="shared" si="314"/>
        <v>1.2103272582975897</v>
      </c>
      <c r="GI97" s="26">
        <f t="shared" si="314"/>
        <v>1.3415695990046421</v>
      </c>
      <c r="GJ97" s="26">
        <f t="shared" si="282"/>
        <v>1.4959305516130801</v>
      </c>
      <c r="GK97" s="26">
        <f t="shared" si="162"/>
        <v>1.6796425235648162</v>
      </c>
      <c r="GL97" s="26">
        <f t="shared" si="162"/>
        <v>1.9009593922749484</v>
      </c>
      <c r="GM97" s="26">
        <f t="shared" si="162"/>
        <v>2.1705646526915636</v>
      </c>
      <c r="GN97" s="26">
        <f t="shared" si="162"/>
        <v>2.5022245328188331</v>
      </c>
      <c r="GO97" s="26">
        <f t="shared" si="275"/>
        <v>2.9139225780963365</v>
      </c>
      <c r="GP97" s="26">
        <f t="shared" si="265"/>
        <v>3.43042314721056</v>
      </c>
      <c r="GQ97" s="26">
        <f t="shared" si="384"/>
        <v>4.0861832181636908</v>
      </c>
      <c r="GR97" s="26">
        <f t="shared" si="385"/>
        <v>4.9290770452237709</v>
      </c>
      <c r="GS97" s="26">
        <f t="shared" si="386"/>
        <v>6.0266135207641609</v>
      </c>
      <c r="GT97" s="26">
        <f t="shared" si="315"/>
        <v>7.4741353041063014</v>
      </c>
      <c r="HC97" s="26">
        <f t="shared" si="316"/>
        <v>-2.313035758302294</v>
      </c>
      <c r="HD97" s="26">
        <f t="shared" si="316"/>
        <v>-3.6722861715974147</v>
      </c>
      <c r="HE97" s="26">
        <f t="shared" si="283"/>
        <v>-5.2098792602020652</v>
      </c>
      <c r="HF97" s="26">
        <f t="shared" si="166"/>
        <v>-6.9725010030655561</v>
      </c>
      <c r="HG97" s="26">
        <f t="shared" si="166"/>
        <v>-9.0229917670419599</v>
      </c>
      <c r="HH97" s="26">
        <f t="shared" si="166"/>
        <v>-11.444511509382723</v>
      </c>
      <c r="HI97" s="26">
        <f t="shared" si="166"/>
        <v>-14.346019114938848</v>
      </c>
      <c r="HJ97" s="26">
        <f t="shared" si="276"/>
        <v>-17.870942833632547</v>
      </c>
      <c r="HK97" s="26">
        <f t="shared" si="266"/>
        <v>-22.21586791385235</v>
      </c>
      <c r="HL97" s="26">
        <f t="shared" si="387"/>
        <v>-27.653815810398502</v>
      </c>
      <c r="HM97" s="26">
        <f t="shared" si="388"/>
        <v>-34.564496555437451</v>
      </c>
      <c r="HN97" s="26">
        <f t="shared" si="389"/>
        <v>-43.483490688760263</v>
      </c>
      <c r="HO97" s="26">
        <f t="shared" si="317"/>
        <v>-55.167902680540536</v>
      </c>
      <c r="HP97" s="26">
        <f t="shared" si="318"/>
        <v>1031889.3409120624</v>
      </c>
      <c r="HX97" s="26">
        <f t="shared" si="319"/>
        <v>649140.36215808115</v>
      </c>
      <c r="HY97" s="26">
        <f t="shared" si="320"/>
        <v>695945.31325866934</v>
      </c>
      <c r="HZ97" s="26">
        <f t="shared" si="321"/>
        <v>758586.04075077537</v>
      </c>
      <c r="IA97" s="26">
        <f t="shared" si="322"/>
        <v>842020.91380837839</v>
      </c>
      <c r="IB97" s="26">
        <f t="shared" si="323"/>
        <v>952969.18370393</v>
      </c>
      <c r="IC97" s="26">
        <f t="shared" si="324"/>
        <v>1100370.8326849069</v>
      </c>
      <c r="ID97" s="26">
        <f t="shared" si="325"/>
        <v>1295986.575934445</v>
      </c>
      <c r="IE97" s="26">
        <f t="shared" si="326"/>
        <v>1555343.0573046594</v>
      </c>
      <c r="IF97" s="26">
        <f t="shared" si="327"/>
        <v>1899765.1864880542</v>
      </c>
      <c r="IG97" s="26">
        <f t="shared" si="328"/>
        <v>2358919.9127668394</v>
      </c>
      <c r="IH97" s="26">
        <f t="shared" si="329"/>
        <v>2974124.5611267909</v>
      </c>
      <c r="II97" s="26">
        <f t="shared" si="330"/>
        <v>-604770.88836419815</v>
      </c>
      <c r="IR97" s="26">
        <f t="shared" si="331"/>
        <v>667640.64150864992</v>
      </c>
      <c r="IS97" s="26">
        <f t="shared" si="332"/>
        <v>715459.2609263903</v>
      </c>
      <c r="IT97" s="26">
        <f t="shared" si="333"/>
        <v>779670.3933005447</v>
      </c>
      <c r="IU97" s="26">
        <f t="shared" si="334"/>
        <v>865399.5777802068</v>
      </c>
      <c r="IV97" s="26">
        <f t="shared" si="335"/>
        <v>979593.31577800529</v>
      </c>
      <c r="IW97" s="26">
        <f t="shared" si="336"/>
        <v>1131496.765489602</v>
      </c>
      <c r="IX97" s="26">
        <f t="shared" si="337"/>
        <v>1333277.2356438395</v>
      </c>
      <c r="IY97" s="26">
        <f t="shared" si="338"/>
        <v>1601005.1619894658</v>
      </c>
      <c r="IZ97" s="26">
        <f t="shared" si="339"/>
        <v>1956758.1420826958</v>
      </c>
      <c r="JA97" s="26">
        <f t="shared" si="340"/>
        <v>2431258.920826735</v>
      </c>
      <c r="JB97" s="26">
        <f t="shared" si="341"/>
        <v>3067310.5857291901</v>
      </c>
      <c r="JC97" s="26">
        <f t="shared" si="342"/>
        <v>-615371.89752690366</v>
      </c>
      <c r="JI97" s="26">
        <f t="shared" si="343"/>
        <v>0</v>
      </c>
      <c r="JJ97" s="26">
        <f t="shared" si="344"/>
        <v>0</v>
      </c>
      <c r="JK97" s="26">
        <f t="shared" si="345"/>
        <v>923732.02437890437</v>
      </c>
      <c r="JL97" s="26">
        <f t="shared" si="346"/>
        <v>1122042.1858137914</v>
      </c>
      <c r="JM97" s="26">
        <f t="shared" si="347"/>
        <v>1356490.3493013442</v>
      </c>
      <c r="JN97" s="26">
        <f t="shared" si="348"/>
        <v>1637370.9653950161</v>
      </c>
      <c r="JO97" s="26">
        <f t="shared" si="349"/>
        <v>1978588.0053130672</v>
      </c>
      <c r="JP97" s="26">
        <f t="shared" si="350"/>
        <v>2398593.8123867596</v>
      </c>
      <c r="JQ97" s="26">
        <f t="shared" si="351"/>
        <v>2921619.2492253035</v>
      </c>
      <c r="JR97" s="26">
        <f t="shared" si="352"/>
        <v>3579614.6352901813</v>
      </c>
      <c r="JS97" s="26">
        <f t="shared" si="353"/>
        <v>4416422.812332822</v>
      </c>
      <c r="JT97" s="26">
        <f t="shared" si="354"/>
        <v>5492994.5239642262</v>
      </c>
      <c r="JU97" s="26">
        <f t="shared" si="355"/>
        <v>6894173.0496251266</v>
      </c>
      <c r="JV97" s="26">
        <f t="shared" si="356"/>
        <v>4198970.9947264297</v>
      </c>
      <c r="JW97" s="26">
        <f t="shared" si="357"/>
        <v>6108000.8974356856</v>
      </c>
      <c r="JY97" s="34">
        <f t="shared" si="358"/>
        <v>7.7788021400391053E-2</v>
      </c>
      <c r="JZ97" s="4">
        <f t="shared" si="359"/>
        <v>0</v>
      </c>
      <c r="KA97" s="165"/>
    </row>
    <row r="98" spans="1:287" ht="15.75" x14ac:dyDescent="0.3">
      <c r="A98" s="34">
        <v>97</v>
      </c>
      <c r="B98" s="34">
        <v>70</v>
      </c>
      <c r="C98" s="2">
        <v>664363</v>
      </c>
      <c r="D98" s="1">
        <f t="shared" si="360"/>
        <v>19812</v>
      </c>
      <c r="E98" s="145">
        <f t="shared" si="361"/>
        <v>0.97017895337338167</v>
      </c>
      <c r="F98" s="146">
        <f t="shared" si="362"/>
        <v>2.982104662661833E-2</v>
      </c>
      <c r="G98" s="158">
        <f t="shared" si="284"/>
        <v>3.7276308283272913E-2</v>
      </c>
      <c r="H98" s="43">
        <f t="shared" si="363"/>
        <v>22338.179187059424</v>
      </c>
      <c r="I98" s="43">
        <f t="shared" si="390"/>
        <v>599259.42819512764</v>
      </c>
      <c r="J98" s="43">
        <f t="shared" si="364"/>
        <v>654457</v>
      </c>
      <c r="K98" s="147">
        <f>SUM(J98:$J$138)</f>
        <v>9109095.5</v>
      </c>
      <c r="L98" s="147">
        <f t="shared" si="365"/>
        <v>13.711021685434018</v>
      </c>
      <c r="M98" s="43">
        <f t="shared" si="285"/>
        <v>818071.25</v>
      </c>
      <c r="N98" s="148">
        <f t="shared" si="286"/>
        <v>11386369.375</v>
      </c>
      <c r="O98" s="147">
        <f t="shared" si="287"/>
        <v>17.138777106792521</v>
      </c>
      <c r="P98" s="157">
        <f t="shared" si="288"/>
        <v>53925.029336687992</v>
      </c>
      <c r="Q98" s="43">
        <f t="shared" si="289"/>
        <v>830453.75</v>
      </c>
      <c r="R98" s="43">
        <f t="shared" si="290"/>
        <v>1975.8460811551965</v>
      </c>
      <c r="S98" s="43">
        <f>SUM(R98:$R$138)</f>
        <v>36569.040118935685</v>
      </c>
      <c r="T98" s="43">
        <f t="shared" si="366"/>
        <v>400448.46032026433</v>
      </c>
      <c r="U98" s="153">
        <f>SUM(P98:$P$138)</f>
        <v>531683.16525119205</v>
      </c>
      <c r="V98" s="129">
        <f t="shared" si="291"/>
        <v>228658.26391475086</v>
      </c>
      <c r="W98" s="43">
        <f t="shared" si="292"/>
        <v>30359.942805006591</v>
      </c>
      <c r="X98" s="26">
        <f t="shared" si="367"/>
        <v>5.6193738800671849</v>
      </c>
      <c r="Y98" s="26">
        <f t="shared" si="368"/>
        <v>0.56300280553303561</v>
      </c>
      <c r="Z98" s="43">
        <f t="shared" si="293"/>
        <v>23020.114162015281</v>
      </c>
      <c r="AA98" s="149">
        <f t="shared" si="369"/>
        <v>0.25125486482957493</v>
      </c>
      <c r="AB98" s="150">
        <f t="shared" si="370"/>
        <v>477758.13591450383</v>
      </c>
      <c r="AC98" s="150">
        <f t="shared" si="371"/>
        <v>198298.32110974428</v>
      </c>
      <c r="AD98" s="26">
        <f t="shared" si="372"/>
        <v>5.1823766856002171</v>
      </c>
      <c r="AE98" s="26">
        <f t="shared" si="294"/>
        <v>610273.54225127585</v>
      </c>
      <c r="AF98" s="43">
        <f t="shared" si="295"/>
        <v>108601.69749801012</v>
      </c>
      <c r="AG98" s="43">
        <f t="shared" si="296"/>
        <v>633322.52678727277</v>
      </c>
      <c r="AH98" s="27">
        <f t="shared" si="297"/>
        <v>116546.20048515016</v>
      </c>
      <c r="AI98" s="28">
        <f t="shared" si="298"/>
        <v>680991.96428739012</v>
      </c>
      <c r="AJ98" s="20">
        <f t="shared" si="299"/>
        <v>125318.49514532275</v>
      </c>
      <c r="AK98" s="3">
        <f t="shared" si="300"/>
        <v>10860.936245927971</v>
      </c>
      <c r="AL98" s="3"/>
      <c r="AM98" s="46">
        <f t="shared" si="373"/>
        <v>477758.13591450383</v>
      </c>
      <c r="AN98" s="46">
        <f t="shared" si="374"/>
        <v>427598.80903629219</v>
      </c>
      <c r="AO98" s="46">
        <f t="shared" si="374"/>
        <v>381075.0024663306</v>
      </c>
      <c r="AP98" s="3">
        <f t="shared" si="393"/>
        <v>338054.11876679707</v>
      </c>
      <c r="AQ98" s="3">
        <f t="shared" si="393"/>
        <v>298401.41214207554</v>
      </c>
      <c r="AR98" s="16">
        <f t="shared" si="393"/>
        <v>261981.18319677183</v>
      </c>
      <c r="AS98" s="16">
        <f t="shared" si="393"/>
        <v>228658.26391475086</v>
      </c>
      <c r="AT98" s="16">
        <f t="shared" si="393"/>
        <v>198298.32110974428</v>
      </c>
      <c r="AU98" s="16">
        <f t="shared" si="393"/>
        <v>170766.16478295706</v>
      </c>
      <c r="AV98" s="16">
        <f t="shared" si="393"/>
        <v>145927.40926349355</v>
      </c>
      <c r="AW98" s="16">
        <f t="shared" si="393"/>
        <v>123651.69649989734</v>
      </c>
      <c r="AX98" s="16">
        <f t="shared" si="391"/>
        <v>103812.40402277096</v>
      </c>
      <c r="AY98" s="16">
        <f t="shared" si="391"/>
        <v>86282.876870619526</v>
      </c>
      <c r="AZ98" s="16">
        <f t="shared" si="391"/>
        <v>70930.687641563578</v>
      </c>
      <c r="BA98" s="16">
        <f t="shared" si="391"/>
        <v>57613.36985294702</v>
      </c>
      <c r="BB98" s="16">
        <f t="shared" si="391"/>
        <v>46177.609845970153</v>
      </c>
      <c r="BC98" s="16">
        <f t="shared" si="391"/>
        <v>36463.671403968496</v>
      </c>
      <c r="BD98" s="16">
        <f t="shared" si="301"/>
        <v>28308.648121141709</v>
      </c>
      <c r="BE98" s="16">
        <f t="shared" si="301"/>
        <v>21548.169642861361</v>
      </c>
      <c r="BF98" s="16">
        <f t="shared" si="301"/>
        <v>16018.875426929008</v>
      </c>
      <c r="BG98" s="16">
        <f t="shared" si="301"/>
        <v>11560.444059796366</v>
      </c>
      <c r="BH98" s="172">
        <f t="shared" si="375"/>
        <v>50159.326878211672</v>
      </c>
      <c r="BI98" s="16">
        <f t="shared" si="392"/>
        <v>46523.806569961562</v>
      </c>
      <c r="BJ98" s="16">
        <f t="shared" si="392"/>
        <v>43020.8836995335</v>
      </c>
      <c r="BK98" s="16">
        <f t="shared" si="392"/>
        <v>39652.706624721577</v>
      </c>
      <c r="BL98" s="16">
        <f t="shared" si="392"/>
        <v>36420.228945303788</v>
      </c>
      <c r="BM98" s="16">
        <f t="shared" si="392"/>
        <v>33322.919282020994</v>
      </c>
      <c r="BN98" s="16">
        <f t="shared" si="392"/>
        <v>30359.942805006591</v>
      </c>
      <c r="BO98" s="16">
        <f t="shared" si="392"/>
        <v>27532.156326787204</v>
      </c>
      <c r="BP98" s="16">
        <f t="shared" si="392"/>
        <v>24838.755519463502</v>
      </c>
      <c r="BQ98" s="16">
        <f t="shared" si="392"/>
        <v>22275.712763596202</v>
      </c>
      <c r="BR98" s="16">
        <f t="shared" si="392"/>
        <v>19839.292477126361</v>
      </c>
      <c r="BS98" s="16">
        <f t="shared" si="392"/>
        <v>17529.527152151433</v>
      </c>
      <c r="BT98" s="16">
        <f t="shared" si="392"/>
        <v>15352.18922905595</v>
      </c>
      <c r="BU98" s="16">
        <f t="shared" si="392"/>
        <v>13317.317788616554</v>
      </c>
      <c r="BV98" s="16">
        <f t="shared" si="149"/>
        <v>11435.760006976861</v>
      </c>
      <c r="BW98" s="16">
        <f t="shared" si="149"/>
        <v>9713.938442001665</v>
      </c>
      <c r="BX98" s="16">
        <f t="shared" si="149"/>
        <v>8155.0232828267881</v>
      </c>
      <c r="BY98" s="16">
        <f t="shared" si="149"/>
        <v>6760.4784782803481</v>
      </c>
      <c r="BZ98" s="16">
        <f t="shared" si="149"/>
        <v>5529.2942159323538</v>
      </c>
      <c r="CA98" s="16">
        <f t="shared" si="149"/>
        <v>4458.4313671326408</v>
      </c>
      <c r="CB98" s="16">
        <f t="shared" si="149"/>
        <v>3541.7044455655696</v>
      </c>
      <c r="CC98" s="18">
        <f t="shared" si="376"/>
        <v>4.9661725446311271</v>
      </c>
      <c r="CD98" s="18">
        <f t="shared" si="376"/>
        <v>4.2761020601867248</v>
      </c>
      <c r="CE98" s="18">
        <f t="shared" si="376"/>
        <v>3.5428546660289193</v>
      </c>
      <c r="CF98" s="18">
        <f t="shared" si="376"/>
        <v>2.7588496262659432</v>
      </c>
      <c r="CG98" s="18">
        <f t="shared" si="280"/>
        <v>1.9149563373713421</v>
      </c>
      <c r="CH98" s="18">
        <f t="shared" si="150"/>
        <v>0.99999999999999933</v>
      </c>
      <c r="CI98" s="18">
        <f t="shared" si="150"/>
        <v>0</v>
      </c>
      <c r="CJ98" s="18">
        <f t="shared" si="150"/>
        <v>-1.1027085000047054</v>
      </c>
      <c r="CK98" s="18">
        <f t="shared" si="150"/>
        <v>-2.330716572592773</v>
      </c>
      <c r="CL98" s="18">
        <f t="shared" si="151"/>
        <v>-3.713948708588986</v>
      </c>
      <c r="CM98" s="18">
        <f t="shared" si="151"/>
        <v>-5.2928584795007412</v>
      </c>
      <c r="CN98" s="18">
        <f t="shared" si="151"/>
        <v>-7.122032374767012</v>
      </c>
      <c r="CO98" s="18">
        <f t="shared" si="151"/>
        <v>-9.2739468566911629</v>
      </c>
      <c r="CP98" s="18">
        <f t="shared" si="271"/>
        <v>-11.843794582120019</v>
      </c>
      <c r="CQ98" s="18">
        <f t="shared" si="272"/>
        <v>-14.957020255536213</v>
      </c>
      <c r="CR98" s="18">
        <f t="shared" si="273"/>
        <v>-18.785444766641792</v>
      </c>
      <c r="CS98" s="18">
        <f t="shared" si="267"/>
        <v>-23.567632592234816</v>
      </c>
      <c r="CT98" s="18">
        <f t="shared" si="377"/>
        <v>-29.635419510213683</v>
      </c>
      <c r="CU98" s="18">
        <f t="shared" si="378"/>
        <v>-37.456877167996105</v>
      </c>
      <c r="CV98" s="18">
        <f t="shared" si="379"/>
        <v>-47.693767376434238</v>
      </c>
      <c r="CW98" s="18">
        <f t="shared" si="380"/>
        <v>-61.297554099064996</v>
      </c>
      <c r="CX98" s="17">
        <f t="shared" si="302"/>
        <v>1972.9572612906529</v>
      </c>
      <c r="CY98" s="17">
        <f t="shared" si="381"/>
        <v>1963.1325772642524</v>
      </c>
      <c r="CZ98" s="17">
        <f t="shared" si="381"/>
        <v>1946.5604965391135</v>
      </c>
      <c r="DA98" s="17">
        <f t="shared" si="381"/>
        <v>1924.3825953648957</v>
      </c>
      <c r="DB98" s="17">
        <f t="shared" si="381"/>
        <v>1898.0768096081936</v>
      </c>
      <c r="DC98" s="17">
        <f t="shared" si="381"/>
        <v>1867.9701356980975</v>
      </c>
      <c r="DD98" s="17">
        <f t="shared" si="381"/>
        <v>1832.3703028506459</v>
      </c>
      <c r="DE98" s="17">
        <f t="shared" si="381"/>
        <v>1792.9377944165547</v>
      </c>
      <c r="DF98" s="3" t="e">
        <f>#REF!+$AG$35*0.004*(1+$R$28)*#REF!-S98*#REF!</f>
        <v>#REF!</v>
      </c>
      <c r="DG98" s="19">
        <f t="shared" si="303"/>
        <v>2990.4756257969912</v>
      </c>
      <c r="DH98" s="19">
        <f t="shared" si="304"/>
        <v>2839.2625013940956</v>
      </c>
      <c r="DI98" s="19">
        <f t="shared" si="305"/>
        <v>2672.4554695920801</v>
      </c>
      <c r="DJ98" s="19">
        <f t="shared" si="306"/>
        <v>2489.6428907752629</v>
      </c>
      <c r="DK98" s="19">
        <f t="shared" si="307"/>
        <v>2290.4319327924736</v>
      </c>
      <c r="DL98" s="19">
        <f t="shared" si="308"/>
        <v>2072.8599890734831</v>
      </c>
      <c r="DM98" s="19">
        <f t="shared" si="309"/>
        <v>1832.3703028506459</v>
      </c>
      <c r="DN98" s="19">
        <f t="shared" si="310"/>
        <v>1567.0040115347988</v>
      </c>
      <c r="DO98" s="25"/>
      <c r="DP98" s="25"/>
      <c r="DW98" s="26">
        <f t="shared" si="279"/>
        <v>0</v>
      </c>
      <c r="DX98" s="26">
        <f t="shared" si="279"/>
        <v>0</v>
      </c>
      <c r="DY98" s="26">
        <f t="shared" si="279"/>
        <v>0</v>
      </c>
      <c r="DZ98" s="26">
        <f t="shared" ref="DW98:EI123" si="394">DY99</f>
        <v>0</v>
      </c>
      <c r="EA98" s="26">
        <f t="shared" si="394"/>
        <v>0</v>
      </c>
      <c r="EB98" s="26">
        <f t="shared" si="394"/>
        <v>0</v>
      </c>
      <c r="EC98" s="26">
        <f t="shared" si="311"/>
        <v>0</v>
      </c>
      <c r="ED98" s="26">
        <f t="shared" si="311"/>
        <v>0</v>
      </c>
      <c r="EE98" s="26">
        <f t="shared" si="311"/>
        <v>0</v>
      </c>
      <c r="EF98" s="26">
        <f t="shared" si="311"/>
        <v>0</v>
      </c>
      <c r="EG98" s="26">
        <f t="shared" si="311"/>
        <v>0</v>
      </c>
      <c r="EH98" s="26">
        <f t="shared" si="311"/>
        <v>0</v>
      </c>
      <c r="EI98" s="26">
        <f t="shared" si="311"/>
        <v>0</v>
      </c>
      <c r="ER98" s="26">
        <f t="shared" si="312"/>
        <v>-0.92678210645363679</v>
      </c>
      <c r="ES98" s="26">
        <f t="shared" si="312"/>
        <v>-1.0334176242223596</v>
      </c>
      <c r="ET98" s="26">
        <f t="shared" si="312"/>
        <v>-1.1603293912097035</v>
      </c>
      <c r="EU98" s="26">
        <f t="shared" si="312"/>
        <v>-1.3132193448349792</v>
      </c>
      <c r="EV98" s="26">
        <f t="shared" si="312"/>
        <v>-1.4994678490834921</v>
      </c>
      <c r="EW98" s="26">
        <f t="shared" si="312"/>
        <v>-1.7285848792834646</v>
      </c>
      <c r="EX98" s="26">
        <f t="shared" si="312"/>
        <v>-2.0129938148379209</v>
      </c>
      <c r="EY98" s="26">
        <f t="shared" si="269"/>
        <v>-2.3698023514828588</v>
      </c>
      <c r="EZ98" s="26">
        <f t="shared" si="269"/>
        <v>-2.8228140329767131</v>
      </c>
      <c r="FA98" s="26">
        <f t="shared" si="269"/>
        <v>-3.405101315827407</v>
      </c>
      <c r="FB98" s="26">
        <f t="shared" si="269"/>
        <v>-4.1633006425456802</v>
      </c>
      <c r="FC98" s="26">
        <f t="shared" si="269"/>
        <v>-5.1632765576966255</v>
      </c>
      <c r="FD98" s="26">
        <f t="shared" si="269"/>
        <v>-6.4997276073778183</v>
      </c>
      <c r="FM98" s="26">
        <f t="shared" si="313"/>
        <v>-2.1084354167910382</v>
      </c>
      <c r="FN98" s="26">
        <f t="shared" si="313"/>
        <v>-3.3510319244121889</v>
      </c>
      <c r="FO98" s="26">
        <f t="shared" si="281"/>
        <v>-4.7625648543621457</v>
      </c>
      <c r="FP98" s="26">
        <f t="shared" si="158"/>
        <v>-6.3901007292930254</v>
      </c>
      <c r="FQ98" s="26">
        <f t="shared" si="158"/>
        <v>-8.2963824616701203</v>
      </c>
      <c r="FR98" s="26">
        <f t="shared" si="158"/>
        <v>-10.564060533049132</v>
      </c>
      <c r="FS98" s="26">
        <f t="shared" si="158"/>
        <v>-13.302195146712293</v>
      </c>
      <c r="FT98" s="26">
        <f t="shared" si="274"/>
        <v>-16.660044807987063</v>
      </c>
      <c r="FU98" s="26">
        <f t="shared" si="268"/>
        <v>-20.84478082932938</v>
      </c>
      <c r="FV98" s="26">
        <f t="shared" si="382"/>
        <v>-26.144621572975201</v>
      </c>
      <c r="FW98" s="26">
        <f t="shared" si="383"/>
        <v>-32.966132487142247</v>
      </c>
      <c r="GH98" s="26">
        <f t="shared" si="314"/>
        <v>1.2222811558017357</v>
      </c>
      <c r="GI98" s="26">
        <f t="shared" si="314"/>
        <v>1.362916784176798</v>
      </c>
      <c r="GJ98" s="26">
        <f t="shared" si="282"/>
        <v>1.5302936251385968</v>
      </c>
      <c r="GK98" s="26">
        <f t="shared" si="162"/>
        <v>1.7319316454739884</v>
      </c>
      <c r="GL98" s="26">
        <f t="shared" si="162"/>
        <v>1.9775643950210422</v>
      </c>
      <c r="GM98" s="26">
        <f t="shared" si="162"/>
        <v>2.2797340490708886</v>
      </c>
      <c r="GN98" s="26">
        <f t="shared" si="162"/>
        <v>2.6548251088239212</v>
      </c>
      <c r="GO98" s="26">
        <f t="shared" si="275"/>
        <v>3.1253999586547296</v>
      </c>
      <c r="GP98" s="26">
        <f t="shared" si="265"/>
        <v>3.722851762905437</v>
      </c>
      <c r="GQ98" s="26">
        <f t="shared" si="384"/>
        <v>4.4907979372384901</v>
      </c>
      <c r="GR98" s="26">
        <f t="shared" si="385"/>
        <v>5.4907446808538607</v>
      </c>
      <c r="GS98" s="26">
        <f t="shared" si="386"/>
        <v>6.8095570627864204</v>
      </c>
      <c r="GT98" s="26">
        <f t="shared" si="315"/>
        <v>8.5721277062006394</v>
      </c>
      <c r="HC98" s="26">
        <f t="shared" si="316"/>
        <v>-2.330716572592773</v>
      </c>
      <c r="HD98" s="26">
        <f t="shared" si="316"/>
        <v>-3.713948708588986</v>
      </c>
      <c r="HE98" s="26">
        <f t="shared" si="283"/>
        <v>-5.2928584795007412</v>
      </c>
      <c r="HF98" s="26">
        <f t="shared" si="166"/>
        <v>-7.122032374767012</v>
      </c>
      <c r="HG98" s="26">
        <f t="shared" si="166"/>
        <v>-9.2739468566911629</v>
      </c>
      <c r="HH98" s="26">
        <f t="shared" si="166"/>
        <v>-11.843794582120019</v>
      </c>
      <c r="HI98" s="26">
        <f t="shared" si="166"/>
        <v>-14.957020255536213</v>
      </c>
      <c r="HJ98" s="26">
        <f t="shared" si="276"/>
        <v>-18.785444766641792</v>
      </c>
      <c r="HK98" s="26">
        <f t="shared" si="266"/>
        <v>-23.567632592234816</v>
      </c>
      <c r="HL98" s="26">
        <f t="shared" si="387"/>
        <v>-29.635419510213683</v>
      </c>
      <c r="HM98" s="26">
        <f t="shared" si="388"/>
        <v>-37.456877167996105</v>
      </c>
      <c r="HN98" s="26">
        <f t="shared" si="389"/>
        <v>-47.693767376434238</v>
      </c>
      <c r="HO98" s="26">
        <f t="shared" si="317"/>
        <v>-61.297554099064996</v>
      </c>
      <c r="HP98" s="26">
        <f t="shared" si="318"/>
        <v>1031889.3409120624</v>
      </c>
      <c r="HX98" s="26">
        <f t="shared" si="319"/>
        <v>649859.33584936045</v>
      </c>
      <c r="HY98" s="26">
        <f t="shared" si="320"/>
        <v>698919.70380083483</v>
      </c>
      <c r="HZ98" s="26">
        <f t="shared" si="321"/>
        <v>765630.53722420137</v>
      </c>
      <c r="IA98" s="26">
        <f t="shared" si="322"/>
        <v>855795.86016741372</v>
      </c>
      <c r="IB98" s="26">
        <f t="shared" si="323"/>
        <v>977169.87093351269</v>
      </c>
      <c r="IC98" s="26">
        <f t="shared" si="324"/>
        <v>1139984.1782944819</v>
      </c>
      <c r="ID98" s="26">
        <f t="shared" si="325"/>
        <v>1357766.5856370567</v>
      </c>
      <c r="IE98" s="26">
        <f t="shared" si="326"/>
        <v>1649087.8051438858</v>
      </c>
      <c r="IF98" s="26">
        <f t="shared" si="327"/>
        <v>2039780.7994696931</v>
      </c>
      <c r="IG98" s="26">
        <f t="shared" si="328"/>
        <v>2565834.1168461256</v>
      </c>
      <c r="IH98" s="26">
        <f t="shared" si="329"/>
        <v>3278070.751546463</v>
      </c>
      <c r="II98" s="26">
        <f t="shared" si="330"/>
        <v>-552970.78783072531</v>
      </c>
      <c r="IR98" s="26">
        <f t="shared" si="331"/>
        <v>668373.7396912456</v>
      </c>
      <c r="IS98" s="26">
        <f t="shared" si="332"/>
        <v>718507.40376640996</v>
      </c>
      <c r="IT98" s="26">
        <f t="shared" si="333"/>
        <v>786899.57468224515</v>
      </c>
      <c r="IU98" s="26">
        <f t="shared" si="334"/>
        <v>879547.41218084819</v>
      </c>
      <c r="IV98" s="26">
        <f t="shared" si="335"/>
        <v>1004465.3729532646</v>
      </c>
      <c r="IW98" s="26">
        <f t="shared" si="336"/>
        <v>1172232.7397371412</v>
      </c>
      <c r="IX98" s="26">
        <f t="shared" si="337"/>
        <v>1396842.9723227932</v>
      </c>
      <c r="IY98" s="26">
        <f t="shared" si="338"/>
        <v>1697511.1724758074</v>
      </c>
      <c r="IZ98" s="26">
        <f t="shared" si="339"/>
        <v>2100974.2234537839</v>
      </c>
      <c r="JA98" s="26">
        <f t="shared" si="340"/>
        <v>2644493.1544113327</v>
      </c>
      <c r="JB98" s="26">
        <f t="shared" si="341"/>
        <v>3380706.7288005189</v>
      </c>
      <c r="JC98" s="26">
        <f t="shared" si="342"/>
        <v>-561287.53058473719</v>
      </c>
      <c r="JI98" s="26">
        <f t="shared" si="343"/>
        <v>0</v>
      </c>
      <c r="JJ98" s="26">
        <f t="shared" si="344"/>
        <v>0</v>
      </c>
      <c r="JK98" s="26">
        <f t="shared" si="345"/>
        <v>931053.41548490885</v>
      </c>
      <c r="JL98" s="26">
        <f t="shared" si="346"/>
        <v>1137082.0404933372</v>
      </c>
      <c r="JM98" s="26">
        <f t="shared" si="347"/>
        <v>1383422.7065662504</v>
      </c>
      <c r="JN98" s="26">
        <f t="shared" si="348"/>
        <v>1682224.6562503027</v>
      </c>
      <c r="JO98" s="26">
        <f t="shared" si="349"/>
        <v>2049670.6897598966</v>
      </c>
      <c r="JP98" s="26">
        <f t="shared" si="350"/>
        <v>2507068.6256540222</v>
      </c>
      <c r="JQ98" s="26">
        <f t="shared" si="351"/>
        <v>3082549.968087126</v>
      </c>
      <c r="JR98" s="26">
        <f t="shared" si="352"/>
        <v>3814694.6168153551</v>
      </c>
      <c r="JS98" s="26">
        <f t="shared" si="353"/>
        <v>4757126.4820982628</v>
      </c>
      <c r="JT98" s="26">
        <f t="shared" si="354"/>
        <v>5984505.6125937691</v>
      </c>
      <c r="JU98" s="26">
        <f t="shared" si="355"/>
        <v>7602224.036581466</v>
      </c>
      <c r="JV98" s="26">
        <f t="shared" si="356"/>
        <v>4813962.081118728</v>
      </c>
      <c r="JW98" s="26">
        <f t="shared" si="357"/>
        <v>6908442.5910160746</v>
      </c>
      <c r="JY98" s="34">
        <f t="shared" si="358"/>
        <v>7.9821046626618333E-2</v>
      </c>
      <c r="JZ98" s="4">
        <f t="shared" si="359"/>
        <v>0</v>
      </c>
      <c r="KA98" s="165"/>
    </row>
    <row r="99" spans="1:287" ht="15.75" x14ac:dyDescent="0.3">
      <c r="A99" s="34">
        <v>98</v>
      </c>
      <c r="B99" s="34">
        <v>71</v>
      </c>
      <c r="C99" s="2">
        <v>644551</v>
      </c>
      <c r="D99" s="1">
        <f t="shared" si="360"/>
        <v>20634</v>
      </c>
      <c r="E99" s="145">
        <f t="shared" si="361"/>
        <v>0.96798701731903292</v>
      </c>
      <c r="F99" s="146">
        <f t="shared" si="362"/>
        <v>3.2012982680967084E-2</v>
      </c>
      <c r="G99" s="158">
        <f t="shared" si="284"/>
        <v>4.0016228351208855E-2</v>
      </c>
      <c r="H99" s="43">
        <f t="shared" si="363"/>
        <v>23086.212440971482</v>
      </c>
      <c r="I99" s="43">
        <f t="shared" si="390"/>
        <v>576921.24900806823</v>
      </c>
      <c r="J99" s="43">
        <f t="shared" si="364"/>
        <v>634234</v>
      </c>
      <c r="K99" s="147">
        <f>SUM(J99:$J$138)</f>
        <v>8454638.5</v>
      </c>
      <c r="L99" s="147">
        <f t="shared" si="365"/>
        <v>13.11709779365791</v>
      </c>
      <c r="M99" s="43">
        <f t="shared" si="285"/>
        <v>792792.5</v>
      </c>
      <c r="N99" s="148">
        <f t="shared" si="286"/>
        <v>10568298.125</v>
      </c>
      <c r="O99" s="147">
        <f t="shared" si="287"/>
        <v>16.396372242072388</v>
      </c>
      <c r="P99" s="157">
        <f t="shared" si="288"/>
        <v>50159.326878211672</v>
      </c>
      <c r="Q99" s="43">
        <f t="shared" si="289"/>
        <v>805688.75</v>
      </c>
      <c r="R99" s="43">
        <f t="shared" si="290"/>
        <v>1972.9572612906529</v>
      </c>
      <c r="S99" s="43">
        <f>SUM(R99:$R$138)</f>
        <v>34593.194037780486</v>
      </c>
      <c r="T99" s="43">
        <f t="shared" si="366"/>
        <v>363879.42020132864</v>
      </c>
      <c r="U99" s="153">
        <f>SUM(P99:$P$138)</f>
        <v>477758.13591450383</v>
      </c>
      <c r="V99" s="129">
        <f t="shared" si="291"/>
        <v>198298.32110974428</v>
      </c>
      <c r="W99" s="43">
        <f t="shared" si="292"/>
        <v>27532.156326787204</v>
      </c>
      <c r="X99" s="26">
        <f t="shared" si="367"/>
        <v>5.5714426846934426</v>
      </c>
      <c r="Y99" s="26">
        <f t="shared" si="368"/>
        <v>0.54889405501066812</v>
      </c>
      <c r="Z99" s="43">
        <f t="shared" si="293"/>
        <v>21187.743859164639</v>
      </c>
      <c r="AA99" s="149">
        <f t="shared" si="369"/>
        <v>0.26725737789832538</v>
      </c>
      <c r="AB99" s="150">
        <f t="shared" si="370"/>
        <v>427598.80903629219</v>
      </c>
      <c r="AC99" s="150">
        <f t="shared" si="371"/>
        <v>170766.16478295706</v>
      </c>
      <c r="AD99" s="26">
        <f t="shared" si="372"/>
        <v>5.1203367397041113</v>
      </c>
      <c r="AE99" s="26">
        <f t="shared" si="294"/>
        <v>616685.33736328082</v>
      </c>
      <c r="AF99" s="43">
        <f t="shared" si="295"/>
        <v>110686.83144807631</v>
      </c>
      <c r="AG99" s="43">
        <f t="shared" si="296"/>
        <v>639886.23865515005</v>
      </c>
      <c r="AH99" s="27">
        <f t="shared" si="297"/>
        <v>118693.88845371832</v>
      </c>
      <c r="AI99" s="28">
        <f t="shared" si="298"/>
        <v>688049.7189840324</v>
      </c>
      <c r="AJ99" s="20">
        <f t="shared" si="299"/>
        <v>127627.83704700896</v>
      </c>
      <c r="AK99" s="3">
        <f t="shared" si="300"/>
        <v>11061.079210740776</v>
      </c>
      <c r="AL99" s="3"/>
      <c r="AM99" s="46">
        <f t="shared" si="373"/>
        <v>427598.80903629219</v>
      </c>
      <c r="AN99" s="46">
        <f t="shared" si="374"/>
        <v>381075.0024663306</v>
      </c>
      <c r="AO99" s="46">
        <f t="shared" si="374"/>
        <v>338054.11876679707</v>
      </c>
      <c r="AP99" s="3">
        <f t="shared" si="393"/>
        <v>298401.41214207554</v>
      </c>
      <c r="AQ99" s="3">
        <f t="shared" si="393"/>
        <v>261981.18319677183</v>
      </c>
      <c r="AR99" s="16">
        <f t="shared" si="393"/>
        <v>228658.26391475086</v>
      </c>
      <c r="AS99" s="16">
        <f t="shared" si="393"/>
        <v>198298.32110974428</v>
      </c>
      <c r="AT99" s="16">
        <f t="shared" si="393"/>
        <v>170766.16478295706</v>
      </c>
      <c r="AU99" s="16">
        <f t="shared" si="393"/>
        <v>145927.40926349355</v>
      </c>
      <c r="AV99" s="16">
        <f t="shared" si="393"/>
        <v>123651.69649989734</v>
      </c>
      <c r="AW99" s="16">
        <f t="shared" si="393"/>
        <v>103812.40402277096</v>
      </c>
      <c r="AX99" s="16">
        <f t="shared" si="391"/>
        <v>86282.876870619526</v>
      </c>
      <c r="AY99" s="16">
        <f t="shared" si="391"/>
        <v>70930.687641563578</v>
      </c>
      <c r="AZ99" s="16">
        <f t="shared" si="391"/>
        <v>57613.36985294702</v>
      </c>
      <c r="BA99" s="16">
        <f t="shared" si="391"/>
        <v>46177.609845970153</v>
      </c>
      <c r="BB99" s="16">
        <f t="shared" si="391"/>
        <v>36463.671403968496</v>
      </c>
      <c r="BC99" s="16">
        <f t="shared" si="391"/>
        <v>28308.648121141709</v>
      </c>
      <c r="BD99" s="16">
        <f t="shared" si="301"/>
        <v>21548.169642861361</v>
      </c>
      <c r="BE99" s="16">
        <f t="shared" si="301"/>
        <v>16018.875426929008</v>
      </c>
      <c r="BF99" s="16">
        <f t="shared" si="301"/>
        <v>11560.444059796366</v>
      </c>
      <c r="BG99" s="16">
        <f t="shared" si="301"/>
        <v>8018.7396142307962</v>
      </c>
      <c r="BH99" s="172">
        <f t="shared" si="375"/>
        <v>46523.806569961562</v>
      </c>
      <c r="BI99" s="16">
        <f t="shared" si="392"/>
        <v>43020.8836995335</v>
      </c>
      <c r="BJ99" s="16">
        <f t="shared" si="392"/>
        <v>39652.706624721577</v>
      </c>
      <c r="BK99" s="16">
        <f t="shared" si="392"/>
        <v>36420.228945303788</v>
      </c>
      <c r="BL99" s="16">
        <f t="shared" si="392"/>
        <v>33322.919282020994</v>
      </c>
      <c r="BM99" s="16">
        <f t="shared" si="392"/>
        <v>30359.942805006591</v>
      </c>
      <c r="BN99" s="16">
        <f t="shared" si="392"/>
        <v>27532.156326787204</v>
      </c>
      <c r="BO99" s="16">
        <f t="shared" si="392"/>
        <v>24838.755519463502</v>
      </c>
      <c r="BP99" s="16">
        <f t="shared" si="392"/>
        <v>22275.712763596202</v>
      </c>
      <c r="BQ99" s="16">
        <f t="shared" si="392"/>
        <v>19839.292477126361</v>
      </c>
      <c r="BR99" s="16">
        <f t="shared" si="392"/>
        <v>17529.527152151433</v>
      </c>
      <c r="BS99" s="16">
        <f t="shared" si="392"/>
        <v>15352.18922905595</v>
      </c>
      <c r="BT99" s="16">
        <f t="shared" si="392"/>
        <v>13317.317788616554</v>
      </c>
      <c r="BU99" s="16">
        <f t="shared" si="392"/>
        <v>11435.760006976861</v>
      </c>
      <c r="BV99" s="16">
        <f t="shared" si="149"/>
        <v>9713.938442001665</v>
      </c>
      <c r="BW99" s="16">
        <f t="shared" si="149"/>
        <v>8155.0232828267881</v>
      </c>
      <c r="BX99" s="16">
        <f t="shared" si="149"/>
        <v>6760.4784782803481</v>
      </c>
      <c r="BY99" s="16">
        <f t="shared" si="149"/>
        <v>5529.2942159323538</v>
      </c>
      <c r="BZ99" s="16">
        <f t="shared" si="149"/>
        <v>4458.4313671326408</v>
      </c>
      <c r="CA99" s="16">
        <f t="shared" si="149"/>
        <v>3541.7044455655696</v>
      </c>
      <c r="CB99" s="16">
        <f t="shared" si="149"/>
        <v>2734.9615987004836</v>
      </c>
      <c r="CC99" s="18">
        <f t="shared" si="376"/>
        <v>4.9286699612967064</v>
      </c>
      <c r="CD99" s="18">
        <f t="shared" si="376"/>
        <v>4.2485571108472664</v>
      </c>
      <c r="CE99" s="18">
        <f t="shared" si="376"/>
        <v>3.5244957924239575</v>
      </c>
      <c r="CF99" s="18">
        <f t="shared" si="376"/>
        <v>2.7485574344594852</v>
      </c>
      <c r="CG99" s="18">
        <f t="shared" si="280"/>
        <v>1.9110829260804565</v>
      </c>
      <c r="CH99" s="18">
        <f t="shared" si="150"/>
        <v>0.99999999999999956</v>
      </c>
      <c r="CI99" s="18">
        <f t="shared" si="150"/>
        <v>0</v>
      </c>
      <c r="CJ99" s="18">
        <f t="shared" si="150"/>
        <v>-1.1084354167910382</v>
      </c>
      <c r="CK99" s="18">
        <f t="shared" si="150"/>
        <v>-2.3510319244121884</v>
      </c>
      <c r="CL99" s="18">
        <f t="shared" si="151"/>
        <v>-3.7625648543621448</v>
      </c>
      <c r="CM99" s="18">
        <f t="shared" si="151"/>
        <v>-5.3901007292930245</v>
      </c>
      <c r="CN99" s="18">
        <f t="shared" si="151"/>
        <v>-7.2963824616701203</v>
      </c>
      <c r="CO99" s="18">
        <f t="shared" si="151"/>
        <v>-9.5640605330491297</v>
      </c>
      <c r="CP99" s="18">
        <f t="shared" si="271"/>
        <v>-12.302195146712291</v>
      </c>
      <c r="CQ99" s="18">
        <f t="shared" si="272"/>
        <v>-15.660044807987065</v>
      </c>
      <c r="CR99" s="18">
        <f t="shared" si="273"/>
        <v>-19.84478082932938</v>
      </c>
      <c r="CS99" s="18">
        <f t="shared" si="267"/>
        <v>-25.144621572975197</v>
      </c>
      <c r="CT99" s="18">
        <f t="shared" si="377"/>
        <v>-31.966132487142247</v>
      </c>
      <c r="CU99" s="18">
        <f t="shared" si="378"/>
        <v>-40.88421031364782</v>
      </c>
      <c r="CV99" s="18">
        <f t="shared" si="379"/>
        <v>-52.725426392864357</v>
      </c>
      <c r="CW99" s="18">
        <f t="shared" si="380"/>
        <v>-69.573035901463768</v>
      </c>
      <c r="CX99" s="17">
        <f t="shared" si="302"/>
        <v>1963.1325772642524</v>
      </c>
      <c r="CY99" s="17">
        <f t="shared" si="381"/>
        <v>1946.5604965391135</v>
      </c>
      <c r="CZ99" s="17">
        <f t="shared" si="381"/>
        <v>1924.3825953648957</v>
      </c>
      <c r="DA99" s="17">
        <f t="shared" si="381"/>
        <v>1898.0768096081936</v>
      </c>
      <c r="DB99" s="17">
        <f t="shared" si="381"/>
        <v>1867.9701356980975</v>
      </c>
      <c r="DC99" s="17">
        <f t="shared" si="381"/>
        <v>1832.3703028506459</v>
      </c>
      <c r="DD99" s="17">
        <f t="shared" si="381"/>
        <v>1792.9377944165547</v>
      </c>
      <c r="DE99" s="17">
        <f t="shared" si="381"/>
        <v>1752.9794958159355</v>
      </c>
      <c r="DF99" s="3" t="e">
        <f>#REF!+$AG$35*0.004*(1+$R$28)*#REF!-S99*#REF!</f>
        <v>#REF!</v>
      </c>
      <c r="DG99" s="19">
        <f t="shared" si="303"/>
        <v>2976.6261115258699</v>
      </c>
      <c r="DH99" s="19">
        <f t="shared" si="304"/>
        <v>2820.200889504697</v>
      </c>
      <c r="DI99" s="19">
        <f t="shared" si="305"/>
        <v>2649.1326243187859</v>
      </c>
      <c r="DJ99" s="19">
        <f t="shared" si="306"/>
        <v>2463.2688817587295</v>
      </c>
      <c r="DK99" s="19">
        <f t="shared" si="307"/>
        <v>2260.9504334721314</v>
      </c>
      <c r="DL99" s="19">
        <f t="shared" si="308"/>
        <v>2038.0025610907517</v>
      </c>
      <c r="DM99" s="19">
        <f t="shared" si="309"/>
        <v>1792.9377944165547</v>
      </c>
      <c r="DN99" s="19">
        <f t="shared" si="310"/>
        <v>1525.0494179478812</v>
      </c>
      <c r="DO99" s="25"/>
      <c r="DP99" s="25"/>
      <c r="DW99" s="26">
        <f t="shared" si="394"/>
        <v>0</v>
      </c>
      <c r="DX99" s="26">
        <f t="shared" si="394"/>
        <v>0</v>
      </c>
      <c r="DY99" s="26">
        <f t="shared" si="394"/>
        <v>0</v>
      </c>
      <c r="DZ99" s="26">
        <f t="shared" si="394"/>
        <v>0</v>
      </c>
      <c r="EA99" s="26">
        <f t="shared" si="394"/>
        <v>0</v>
      </c>
      <c r="EB99" s="26">
        <f t="shared" si="394"/>
        <v>0</v>
      </c>
      <c r="EC99" s="26">
        <f t="shared" si="311"/>
        <v>0</v>
      </c>
      <c r="ED99" s="26">
        <f t="shared" si="311"/>
        <v>0</v>
      </c>
      <c r="EE99" s="26">
        <f t="shared" si="311"/>
        <v>0</v>
      </c>
      <c r="EF99" s="26">
        <f t="shared" si="311"/>
        <v>0</v>
      </c>
      <c r="EG99" s="26">
        <f t="shared" si="311"/>
        <v>0</v>
      </c>
      <c r="EH99" s="26">
        <f t="shared" si="311"/>
        <v>0</v>
      </c>
      <c r="EI99" s="26">
        <f t="shared" si="311"/>
        <v>0</v>
      </c>
      <c r="ER99" s="26">
        <f t="shared" si="312"/>
        <v>-0.95115896330780658</v>
      </c>
      <c r="ES99" s="26">
        <f t="shared" si="312"/>
        <v>-1.0679687233601183</v>
      </c>
      <c r="ET99" s="26">
        <f t="shared" si="312"/>
        <v>-1.2086888411342132</v>
      </c>
      <c r="EU99" s="26">
        <f t="shared" si="312"/>
        <v>-1.3801122135118142</v>
      </c>
      <c r="EV99" s="26">
        <f t="shared" si="312"/>
        <v>-1.5909918345025609</v>
      </c>
      <c r="EW99" s="26">
        <f t="shared" si="312"/>
        <v>-1.852762199122592</v>
      </c>
      <c r="EX99" s="26">
        <f t="shared" si="312"/>
        <v>-2.1811692534051788</v>
      </c>
      <c r="EY99" s="26">
        <f t="shared" si="269"/>
        <v>-2.5981218108577</v>
      </c>
      <c r="EZ99" s="26">
        <f t="shared" si="269"/>
        <v>-3.1340598046773356</v>
      </c>
      <c r="FA99" s="26">
        <f t="shared" si="269"/>
        <v>-3.8319074789171705</v>
      </c>
      <c r="FB99" s="26">
        <f t="shared" si="269"/>
        <v>-4.7522866484745627</v>
      </c>
      <c r="FC99" s="26">
        <f t="shared" si="269"/>
        <v>-5.9823579818166328</v>
      </c>
      <c r="FD99" s="26">
        <f t="shared" si="269"/>
        <v>-7.7469986669034006</v>
      </c>
      <c r="FM99" s="26">
        <f t="shared" si="313"/>
        <v>-2.1150599661195097</v>
      </c>
      <c r="FN99" s="26">
        <f t="shared" si="313"/>
        <v>-3.3748058726076136</v>
      </c>
      <c r="FO99" s="26">
        <f t="shared" si="281"/>
        <v>-4.8194847002458214</v>
      </c>
      <c r="FP99" s="26">
        <f t="shared" si="158"/>
        <v>-6.50301241418014</v>
      </c>
      <c r="FQ99" s="26">
        <f t="shared" si="158"/>
        <v>-8.4966655242492877</v>
      </c>
      <c r="FR99" s="26">
        <f t="shared" si="158"/>
        <v>-10.894645818115848</v>
      </c>
      <c r="FS99" s="26">
        <f t="shared" si="158"/>
        <v>-13.825750922847524</v>
      </c>
      <c r="FT99" s="26">
        <f t="shared" si="274"/>
        <v>-17.46868300938009</v>
      </c>
      <c r="FU99" s="26">
        <f t="shared" si="268"/>
        <v>-22.072105638601492</v>
      </c>
      <c r="FV99" s="26">
        <f t="shared" si="382"/>
        <v>-27.986806871324074</v>
      </c>
      <c r="FW99" s="26">
        <f t="shared" si="383"/>
        <v>-35.708909168551571</v>
      </c>
      <c r="GH99" s="26">
        <f t="shared" si="314"/>
        <v>1.2359719582926783</v>
      </c>
      <c r="GI99" s="26">
        <f t="shared" si="314"/>
        <v>1.3877589817545311</v>
      </c>
      <c r="GJ99" s="26">
        <f t="shared" si="282"/>
        <v>1.5706160290472027</v>
      </c>
      <c r="GK99" s="26">
        <f t="shared" si="162"/>
        <v>1.7933700474899785</v>
      </c>
      <c r="GL99" s="26">
        <f t="shared" si="162"/>
        <v>2.0673950087998412</v>
      </c>
      <c r="GM99" s="26">
        <f t="shared" si="162"/>
        <v>2.4075493285964438</v>
      </c>
      <c r="GN99" s="26">
        <f t="shared" si="162"/>
        <v>2.8342938851395374</v>
      </c>
      <c r="GO99" s="26">
        <f t="shared" si="275"/>
        <v>3.3760978199492877</v>
      </c>
      <c r="GP99" s="26">
        <f t="shared" si="265"/>
        <v>4.072515934373703</v>
      </c>
      <c r="GQ99" s="26">
        <f t="shared" si="384"/>
        <v>4.9793256158181682</v>
      </c>
      <c r="GR99" s="26">
        <f t="shared" si="385"/>
        <v>6.1753011450962427</v>
      </c>
      <c r="GS99" s="26">
        <f t="shared" si="386"/>
        <v>7.7737023938457508</v>
      </c>
      <c r="GT99" s="26">
        <f t="shared" si="315"/>
        <v>10.066743291704389</v>
      </c>
      <c r="HC99" s="26">
        <f t="shared" si="316"/>
        <v>-2.3510319244121884</v>
      </c>
      <c r="HD99" s="26">
        <f t="shared" si="316"/>
        <v>-3.7625648543621448</v>
      </c>
      <c r="HE99" s="26">
        <f t="shared" si="283"/>
        <v>-5.3901007292930245</v>
      </c>
      <c r="HF99" s="26">
        <f t="shared" si="166"/>
        <v>-7.2963824616701203</v>
      </c>
      <c r="HG99" s="26">
        <f t="shared" si="166"/>
        <v>-9.5640605330491297</v>
      </c>
      <c r="HH99" s="26">
        <f t="shared" si="166"/>
        <v>-12.302195146712291</v>
      </c>
      <c r="HI99" s="26">
        <f t="shared" si="166"/>
        <v>-15.660044807987065</v>
      </c>
      <c r="HJ99" s="26">
        <f t="shared" si="276"/>
        <v>-19.84478082932938</v>
      </c>
      <c r="HK99" s="26">
        <f t="shared" si="266"/>
        <v>-25.144621572975197</v>
      </c>
      <c r="HL99" s="26">
        <f t="shared" si="387"/>
        <v>-31.966132487142247</v>
      </c>
      <c r="HM99" s="26">
        <f t="shared" si="388"/>
        <v>-40.88421031364782</v>
      </c>
      <c r="HN99" s="26">
        <f t="shared" si="389"/>
        <v>-52.725426392864357</v>
      </c>
      <c r="HO99" s="26">
        <f t="shared" si="317"/>
        <v>-69.573035901463768</v>
      </c>
      <c r="HP99" s="26">
        <f t="shared" si="318"/>
        <v>1031889.3409120624</v>
      </c>
      <c r="HX99" s="26">
        <f t="shared" si="319"/>
        <v>650790.96258670033</v>
      </c>
      <c r="HY99" s="26">
        <f t="shared" si="320"/>
        <v>702512.42099263682</v>
      </c>
      <c r="HZ99" s="26">
        <f t="shared" si="321"/>
        <v>774006.03165712045</v>
      </c>
      <c r="IA99" s="26">
        <f t="shared" si="322"/>
        <v>871948.29618545412</v>
      </c>
      <c r="IB99" s="26">
        <f t="shared" si="323"/>
        <v>1005181.0322071339</v>
      </c>
      <c r="IC99" s="26">
        <f t="shared" si="324"/>
        <v>1185415.2410589822</v>
      </c>
      <c r="ID99" s="26">
        <f t="shared" si="325"/>
        <v>1428718.1714545526</v>
      </c>
      <c r="IE99" s="26">
        <f t="shared" si="326"/>
        <v>1757437.7305480007</v>
      </c>
      <c r="IF99" s="26">
        <f t="shared" si="327"/>
        <v>2202718.5550781484</v>
      </c>
      <c r="IG99" s="26">
        <f t="shared" si="328"/>
        <v>2808551.1223534732</v>
      </c>
      <c r="IH99" s="26">
        <f t="shared" si="329"/>
        <v>3637202.676364901</v>
      </c>
      <c r="II99" s="26">
        <f t="shared" si="330"/>
        <v>-489393.90064120665</v>
      </c>
      <c r="IR99" s="26">
        <f t="shared" si="331"/>
        <v>669324.76120758359</v>
      </c>
      <c r="IS99" s="26">
        <f t="shared" si="332"/>
        <v>722189.8394918174</v>
      </c>
      <c r="IT99" s="26">
        <f t="shared" si="333"/>
        <v>795495.10318205727</v>
      </c>
      <c r="IU99" s="26">
        <f t="shared" si="334"/>
        <v>896137.36205497209</v>
      </c>
      <c r="IV99" s="26">
        <f t="shared" si="335"/>
        <v>1033253.6908001605</v>
      </c>
      <c r="IW99" s="26">
        <f t="shared" si="336"/>
        <v>1218951.2245511455</v>
      </c>
      <c r="IX99" s="26">
        <f t="shared" si="337"/>
        <v>1469845.2400634361</v>
      </c>
      <c r="IY99" s="26">
        <f t="shared" si="338"/>
        <v>1809052.4260989153</v>
      </c>
      <c r="IZ99" s="26">
        <f t="shared" si="339"/>
        <v>2268800.1117304927</v>
      </c>
      <c r="JA99" s="26">
        <f t="shared" si="340"/>
        <v>2894624.1113817608</v>
      </c>
      <c r="JB99" s="26">
        <f t="shared" si="341"/>
        <v>3751005.5023804568</v>
      </c>
      <c r="JC99" s="26">
        <f t="shared" si="342"/>
        <v>-494930.60639700212</v>
      </c>
      <c r="JI99" s="26">
        <f t="shared" si="343"/>
        <v>0</v>
      </c>
      <c r="JJ99" s="26">
        <f t="shared" si="344"/>
        <v>0</v>
      </c>
      <c r="JK99" s="26">
        <f t="shared" si="345"/>
        <v>939343.32914571371</v>
      </c>
      <c r="JL99" s="26">
        <f t="shared" si="346"/>
        <v>1154324.496277994</v>
      </c>
      <c r="JM99" s="26">
        <f t="shared" si="347"/>
        <v>1414554.0214610437</v>
      </c>
      <c r="JN99" s="26">
        <f t="shared" si="348"/>
        <v>1734134.8060589018</v>
      </c>
      <c r="JO99" s="26">
        <f t="shared" si="349"/>
        <v>2131696.4222629387</v>
      </c>
      <c r="JP99" s="26">
        <f t="shared" si="350"/>
        <v>2631871.6879094634</v>
      </c>
      <c r="JQ99" s="26">
        <f t="shared" si="351"/>
        <v>3268418.3810712253</v>
      </c>
      <c r="JR99" s="26">
        <f t="shared" si="352"/>
        <v>4088247.0405749884</v>
      </c>
      <c r="JS99" s="26">
        <f t="shared" si="353"/>
        <v>5156687.1871807799</v>
      </c>
      <c r="JT99" s="26">
        <f t="shared" si="354"/>
        <v>6565969.1182585806</v>
      </c>
      <c r="JU99" s="26">
        <f t="shared" si="355"/>
        <v>8446601.4258312359</v>
      </c>
      <c r="JV99" s="26">
        <f t="shared" si="356"/>
        <v>5560641.8342401274</v>
      </c>
      <c r="JW99" s="26">
        <f t="shared" si="357"/>
        <v>7990538.6762956409</v>
      </c>
      <c r="JY99" s="34">
        <f t="shared" si="358"/>
        <v>8.2012982680967086E-2</v>
      </c>
      <c r="JZ99" s="4">
        <f t="shared" si="359"/>
        <v>0</v>
      </c>
      <c r="KA99" s="165"/>
    </row>
    <row r="100" spans="1:287" ht="15.75" x14ac:dyDescent="0.3">
      <c r="A100" s="34">
        <v>99</v>
      </c>
      <c r="B100" s="34">
        <v>72</v>
      </c>
      <c r="C100" s="2">
        <v>623917</v>
      </c>
      <c r="D100" s="1">
        <f t="shared" si="360"/>
        <v>21427</v>
      </c>
      <c r="E100" s="145">
        <f t="shared" si="361"/>
        <v>0.96565729095376474</v>
      </c>
      <c r="F100" s="146">
        <f t="shared" si="362"/>
        <v>3.4342709046235265E-2</v>
      </c>
      <c r="G100" s="158">
        <f t="shared" si="284"/>
        <v>4.2928386307794081E-2</v>
      </c>
      <c r="H100" s="43">
        <f t="shared" si="363"/>
        <v>23775.24440054359</v>
      </c>
      <c r="I100" s="43">
        <f t="shared" si="390"/>
        <v>553835.03656709671</v>
      </c>
      <c r="J100" s="43">
        <f t="shared" si="364"/>
        <v>613203.5</v>
      </c>
      <c r="K100" s="147">
        <f>SUM(J100:$J$138)</f>
        <v>7820404.5</v>
      </c>
      <c r="L100" s="147">
        <f t="shared" si="365"/>
        <v>12.534366750705622</v>
      </c>
      <c r="M100" s="43">
        <f t="shared" si="285"/>
        <v>766504.375</v>
      </c>
      <c r="N100" s="148">
        <f t="shared" si="286"/>
        <v>9775505.625</v>
      </c>
      <c r="O100" s="147">
        <f t="shared" si="287"/>
        <v>15.667958438382028</v>
      </c>
      <c r="P100" s="157">
        <f t="shared" si="288"/>
        <v>46523.806569961562</v>
      </c>
      <c r="Q100" s="43">
        <f t="shared" si="289"/>
        <v>779896.25</v>
      </c>
      <c r="R100" s="43">
        <f t="shared" si="290"/>
        <v>1963.1325772642524</v>
      </c>
      <c r="S100" s="43">
        <f>SUM(R100:$R$138)</f>
        <v>32620.236776489834</v>
      </c>
      <c r="T100" s="43">
        <f t="shared" si="366"/>
        <v>329286.22616354813</v>
      </c>
      <c r="U100" s="153">
        <f>SUM(P100:$P$138)</f>
        <v>427598.80903629219</v>
      </c>
      <c r="V100" s="129">
        <f t="shared" si="291"/>
        <v>170766.16478295706</v>
      </c>
      <c r="W100" s="43">
        <f t="shared" si="292"/>
        <v>24838.755519463502</v>
      </c>
      <c r="X100" s="26">
        <f t="shared" si="367"/>
        <v>5.520456368227638</v>
      </c>
      <c r="Y100" s="26">
        <f t="shared" si="368"/>
        <v>0.53389344833835728</v>
      </c>
      <c r="Z100" s="43">
        <f t="shared" si="293"/>
        <v>19394.806064748085</v>
      </c>
      <c r="AA100" s="149">
        <f t="shared" si="369"/>
        <v>0.28427232608005992</v>
      </c>
      <c r="AB100" s="150">
        <f t="shared" si="370"/>
        <v>381075.0024663306</v>
      </c>
      <c r="AC100" s="150">
        <f t="shared" si="371"/>
        <v>145927.40926349355</v>
      </c>
      <c r="AD100" s="26">
        <f t="shared" si="372"/>
        <v>5.0543498165659946</v>
      </c>
      <c r="AE100" s="26">
        <f t="shared" si="294"/>
        <v>623505.38516151789</v>
      </c>
      <c r="AF100" s="43">
        <f t="shared" si="295"/>
        <v>112944.53638833786</v>
      </c>
      <c r="AG100" s="43">
        <f t="shared" si="296"/>
        <v>646867.87334047398</v>
      </c>
      <c r="AH100" s="27">
        <f t="shared" si="297"/>
        <v>121019.32454218772</v>
      </c>
      <c r="AI100" s="28">
        <f t="shared" si="298"/>
        <v>695556.85305427318</v>
      </c>
      <c r="AJ100" s="20">
        <f t="shared" si="299"/>
        <v>130128.30595934164</v>
      </c>
      <c r="AK100" s="3">
        <f t="shared" si="300"/>
        <v>11277.786516476275</v>
      </c>
      <c r="AL100" s="3"/>
      <c r="AM100" s="46">
        <f t="shared" si="373"/>
        <v>381075.0024663306</v>
      </c>
      <c r="AN100" s="46">
        <f t="shared" si="374"/>
        <v>338054.11876679707</v>
      </c>
      <c r="AO100" s="46">
        <f t="shared" si="374"/>
        <v>298401.41214207554</v>
      </c>
      <c r="AP100" s="3">
        <f t="shared" si="393"/>
        <v>261981.18319677183</v>
      </c>
      <c r="AQ100" s="3">
        <f t="shared" si="393"/>
        <v>228658.26391475086</v>
      </c>
      <c r="AR100" s="16">
        <f t="shared" si="393"/>
        <v>198298.32110974428</v>
      </c>
      <c r="AS100" s="16">
        <f t="shared" si="393"/>
        <v>170766.16478295706</v>
      </c>
      <c r="AT100" s="16">
        <f t="shared" si="393"/>
        <v>145927.40926349355</v>
      </c>
      <c r="AU100" s="16">
        <f t="shared" si="393"/>
        <v>123651.69649989734</v>
      </c>
      <c r="AV100" s="16">
        <f t="shared" si="393"/>
        <v>103812.40402277096</v>
      </c>
      <c r="AW100" s="16">
        <f t="shared" si="393"/>
        <v>86282.876870619526</v>
      </c>
      <c r="AX100" s="16">
        <f t="shared" si="391"/>
        <v>70930.687641563578</v>
      </c>
      <c r="AY100" s="16">
        <f t="shared" si="391"/>
        <v>57613.36985294702</v>
      </c>
      <c r="AZ100" s="16">
        <f t="shared" si="391"/>
        <v>46177.609845970153</v>
      </c>
      <c r="BA100" s="16">
        <f t="shared" si="391"/>
        <v>36463.671403968496</v>
      </c>
      <c r="BB100" s="16">
        <f t="shared" si="391"/>
        <v>28308.648121141709</v>
      </c>
      <c r="BC100" s="16">
        <f t="shared" si="391"/>
        <v>21548.169642861361</v>
      </c>
      <c r="BD100" s="16">
        <f t="shared" si="301"/>
        <v>16018.875426929008</v>
      </c>
      <c r="BE100" s="16">
        <f t="shared" si="301"/>
        <v>11560.444059796366</v>
      </c>
      <c r="BF100" s="16">
        <f t="shared" si="301"/>
        <v>8018.7396142307962</v>
      </c>
      <c r="BG100" s="16">
        <f t="shared" si="301"/>
        <v>5283.7780155303126</v>
      </c>
      <c r="BH100" s="172">
        <f t="shared" si="375"/>
        <v>43020.8836995335</v>
      </c>
      <c r="BI100" s="16">
        <f t="shared" si="392"/>
        <v>39652.706624721577</v>
      </c>
      <c r="BJ100" s="16">
        <f t="shared" si="392"/>
        <v>36420.228945303788</v>
      </c>
      <c r="BK100" s="16">
        <f t="shared" si="392"/>
        <v>33322.919282020994</v>
      </c>
      <c r="BL100" s="16">
        <f t="shared" si="392"/>
        <v>30359.942805006591</v>
      </c>
      <c r="BM100" s="16">
        <f t="shared" si="392"/>
        <v>27532.156326787204</v>
      </c>
      <c r="BN100" s="16">
        <f t="shared" si="392"/>
        <v>24838.755519463502</v>
      </c>
      <c r="BO100" s="16">
        <f t="shared" si="392"/>
        <v>22275.712763596202</v>
      </c>
      <c r="BP100" s="16">
        <f t="shared" si="392"/>
        <v>19839.292477126361</v>
      </c>
      <c r="BQ100" s="16">
        <f t="shared" si="392"/>
        <v>17529.527152151433</v>
      </c>
      <c r="BR100" s="16">
        <f t="shared" si="392"/>
        <v>15352.18922905595</v>
      </c>
      <c r="BS100" s="16">
        <f t="shared" si="392"/>
        <v>13317.317788616554</v>
      </c>
      <c r="BT100" s="16">
        <f t="shared" si="392"/>
        <v>11435.760006976861</v>
      </c>
      <c r="BU100" s="16">
        <f t="shared" si="392"/>
        <v>9713.938442001665</v>
      </c>
      <c r="BV100" s="16">
        <f t="shared" si="149"/>
        <v>8155.0232828267881</v>
      </c>
      <c r="BW100" s="16">
        <f t="shared" si="149"/>
        <v>6760.4784782803481</v>
      </c>
      <c r="BX100" s="16">
        <f t="shared" si="149"/>
        <v>5529.2942159323538</v>
      </c>
      <c r="BY100" s="16">
        <f t="shared" si="149"/>
        <v>4458.4313671326408</v>
      </c>
      <c r="BZ100" s="16">
        <f t="shared" si="149"/>
        <v>3541.7044455655696</v>
      </c>
      <c r="CA100" s="16">
        <f t="shared" si="149"/>
        <v>2734.9615987004836</v>
      </c>
      <c r="CB100" s="16">
        <f t="shared" si="149"/>
        <v>2010.9694335716461</v>
      </c>
      <c r="CC100" s="18">
        <f t="shared" si="376"/>
        <v>4.8885290026167931</v>
      </c>
      <c r="CD100" s="18">
        <f t="shared" si="376"/>
        <v>4.2188281260867049</v>
      </c>
      <c r="CE100" s="18">
        <f t="shared" si="376"/>
        <v>3.5045152393413614</v>
      </c>
      <c r="CF100" s="18">
        <f t="shared" si="376"/>
        <v>2.7373057456892385</v>
      </c>
      <c r="CG100" s="18">
        <f t="shared" si="280"/>
        <v>1.9068579774217145</v>
      </c>
      <c r="CH100" s="18">
        <f t="shared" si="150"/>
        <v>1.0000000000000009</v>
      </c>
      <c r="CI100" s="18">
        <f t="shared" si="150"/>
        <v>0</v>
      </c>
      <c r="CJ100" s="18">
        <f t="shared" si="150"/>
        <v>-1.1150599661195095</v>
      </c>
      <c r="CK100" s="18">
        <f t="shared" si="150"/>
        <v>-2.3748058726076127</v>
      </c>
      <c r="CL100" s="18">
        <f t="shared" si="151"/>
        <v>-3.819484700245821</v>
      </c>
      <c r="CM100" s="18">
        <f t="shared" si="151"/>
        <v>-5.50301241418014</v>
      </c>
      <c r="CN100" s="18">
        <f t="shared" si="151"/>
        <v>-7.4966655242492877</v>
      </c>
      <c r="CO100" s="18">
        <f t="shared" si="151"/>
        <v>-9.8946458181158459</v>
      </c>
      <c r="CP100" s="18">
        <f t="shared" si="271"/>
        <v>-12.825750922847526</v>
      </c>
      <c r="CQ100" s="18">
        <f t="shared" si="272"/>
        <v>-16.468683009380086</v>
      </c>
      <c r="CR100" s="18">
        <f t="shared" si="273"/>
        <v>-21.072105638601489</v>
      </c>
      <c r="CS100" s="18">
        <f t="shared" si="267"/>
        <v>-26.986806871324074</v>
      </c>
      <c r="CT100" s="18">
        <f t="shared" si="377"/>
        <v>-34.708909168551578</v>
      </c>
      <c r="CU100" s="18">
        <f t="shared" si="378"/>
        <v>-44.951723999018604</v>
      </c>
      <c r="CV100" s="18">
        <f t="shared" si="379"/>
        <v>-59.506292609759377</v>
      </c>
      <c r="CW100" s="18">
        <f t="shared" si="380"/>
        <v>-82.289856824684051</v>
      </c>
      <c r="CX100" s="17">
        <f t="shared" si="302"/>
        <v>1946.5604965391135</v>
      </c>
      <c r="CY100" s="17">
        <f t="shared" si="381"/>
        <v>1924.3825953648957</v>
      </c>
      <c r="CZ100" s="17">
        <f t="shared" si="381"/>
        <v>1898.0768096081936</v>
      </c>
      <c r="DA100" s="17">
        <f t="shared" si="381"/>
        <v>1867.9701356980975</v>
      </c>
      <c r="DB100" s="17">
        <f t="shared" si="381"/>
        <v>1832.3703028506459</v>
      </c>
      <c r="DC100" s="17">
        <f t="shared" si="381"/>
        <v>1792.9377944165547</v>
      </c>
      <c r="DD100" s="17">
        <f t="shared" si="381"/>
        <v>1752.9794958159355</v>
      </c>
      <c r="DE100" s="17">
        <f t="shared" si="381"/>
        <v>1712.3368656540415</v>
      </c>
      <c r="DF100" s="3" t="e">
        <f>#REF!+$AG$35*0.004*(1+$R$28)*#REF!-S100*#REF!</f>
        <v>#REF!</v>
      </c>
      <c r="DG100" s="19">
        <f t="shared" si="303"/>
        <v>2955.3606268247045</v>
      </c>
      <c r="DH100" s="19">
        <f t="shared" si="304"/>
        <v>2794.9828027014178</v>
      </c>
      <c r="DI100" s="19">
        <f t="shared" si="305"/>
        <v>2621.2709295864024</v>
      </c>
      <c r="DJ100" s="19">
        <f t="shared" si="306"/>
        <v>2432.8423889678738</v>
      </c>
      <c r="DK100" s="19">
        <f t="shared" si="307"/>
        <v>2225.8707965634653</v>
      </c>
      <c r="DL100" s="19">
        <f t="shared" si="308"/>
        <v>1999.2984664603512</v>
      </c>
      <c r="DM100" s="19">
        <f t="shared" si="309"/>
        <v>1752.9794958159355</v>
      </c>
      <c r="DN100" s="19">
        <f t="shared" si="310"/>
        <v>1482.2323416764868</v>
      </c>
      <c r="DO100" s="25"/>
      <c r="DP100" s="25"/>
      <c r="DW100" s="26">
        <f t="shared" si="394"/>
        <v>0</v>
      </c>
      <c r="DX100" s="26">
        <f t="shared" si="394"/>
        <v>0</v>
      </c>
      <c r="DY100" s="26">
        <f t="shared" si="394"/>
        <v>0</v>
      </c>
      <c r="DZ100" s="26">
        <f t="shared" si="394"/>
        <v>0</v>
      </c>
      <c r="EA100" s="26">
        <f t="shared" si="394"/>
        <v>0</v>
      </c>
      <c r="EB100" s="26">
        <f t="shared" si="394"/>
        <v>0</v>
      </c>
      <c r="EC100" s="26">
        <f t="shared" si="311"/>
        <v>0</v>
      </c>
      <c r="ED100" s="26">
        <f t="shared" si="311"/>
        <v>0</v>
      </c>
      <c r="EE100" s="26">
        <f t="shared" si="311"/>
        <v>0</v>
      </c>
      <c r="EF100" s="26">
        <f t="shared" si="311"/>
        <v>0</v>
      </c>
      <c r="EG100" s="26">
        <f t="shared" si="311"/>
        <v>0</v>
      </c>
      <c r="EH100" s="26">
        <f t="shared" si="311"/>
        <v>0</v>
      </c>
      <c r="EI100" s="26">
        <f t="shared" si="311"/>
        <v>0</v>
      </c>
      <c r="ER100" s="26">
        <f t="shared" si="312"/>
        <v>-0.9775956520177953</v>
      </c>
      <c r="ES100" s="26">
        <f t="shared" si="312"/>
        <v>-1.1064078281408591</v>
      </c>
      <c r="ET100" s="26">
        <f t="shared" si="312"/>
        <v>-1.2633251046724316</v>
      </c>
      <c r="EU100" s="26">
        <f t="shared" si="312"/>
        <v>-1.4563597845000349</v>
      </c>
      <c r="EV100" s="26">
        <f t="shared" si="312"/>
        <v>-1.6959787589906989</v>
      </c>
      <c r="EW100" s="26">
        <f t="shared" si="312"/>
        <v>-1.9965955292538966</v>
      </c>
      <c r="EX100" s="26">
        <f t="shared" si="312"/>
        <v>-2.3782649530370481</v>
      </c>
      <c r="EY100" s="26">
        <f t="shared" si="269"/>
        <v>-2.8688510919838786</v>
      </c>
      <c r="EZ100" s="26">
        <f t="shared" si="269"/>
        <v>-3.5076458779970561</v>
      </c>
      <c r="FA100" s="26">
        <f t="shared" si="269"/>
        <v>-4.3501412195611531</v>
      </c>
      <c r="FB100" s="26">
        <f t="shared" si="269"/>
        <v>-5.4761221222260845</v>
      </c>
      <c r="FC100" s="26">
        <f t="shared" si="269"/>
        <v>-7.0914363382518877</v>
      </c>
      <c r="FD100" s="26">
        <f t="shared" si="269"/>
        <v>-9.6445056503426425</v>
      </c>
      <c r="FM100" s="26">
        <f t="shared" si="313"/>
        <v>-2.1228078213615191</v>
      </c>
      <c r="FN100" s="26">
        <f t="shared" si="313"/>
        <v>-3.4025180414266756</v>
      </c>
      <c r="FO100" s="26">
        <f t="shared" si="281"/>
        <v>-4.8850831958212995</v>
      </c>
      <c r="FP100" s="26">
        <f t="shared" si="158"/>
        <v>-6.631518509383028</v>
      </c>
      <c r="FQ100" s="26">
        <f t="shared" si="158"/>
        <v>-8.7226209151527225</v>
      </c>
      <c r="FR100" s="26">
        <f t="shared" si="158"/>
        <v>-11.268728797602801</v>
      </c>
      <c r="FS100" s="26">
        <f t="shared" si="158"/>
        <v>-14.422860249833827</v>
      </c>
      <c r="FT100" s="26">
        <f t="shared" si="274"/>
        <v>-18.397993576967991</v>
      </c>
      <c r="FU100" s="26">
        <f t="shared" si="268"/>
        <v>-23.4945960123157</v>
      </c>
      <c r="FV100" s="26">
        <f t="shared" si="382"/>
        <v>-30.137722023544988</v>
      </c>
      <c r="FW100" s="26">
        <f t="shared" si="383"/>
        <v>-38.93850313284409</v>
      </c>
      <c r="GH100" s="26">
        <f t="shared" si="314"/>
        <v>1.2519980512460942</v>
      </c>
      <c r="GI100" s="26">
        <f t="shared" si="314"/>
        <v>1.4169666588191452</v>
      </c>
      <c r="GJ100" s="26">
        <f t="shared" si="282"/>
        <v>1.6179292183588405</v>
      </c>
      <c r="GK100" s="26">
        <f t="shared" si="162"/>
        <v>1.8651470148662594</v>
      </c>
      <c r="GL100" s="26">
        <f t="shared" si="162"/>
        <v>2.1720249029631251</v>
      </c>
      <c r="GM100" s="26">
        <f t="shared" si="162"/>
        <v>2.5570221252447221</v>
      </c>
      <c r="GN100" s="26">
        <f t="shared" si="162"/>
        <v>3.0458227595462617</v>
      </c>
      <c r="GO100" s="26">
        <f t="shared" si="275"/>
        <v>3.6741120616334979</v>
      </c>
      <c r="GP100" s="26">
        <f t="shared" si="265"/>
        <v>4.492210859008372</v>
      </c>
      <c r="GQ100" s="26">
        <f t="shared" si="384"/>
        <v>5.5711871450065846</v>
      </c>
      <c r="GR100" s="26">
        <f t="shared" si="385"/>
        <v>7.0132208661745175</v>
      </c>
      <c r="GS100" s="26">
        <f t="shared" si="386"/>
        <v>9.0819394068515003</v>
      </c>
      <c r="GT100" s="26">
        <f t="shared" si="315"/>
        <v>12.351632553334161</v>
      </c>
      <c r="HC100" s="26">
        <f t="shared" si="316"/>
        <v>-2.3748058726076127</v>
      </c>
      <c r="HD100" s="26">
        <f t="shared" si="316"/>
        <v>-3.819484700245821</v>
      </c>
      <c r="HE100" s="26">
        <f t="shared" si="283"/>
        <v>-5.50301241418014</v>
      </c>
      <c r="HF100" s="26">
        <f t="shared" si="166"/>
        <v>-7.4966655242492877</v>
      </c>
      <c r="HG100" s="26">
        <f t="shared" si="166"/>
        <v>-9.8946458181158459</v>
      </c>
      <c r="HH100" s="26">
        <f t="shared" si="166"/>
        <v>-12.825750922847526</v>
      </c>
      <c r="HI100" s="26">
        <f t="shared" si="166"/>
        <v>-16.468683009380086</v>
      </c>
      <c r="HJ100" s="26">
        <f t="shared" si="276"/>
        <v>-21.072105638601489</v>
      </c>
      <c r="HK100" s="26">
        <f t="shared" si="266"/>
        <v>-26.986806871324074</v>
      </c>
      <c r="HL100" s="26">
        <f t="shared" si="387"/>
        <v>-34.708909168551578</v>
      </c>
      <c r="HM100" s="26">
        <f t="shared" si="388"/>
        <v>-44.951723999018604</v>
      </c>
      <c r="HN100" s="26">
        <f t="shared" si="389"/>
        <v>-59.506292609759377</v>
      </c>
      <c r="HO100" s="26">
        <f t="shared" si="317"/>
        <v>-82.289856824684051</v>
      </c>
      <c r="HP100" s="26">
        <f t="shared" si="318"/>
        <v>1031889.3409120624</v>
      </c>
      <c r="HX100" s="26">
        <f t="shared" si="319"/>
        <v>652001.0001731005</v>
      </c>
      <c r="HY100" s="26">
        <f t="shared" si="320"/>
        <v>706834.17963712907</v>
      </c>
      <c r="HZ100" s="26">
        <f t="shared" si="321"/>
        <v>783818.0156982058</v>
      </c>
      <c r="IA100" s="26">
        <f t="shared" si="322"/>
        <v>890537.36254514684</v>
      </c>
      <c r="IB100" s="26">
        <f t="shared" si="323"/>
        <v>1037059.9813580152</v>
      </c>
      <c r="IC100" s="26">
        <f t="shared" si="324"/>
        <v>1237188.7168490929</v>
      </c>
      <c r="ID100" s="26">
        <f t="shared" si="325"/>
        <v>1510119.1057959187</v>
      </c>
      <c r="IE100" s="26">
        <f t="shared" si="326"/>
        <v>1882614.1645032789</v>
      </c>
      <c r="IF100" s="26">
        <f t="shared" si="327"/>
        <v>2392483.8103075372</v>
      </c>
      <c r="IG100" s="26">
        <f t="shared" si="328"/>
        <v>3093264.5095436969</v>
      </c>
      <c r="IH100" s="26">
        <f t="shared" si="329"/>
        <v>4061992.2426914182</v>
      </c>
      <c r="II100" s="26">
        <f t="shared" si="330"/>
        <v>-402994.03923405334</v>
      </c>
      <c r="IR100" s="26">
        <f t="shared" si="331"/>
        <v>670561.08961486933</v>
      </c>
      <c r="IS100" s="26">
        <f t="shared" si="332"/>
        <v>726620.10273295594</v>
      </c>
      <c r="IT100" s="26">
        <f t="shared" si="333"/>
        <v>805565.18351077486</v>
      </c>
      <c r="IU100" s="26">
        <f t="shared" si="334"/>
        <v>915230.04155315214</v>
      </c>
      <c r="IV100" s="26">
        <f t="shared" si="335"/>
        <v>1066017.0166291611</v>
      </c>
      <c r="IW100" s="26">
        <f t="shared" si="336"/>
        <v>1272191.6621176729</v>
      </c>
      <c r="IX100" s="26">
        <f t="shared" si="337"/>
        <v>1553598.6392184228</v>
      </c>
      <c r="IY100" s="26">
        <f t="shared" si="338"/>
        <v>1937915.6004663703</v>
      </c>
      <c r="IZ100" s="26">
        <f t="shared" si="339"/>
        <v>2464258.3246167633</v>
      </c>
      <c r="JA100" s="26">
        <f t="shared" si="340"/>
        <v>3188034.7567461873</v>
      </c>
      <c r="JB100" s="26">
        <f t="shared" si="341"/>
        <v>4189005.0335636637</v>
      </c>
      <c r="JC100" s="26">
        <f t="shared" si="342"/>
        <v>-404762.6225563772</v>
      </c>
      <c r="JI100" s="26">
        <f t="shared" si="343"/>
        <v>0</v>
      </c>
      <c r="JJ100" s="26">
        <f t="shared" si="344"/>
        <v>0</v>
      </c>
      <c r="JK100" s="26">
        <f t="shared" si="345"/>
        <v>948832.58058280777</v>
      </c>
      <c r="JL100" s="26">
        <f t="shared" si="346"/>
        <v>1174174.0331515237</v>
      </c>
      <c r="JM100" s="26">
        <f t="shared" si="347"/>
        <v>1450389.0349978567</v>
      </c>
      <c r="JN100" s="26">
        <f t="shared" si="348"/>
        <v>1793663.2292015292</v>
      </c>
      <c r="JO100" s="26">
        <f t="shared" si="349"/>
        <v>2225437.1933122575</v>
      </c>
      <c r="JP100" s="26">
        <f t="shared" si="350"/>
        <v>2775068.5386032742</v>
      </c>
      <c r="JQ100" s="26">
        <f t="shared" si="351"/>
        <v>3483341.6250173119</v>
      </c>
      <c r="JR100" s="26">
        <f t="shared" si="352"/>
        <v>4407071.6361337975</v>
      </c>
      <c r="JS100" s="26">
        <f t="shared" si="353"/>
        <v>5626478.4753953647</v>
      </c>
      <c r="JT100" s="26">
        <f t="shared" si="354"/>
        <v>7255103.9920088798</v>
      </c>
      <c r="JU100" s="26">
        <f t="shared" si="355"/>
        <v>9456291.6792089865</v>
      </c>
      <c r="JV100" s="26">
        <f t="shared" si="356"/>
        <v>6567977.7422423456</v>
      </c>
      <c r="JW100" s="26">
        <f t="shared" si="357"/>
        <v>9642439.1628269237</v>
      </c>
      <c r="JY100" s="34">
        <f t="shared" si="358"/>
        <v>8.4342709046235267E-2</v>
      </c>
      <c r="JZ100" s="4">
        <f t="shared" si="359"/>
        <v>0</v>
      </c>
      <c r="KA100" s="165"/>
    </row>
    <row r="101" spans="1:287" ht="15.75" x14ac:dyDescent="0.3">
      <c r="A101" s="34">
        <v>100</v>
      </c>
      <c r="B101" s="34">
        <v>73</v>
      </c>
      <c r="C101" s="2">
        <v>602490</v>
      </c>
      <c r="D101" s="1">
        <f t="shared" si="360"/>
        <v>22187</v>
      </c>
      <c r="E101" s="145">
        <f t="shared" si="361"/>
        <v>0.96317449252269749</v>
      </c>
      <c r="F101" s="146">
        <f t="shared" si="362"/>
        <v>3.682550747730251E-2</v>
      </c>
      <c r="G101" s="158">
        <f t="shared" si="284"/>
        <v>4.6031884346628138E-2</v>
      </c>
      <c r="H101" s="43">
        <f t="shared" si="363"/>
        <v>24399.651049808519</v>
      </c>
      <c r="I101" s="43">
        <f t="shared" si="390"/>
        <v>530059.79216655309</v>
      </c>
      <c r="J101" s="43">
        <f t="shared" si="364"/>
        <v>591396.5</v>
      </c>
      <c r="K101" s="147">
        <f>SUM(J101:$J$138)</f>
        <v>7207201</v>
      </c>
      <c r="L101" s="147">
        <f t="shared" si="365"/>
        <v>11.962357881458614</v>
      </c>
      <c r="M101" s="43">
        <f t="shared" si="285"/>
        <v>739245.625</v>
      </c>
      <c r="N101" s="148">
        <f t="shared" si="286"/>
        <v>9009001.25</v>
      </c>
      <c r="O101" s="147">
        <f t="shared" si="287"/>
        <v>14.952947351823267</v>
      </c>
      <c r="P101" s="157">
        <f t="shared" si="288"/>
        <v>43020.8836995335</v>
      </c>
      <c r="Q101" s="43">
        <f t="shared" si="289"/>
        <v>753112.5</v>
      </c>
      <c r="R101" s="43">
        <f t="shared" si="290"/>
        <v>1946.5604965391135</v>
      </c>
      <c r="S101" s="43">
        <f>SUM(R101:$R$138)</f>
        <v>30657.104199225581</v>
      </c>
      <c r="T101" s="43">
        <f t="shared" si="366"/>
        <v>296665.9893870583</v>
      </c>
      <c r="U101" s="153">
        <f>SUM(P101:$P$138)</f>
        <v>381075.0024663306</v>
      </c>
      <c r="V101" s="129">
        <f t="shared" si="291"/>
        <v>145927.40926349355</v>
      </c>
      <c r="W101" s="43">
        <f t="shared" si="292"/>
        <v>22275.712763596202</v>
      </c>
      <c r="X101" s="26">
        <f t="shared" si="367"/>
        <v>5.4658940724034197</v>
      </c>
      <c r="Y101" s="26">
        <f t="shared" si="368"/>
        <v>0.51778835876952822</v>
      </c>
      <c r="Z101" s="43">
        <f t="shared" si="293"/>
        <v>17641.826568932145</v>
      </c>
      <c r="AA101" s="149">
        <f t="shared" si="369"/>
        <v>0.3025339442396105</v>
      </c>
      <c r="AB101" s="150">
        <f t="shared" si="370"/>
        <v>338054.11876679707</v>
      </c>
      <c r="AC101" s="150">
        <f t="shared" si="371"/>
        <v>123651.69649989734</v>
      </c>
      <c r="AD101" s="26">
        <f t="shared" si="372"/>
        <v>4.9836824311729471</v>
      </c>
      <c r="AE101" s="26">
        <f t="shared" si="294"/>
        <v>630806.8197448391</v>
      </c>
      <c r="AF101" s="43">
        <f t="shared" si="295"/>
        <v>115407.80179581228</v>
      </c>
      <c r="AG101" s="43">
        <f t="shared" si="296"/>
        <v>654342.31954358856</v>
      </c>
      <c r="AH101" s="27">
        <f t="shared" si="297"/>
        <v>123556.48791188638</v>
      </c>
      <c r="AI101" s="28">
        <f t="shared" si="298"/>
        <v>703593.89198235329</v>
      </c>
      <c r="AJ101" s="20">
        <f t="shared" si="299"/>
        <v>132856.4386149316</v>
      </c>
      <c r="AK101" s="3">
        <f t="shared" si="300"/>
        <v>11514.224679960738</v>
      </c>
      <c r="AL101" s="3"/>
      <c r="AM101" s="46">
        <f t="shared" si="373"/>
        <v>338054.11876679707</v>
      </c>
      <c r="AN101" s="46">
        <f t="shared" si="374"/>
        <v>298401.41214207554</v>
      </c>
      <c r="AO101" s="46">
        <f t="shared" si="374"/>
        <v>261981.18319677183</v>
      </c>
      <c r="AP101" s="3">
        <f t="shared" si="393"/>
        <v>228658.26391475086</v>
      </c>
      <c r="AQ101" s="3">
        <f t="shared" si="393"/>
        <v>198298.32110974428</v>
      </c>
      <c r="AR101" s="16">
        <f t="shared" si="393"/>
        <v>170766.16478295706</v>
      </c>
      <c r="AS101" s="16">
        <f t="shared" si="393"/>
        <v>145927.40926349355</v>
      </c>
      <c r="AT101" s="16">
        <f t="shared" si="393"/>
        <v>123651.69649989734</v>
      </c>
      <c r="AU101" s="16">
        <f t="shared" si="393"/>
        <v>103812.40402277096</v>
      </c>
      <c r="AV101" s="16">
        <f t="shared" si="393"/>
        <v>86282.876870619526</v>
      </c>
      <c r="AW101" s="16">
        <f t="shared" si="393"/>
        <v>70930.687641563578</v>
      </c>
      <c r="AX101" s="16">
        <f t="shared" si="391"/>
        <v>57613.36985294702</v>
      </c>
      <c r="AY101" s="16">
        <f t="shared" si="391"/>
        <v>46177.609845970153</v>
      </c>
      <c r="AZ101" s="16">
        <f t="shared" si="391"/>
        <v>36463.671403968496</v>
      </c>
      <c r="BA101" s="16">
        <f t="shared" si="391"/>
        <v>28308.648121141709</v>
      </c>
      <c r="BB101" s="16">
        <f t="shared" si="391"/>
        <v>21548.169642861361</v>
      </c>
      <c r="BC101" s="16">
        <f t="shared" si="391"/>
        <v>16018.875426929008</v>
      </c>
      <c r="BD101" s="16">
        <f t="shared" si="301"/>
        <v>11560.444059796366</v>
      </c>
      <c r="BE101" s="16">
        <f t="shared" si="301"/>
        <v>8018.7396142307962</v>
      </c>
      <c r="BF101" s="16">
        <f t="shared" si="301"/>
        <v>5283.7780155303126</v>
      </c>
      <c r="BG101" s="16">
        <f t="shared" si="301"/>
        <v>3272.8085819586663</v>
      </c>
      <c r="BH101" s="172">
        <f t="shared" si="375"/>
        <v>39652.706624721577</v>
      </c>
      <c r="BI101" s="16">
        <f t="shared" si="392"/>
        <v>36420.228945303788</v>
      </c>
      <c r="BJ101" s="16">
        <f t="shared" si="392"/>
        <v>33322.919282020994</v>
      </c>
      <c r="BK101" s="16">
        <f t="shared" si="392"/>
        <v>30359.942805006591</v>
      </c>
      <c r="BL101" s="16">
        <f t="shared" si="392"/>
        <v>27532.156326787204</v>
      </c>
      <c r="BM101" s="16">
        <f t="shared" si="392"/>
        <v>24838.755519463502</v>
      </c>
      <c r="BN101" s="16">
        <f t="shared" si="392"/>
        <v>22275.712763596202</v>
      </c>
      <c r="BO101" s="16">
        <f t="shared" si="392"/>
        <v>19839.292477126361</v>
      </c>
      <c r="BP101" s="16">
        <f t="shared" si="392"/>
        <v>17529.527152151433</v>
      </c>
      <c r="BQ101" s="16">
        <f t="shared" si="392"/>
        <v>15352.18922905595</v>
      </c>
      <c r="BR101" s="16">
        <f t="shared" si="392"/>
        <v>13317.317788616554</v>
      </c>
      <c r="BS101" s="16">
        <f t="shared" si="392"/>
        <v>11435.760006976861</v>
      </c>
      <c r="BT101" s="16">
        <f t="shared" si="392"/>
        <v>9713.938442001665</v>
      </c>
      <c r="BU101" s="16">
        <f t="shared" si="392"/>
        <v>8155.0232828267881</v>
      </c>
      <c r="BV101" s="16">
        <f t="shared" si="149"/>
        <v>6760.4784782803481</v>
      </c>
      <c r="BW101" s="16">
        <f t="shared" si="149"/>
        <v>5529.2942159323538</v>
      </c>
      <c r="BX101" s="16">
        <f t="shared" si="149"/>
        <v>4458.4313671326408</v>
      </c>
      <c r="BY101" s="16">
        <f t="shared" ref="BV101:CB116" si="395">BX102</f>
        <v>3541.7044455655696</v>
      </c>
      <c r="BZ101" s="16">
        <f t="shared" si="395"/>
        <v>2734.9615987004836</v>
      </c>
      <c r="CA101" s="16">
        <f t="shared" si="395"/>
        <v>2010.9694335716461</v>
      </c>
      <c r="CB101" s="16">
        <f t="shared" si="395"/>
        <v>1392.2092858517024</v>
      </c>
      <c r="CC101" s="18">
        <f t="shared" si="376"/>
        <v>4.8452356940376333</v>
      </c>
      <c r="CD101" s="18">
        <f t="shared" si="376"/>
        <v>4.1865196154469198</v>
      </c>
      <c r="CE101" s="18">
        <f t="shared" si="376"/>
        <v>3.4827012888961919</v>
      </c>
      <c r="CF101" s="18">
        <f t="shared" si="376"/>
        <v>2.7250003461012562</v>
      </c>
      <c r="CG101" s="18">
        <f t="shared" si="280"/>
        <v>1.9021725441569155</v>
      </c>
      <c r="CH101" s="18">
        <f t="shared" si="150"/>
        <v>1.0000000000000002</v>
      </c>
      <c r="CI101" s="18">
        <f t="shared" si="150"/>
        <v>0</v>
      </c>
      <c r="CJ101" s="18">
        <f t="shared" si="150"/>
        <v>-1.1228078213615185</v>
      </c>
      <c r="CK101" s="18">
        <f t="shared" si="150"/>
        <v>-2.4025180414266756</v>
      </c>
      <c r="CL101" s="18">
        <f t="shared" si="151"/>
        <v>-3.8850831958212999</v>
      </c>
      <c r="CM101" s="18">
        <f t="shared" si="151"/>
        <v>-5.631518509383028</v>
      </c>
      <c r="CN101" s="18">
        <f t="shared" si="151"/>
        <v>-7.7226209151527208</v>
      </c>
      <c r="CO101" s="18">
        <f t="shared" si="151"/>
        <v>-10.268728797602803</v>
      </c>
      <c r="CP101" s="18">
        <f t="shared" si="271"/>
        <v>-13.422860249833827</v>
      </c>
      <c r="CQ101" s="18">
        <f t="shared" si="272"/>
        <v>-17.397993576967991</v>
      </c>
      <c r="CR101" s="18">
        <f t="shared" si="273"/>
        <v>-22.4945960123157</v>
      </c>
      <c r="CS101" s="18">
        <f t="shared" si="267"/>
        <v>-29.137722023544988</v>
      </c>
      <c r="CT101" s="18">
        <f t="shared" si="377"/>
        <v>-37.938503132844083</v>
      </c>
      <c r="CU101" s="18">
        <f t="shared" si="378"/>
        <v>-50.424353202907874</v>
      </c>
      <c r="CV101" s="18">
        <f t="shared" si="379"/>
        <v>-69.938224271349881</v>
      </c>
      <c r="CW101" s="18">
        <f t="shared" si="380"/>
        <v>-102.46634764705226</v>
      </c>
      <c r="CX101" s="17">
        <f t="shared" si="302"/>
        <v>1924.3825953648957</v>
      </c>
      <c r="CY101" s="17">
        <f t="shared" si="381"/>
        <v>1898.0768096081936</v>
      </c>
      <c r="CZ101" s="17">
        <f t="shared" si="381"/>
        <v>1867.9701356980975</v>
      </c>
      <c r="DA101" s="17">
        <f t="shared" si="381"/>
        <v>1832.3703028506459</v>
      </c>
      <c r="DB101" s="17">
        <f t="shared" si="381"/>
        <v>1792.9377944165547</v>
      </c>
      <c r="DC101" s="17">
        <f t="shared" si="381"/>
        <v>1752.9794958159355</v>
      </c>
      <c r="DD101" s="17">
        <f t="shared" si="381"/>
        <v>1712.3368656540415</v>
      </c>
      <c r="DE101" s="17">
        <f t="shared" si="381"/>
        <v>1667.3049712708671</v>
      </c>
      <c r="DF101" s="3" t="e">
        <f>#REF!+$AG$35*0.004*(1+$R$28)*#REF!-S101*#REF!</f>
        <v>#REF!</v>
      </c>
      <c r="DG101" s="19">
        <f t="shared" si="303"/>
        <v>2927.7130866353186</v>
      </c>
      <c r="DH101" s="19">
        <f t="shared" si="304"/>
        <v>2765.0032189154954</v>
      </c>
      <c r="DI101" s="19">
        <f t="shared" si="305"/>
        <v>2589.1528842352445</v>
      </c>
      <c r="DJ101" s="19">
        <f t="shared" si="306"/>
        <v>2396.6516110500174</v>
      </c>
      <c r="DK101" s="19">
        <f t="shared" si="307"/>
        <v>2186.8314734296532</v>
      </c>
      <c r="DL101" s="19">
        <f t="shared" si="308"/>
        <v>1960.0551789462907</v>
      </c>
      <c r="DM101" s="19">
        <f t="shared" si="309"/>
        <v>1712.3368656540415</v>
      </c>
      <c r="DN101" s="19">
        <f t="shared" si="310"/>
        <v>1434.7987746383251</v>
      </c>
      <c r="DO101" s="25"/>
      <c r="DP101" s="25"/>
      <c r="DW101" s="26">
        <f t="shared" si="394"/>
        <v>0</v>
      </c>
      <c r="DX101" s="26">
        <f t="shared" si="394"/>
        <v>0</v>
      </c>
      <c r="DY101" s="26">
        <f t="shared" si="394"/>
        <v>0</v>
      </c>
      <c r="DZ101" s="26">
        <f t="shared" si="394"/>
        <v>0</v>
      </c>
      <c r="EA101" s="26">
        <f t="shared" si="394"/>
        <v>0</v>
      </c>
      <c r="EB101" s="26">
        <f t="shared" si="394"/>
        <v>0</v>
      </c>
      <c r="EC101" s="26">
        <f t="shared" si="311"/>
        <v>0</v>
      </c>
      <c r="ED101" s="26">
        <f t="shared" si="311"/>
        <v>0</v>
      </c>
      <c r="EE101" s="26">
        <f t="shared" si="311"/>
        <v>0</v>
      </c>
      <c r="EF101" s="26">
        <f t="shared" si="311"/>
        <v>0</v>
      </c>
      <c r="EG101" s="26">
        <f t="shared" si="311"/>
        <v>0</v>
      </c>
      <c r="EH101" s="26">
        <f t="shared" si="311"/>
        <v>0</v>
      </c>
      <c r="EI101" s="26">
        <f t="shared" si="311"/>
        <v>0</v>
      </c>
      <c r="ER101" s="26">
        <f t="shared" si="312"/>
        <v>-1.0064063003985211</v>
      </c>
      <c r="ES101" s="26">
        <f t="shared" si="312"/>
        <v>-1.149140771111834</v>
      </c>
      <c r="ET101" s="26">
        <f t="shared" si="312"/>
        <v>-1.3247282109624294</v>
      </c>
      <c r="EU101" s="26">
        <f t="shared" si="312"/>
        <v>-1.542689472161799</v>
      </c>
      <c r="EV101" s="26">
        <f t="shared" si="312"/>
        <v>-1.8161353064223094</v>
      </c>
      <c r="EW101" s="26">
        <f t="shared" si="312"/>
        <v>-2.1633079339065886</v>
      </c>
      <c r="EX101" s="26">
        <f t="shared" si="312"/>
        <v>-2.609552951852554</v>
      </c>
      <c r="EY101" s="26">
        <f t="shared" si="269"/>
        <v>-3.1906109315178424</v>
      </c>
      <c r="EZ101" s="26">
        <f t="shared" si="269"/>
        <v>-3.9569582026061703</v>
      </c>
      <c r="FA101" s="26">
        <f t="shared" si="269"/>
        <v>-4.981168485422546</v>
      </c>
      <c r="FB101" s="26">
        <f t="shared" si="269"/>
        <v>-6.4504841959443437</v>
      </c>
      <c r="FC101" s="26">
        <f t="shared" si="269"/>
        <v>-8.7727969776242798</v>
      </c>
      <c r="FD101" s="26">
        <f t="shared" si="269"/>
        <v>-12.671820787446856</v>
      </c>
      <c r="FM101" s="26">
        <f t="shared" si="313"/>
        <v>-2.1317642686495093</v>
      </c>
      <c r="FN101" s="26">
        <f t="shared" si="313"/>
        <v>-3.4341036364085862</v>
      </c>
      <c r="FO101" s="26">
        <f t="shared" si="281"/>
        <v>-4.9588308768451039</v>
      </c>
      <c r="FP101" s="26">
        <f t="shared" si="158"/>
        <v>-6.7747212783987161</v>
      </c>
      <c r="FQ101" s="26">
        <f t="shared" si="158"/>
        <v>-8.9755587413381601</v>
      </c>
      <c r="FR101" s="26">
        <f t="shared" si="158"/>
        <v>-11.69132755016571</v>
      </c>
      <c r="FS101" s="26">
        <f t="shared" si="158"/>
        <v>-15.103003017473977</v>
      </c>
      <c r="FT101" s="26">
        <f t="shared" si="274"/>
        <v>-19.465924016636762</v>
      </c>
      <c r="FU101" s="26">
        <f t="shared" si="268"/>
        <v>-25.141410332439506</v>
      </c>
      <c r="FV101" s="26">
        <f t="shared" si="382"/>
        <v>-32.648957207721288</v>
      </c>
      <c r="FW101" s="26">
        <f t="shared" si="383"/>
        <v>-43.279554104382861</v>
      </c>
      <c r="GH101" s="26">
        <f t="shared" si="314"/>
        <v>1.2707537727771658</v>
      </c>
      <c r="GI101" s="26">
        <f t="shared" si="314"/>
        <v>1.4509795594127131</v>
      </c>
      <c r="GJ101" s="26">
        <f t="shared" si="282"/>
        <v>1.6726876325379239</v>
      </c>
      <c r="GK101" s="26">
        <f t="shared" si="162"/>
        <v>1.9478996367540047</v>
      </c>
      <c r="GL101" s="26">
        <f t="shared" si="162"/>
        <v>2.2931700562646395</v>
      </c>
      <c r="GM101" s="26">
        <f t="shared" si="162"/>
        <v>2.7315326996681164</v>
      </c>
      <c r="GN101" s="26">
        <f t="shared" si="162"/>
        <v>3.2949905594940136</v>
      </c>
      <c r="GO101" s="26">
        <f t="shared" si="275"/>
        <v>4.0286719956789376</v>
      </c>
      <c r="GP101" s="26">
        <f t="shared" si="265"/>
        <v>4.9963116911054799</v>
      </c>
      <c r="GQ101" s="26">
        <f t="shared" si="384"/>
        <v>6.2895459251227912</v>
      </c>
      <c r="GR101" s="26">
        <f t="shared" si="385"/>
        <v>8.1447990985250041</v>
      </c>
      <c r="GS101" s="26">
        <f t="shared" si="386"/>
        <v>11.077101616623141</v>
      </c>
      <c r="GT101" s="26">
        <f t="shared" si="315"/>
        <v>16.000261591394818</v>
      </c>
      <c r="HC101" s="26">
        <f t="shared" si="316"/>
        <v>-2.4025180414266756</v>
      </c>
      <c r="HD101" s="26">
        <f t="shared" si="316"/>
        <v>-3.8850831958212999</v>
      </c>
      <c r="HE101" s="26">
        <f t="shared" si="283"/>
        <v>-5.631518509383028</v>
      </c>
      <c r="HF101" s="26">
        <f t="shared" si="166"/>
        <v>-7.7226209151527208</v>
      </c>
      <c r="HG101" s="26">
        <f t="shared" si="166"/>
        <v>-10.268728797602803</v>
      </c>
      <c r="HH101" s="26">
        <f t="shared" si="166"/>
        <v>-13.422860249833827</v>
      </c>
      <c r="HI101" s="26">
        <f t="shared" si="166"/>
        <v>-17.397993576967991</v>
      </c>
      <c r="HJ101" s="26">
        <f t="shared" si="276"/>
        <v>-22.4945960123157</v>
      </c>
      <c r="HK101" s="26">
        <f t="shared" si="266"/>
        <v>-29.137722023544988</v>
      </c>
      <c r="HL101" s="26">
        <f t="shared" si="387"/>
        <v>-37.938503132844083</v>
      </c>
      <c r="HM101" s="26">
        <f t="shared" si="388"/>
        <v>-50.424353202907874</v>
      </c>
      <c r="HN101" s="26">
        <f t="shared" si="389"/>
        <v>-69.938224271349881</v>
      </c>
      <c r="HO101" s="26">
        <f t="shared" si="317"/>
        <v>-102.46634764705226</v>
      </c>
      <c r="HP101" s="26">
        <f t="shared" si="318"/>
        <v>1031889.3409120624</v>
      </c>
      <c r="HX101" s="26">
        <f t="shared" si="319"/>
        <v>653526.42518909415</v>
      </c>
      <c r="HY101" s="26">
        <f t="shared" si="320"/>
        <v>711904.70070636831</v>
      </c>
      <c r="HZ101" s="26">
        <f t="shared" si="321"/>
        <v>795029.80175988039</v>
      </c>
      <c r="IA101" s="26">
        <f t="shared" si="322"/>
        <v>911491.48660475225</v>
      </c>
      <c r="IB101" s="26">
        <f t="shared" si="323"/>
        <v>1073055.7900330496</v>
      </c>
      <c r="IC101" s="26">
        <f t="shared" si="324"/>
        <v>1296082.6086971315</v>
      </c>
      <c r="ID101" s="26">
        <f t="shared" si="325"/>
        <v>1603393.45989057</v>
      </c>
      <c r="IE101" s="26">
        <f t="shared" si="326"/>
        <v>2027238.39365673</v>
      </c>
      <c r="IF101" s="26">
        <f t="shared" si="327"/>
        <v>2613299.7687477567</v>
      </c>
      <c r="IG101" s="26">
        <f t="shared" si="328"/>
        <v>3427318.9875292303</v>
      </c>
      <c r="IH101" s="26">
        <f t="shared" si="329"/>
        <v>4633497.1758388532</v>
      </c>
      <c r="II101" s="26">
        <f t="shared" si="330"/>
        <v>-270650.45179560408</v>
      </c>
      <c r="IR101" s="26">
        <f t="shared" si="331"/>
        <v>672120.60883949592</v>
      </c>
      <c r="IS101" s="26">
        <f t="shared" si="332"/>
        <v>731818.36678120168</v>
      </c>
      <c r="IT101" s="26">
        <f t="shared" si="333"/>
        <v>817072.05154849496</v>
      </c>
      <c r="IU101" s="26">
        <f t="shared" si="334"/>
        <v>936751.80120631005</v>
      </c>
      <c r="IV101" s="26">
        <f t="shared" si="335"/>
        <v>1103011.2352436949</v>
      </c>
      <c r="IW101" s="26">
        <f t="shared" si="336"/>
        <v>1332754.0121472247</v>
      </c>
      <c r="IX101" s="26">
        <f t="shared" si="337"/>
        <v>1649568.2952794034</v>
      </c>
      <c r="IY101" s="26">
        <f t="shared" si="338"/>
        <v>2086799.1028550323</v>
      </c>
      <c r="IZ101" s="26">
        <f t="shared" si="339"/>
        <v>2691698.7618101896</v>
      </c>
      <c r="JA101" s="26">
        <f t="shared" si="340"/>
        <v>3532294.3887154581</v>
      </c>
      <c r="JB101" s="26">
        <f t="shared" si="341"/>
        <v>4778282.4674494527</v>
      </c>
      <c r="JC101" s="26">
        <f t="shared" si="342"/>
        <v>-266639.33149241674</v>
      </c>
      <c r="JI101" s="26">
        <f t="shared" si="343"/>
        <v>0</v>
      </c>
      <c r="JJ101" s="26">
        <f t="shared" si="344"/>
        <v>0</v>
      </c>
      <c r="JK101" s="26">
        <f t="shared" si="345"/>
        <v>959734.89611769631</v>
      </c>
      <c r="JL101" s="26">
        <f t="shared" si="346"/>
        <v>1196915.9914879503</v>
      </c>
      <c r="JM101" s="26">
        <f t="shared" si="347"/>
        <v>1491241.8827179507</v>
      </c>
      <c r="JN101" s="26">
        <f t="shared" si="348"/>
        <v>1861255.2064387668</v>
      </c>
      <c r="JO101" s="26">
        <f t="shared" si="349"/>
        <v>2332318.596707603</v>
      </c>
      <c r="JP101" s="26">
        <f t="shared" si="350"/>
        <v>2939654.0717606456</v>
      </c>
      <c r="JQ101" s="26">
        <f t="shared" si="351"/>
        <v>3732346.2126260344</v>
      </c>
      <c r="JR101" s="26">
        <f t="shared" si="352"/>
        <v>4779710.0771473711</v>
      </c>
      <c r="JS101" s="26">
        <f t="shared" si="353"/>
        <v>6179882.8287800718</v>
      </c>
      <c r="JT101" s="26">
        <f t="shared" si="354"/>
        <v>8074052.3904473046</v>
      </c>
      <c r="JU101" s="26">
        <f t="shared" si="355"/>
        <v>10814767.587580534</v>
      </c>
      <c r="JV101" s="26">
        <f t="shared" si="356"/>
        <v>8105923.1968465205</v>
      </c>
      <c r="JW101" s="26">
        <f t="shared" si="357"/>
        <v>12266624.033760328</v>
      </c>
      <c r="JY101" s="34">
        <f t="shared" si="358"/>
        <v>8.6825507477302513E-2</v>
      </c>
      <c r="JZ101" s="4">
        <f t="shared" si="359"/>
        <v>0</v>
      </c>
      <c r="KA101" s="165"/>
    </row>
    <row r="102" spans="1:287" ht="15.75" x14ac:dyDescent="0.3">
      <c r="A102" s="34">
        <v>101</v>
      </c>
      <c r="B102" s="34">
        <v>74</v>
      </c>
      <c r="C102" s="2">
        <v>580303</v>
      </c>
      <c r="D102" s="1">
        <f t="shared" si="360"/>
        <v>22921</v>
      </c>
      <c r="E102" s="145">
        <f t="shared" si="361"/>
        <v>0.96050166895570077</v>
      </c>
      <c r="F102" s="146">
        <f t="shared" si="362"/>
        <v>3.9498331044299229E-2</v>
      </c>
      <c r="G102" s="158">
        <f t="shared" si="284"/>
        <v>4.9372913805374036E-2</v>
      </c>
      <c r="H102" s="43">
        <f t="shared" si="363"/>
        <v>24965.914562170299</v>
      </c>
      <c r="I102" s="43">
        <f t="shared" si="390"/>
        <v>505660.14111674455</v>
      </c>
      <c r="J102" s="43">
        <f t="shared" si="364"/>
        <v>568842.5</v>
      </c>
      <c r="K102" s="147">
        <f>SUM(J102:$J$138)</f>
        <v>6615804.5</v>
      </c>
      <c r="L102" s="147">
        <f t="shared" si="365"/>
        <v>11.40060365016207</v>
      </c>
      <c r="M102" s="43">
        <f t="shared" si="285"/>
        <v>711053.125</v>
      </c>
      <c r="N102" s="148">
        <f t="shared" si="286"/>
        <v>8269755.625</v>
      </c>
      <c r="O102" s="147">
        <f t="shared" si="287"/>
        <v>14.250754562702587</v>
      </c>
      <c r="P102" s="157">
        <f t="shared" si="288"/>
        <v>39652.706624721577</v>
      </c>
      <c r="Q102" s="43">
        <f t="shared" si="289"/>
        <v>725378.75</v>
      </c>
      <c r="R102" s="43">
        <f t="shared" si="290"/>
        <v>1924.3825953648957</v>
      </c>
      <c r="S102" s="43">
        <f>SUM(R102:$R$138)</f>
        <v>28710.543702686471</v>
      </c>
      <c r="T102" s="43">
        <f t="shared" si="366"/>
        <v>266008.88518783258</v>
      </c>
      <c r="U102" s="153">
        <f>SUM(P102:$P$138)</f>
        <v>338054.11876679707</v>
      </c>
      <c r="V102" s="129">
        <f t="shared" si="291"/>
        <v>123651.69649989734</v>
      </c>
      <c r="W102" s="43">
        <f t="shared" si="292"/>
        <v>19839.292477126361</v>
      </c>
      <c r="X102" s="26">
        <f t="shared" si="367"/>
        <v>5.4070059906889183</v>
      </c>
      <c r="Y102" s="26">
        <f t="shared" si="368"/>
        <v>0.50032631227139246</v>
      </c>
      <c r="Z102" s="43">
        <f t="shared" si="293"/>
        <v>15929.489703278099</v>
      </c>
      <c r="AA102" s="149">
        <f t="shared" si="369"/>
        <v>0.32232488239377821</v>
      </c>
      <c r="AB102" s="150">
        <f t="shared" si="370"/>
        <v>298401.41214207554</v>
      </c>
      <c r="AC102" s="150">
        <f t="shared" si="371"/>
        <v>103812.40402277096</v>
      </c>
      <c r="AD102" s="26">
        <f t="shared" si="372"/>
        <v>4.9073323029603122</v>
      </c>
      <c r="AE102" s="26">
        <f t="shared" si="294"/>
        <v>638691.79563462059</v>
      </c>
      <c r="AF102" s="43">
        <f t="shared" si="295"/>
        <v>118123.00499286917</v>
      </c>
      <c r="AG102" s="43">
        <f t="shared" si="296"/>
        <v>662414.16384809895</v>
      </c>
      <c r="AH102" s="27">
        <f t="shared" si="297"/>
        <v>126353.14720485498</v>
      </c>
      <c r="AI102" s="28">
        <f t="shared" si="298"/>
        <v>712273.29446032154</v>
      </c>
      <c r="AJ102" s="20">
        <f t="shared" si="299"/>
        <v>135863.59914500537</v>
      </c>
      <c r="AK102" s="3">
        <f t="shared" si="300"/>
        <v>11774.8452592338</v>
      </c>
      <c r="AL102" s="3"/>
      <c r="AM102" s="46">
        <f t="shared" si="373"/>
        <v>298401.41214207554</v>
      </c>
      <c r="AN102" s="46">
        <f t="shared" si="374"/>
        <v>261981.18319677183</v>
      </c>
      <c r="AO102" s="46">
        <f t="shared" si="374"/>
        <v>228658.26391475086</v>
      </c>
      <c r="AP102" s="3">
        <f t="shared" si="393"/>
        <v>198298.32110974428</v>
      </c>
      <c r="AQ102" s="3">
        <f t="shared" si="393"/>
        <v>170766.16478295706</v>
      </c>
      <c r="AR102" s="16">
        <f t="shared" si="393"/>
        <v>145927.40926349355</v>
      </c>
      <c r="AS102" s="16">
        <f t="shared" si="393"/>
        <v>123651.69649989734</v>
      </c>
      <c r="AT102" s="16">
        <f t="shared" si="393"/>
        <v>103812.40402277096</v>
      </c>
      <c r="AU102" s="16">
        <f t="shared" si="393"/>
        <v>86282.876870619526</v>
      </c>
      <c r="AV102" s="16">
        <f t="shared" si="393"/>
        <v>70930.687641563578</v>
      </c>
      <c r="AW102" s="16">
        <f t="shared" si="393"/>
        <v>57613.36985294702</v>
      </c>
      <c r="AX102" s="16">
        <f t="shared" si="391"/>
        <v>46177.609845970153</v>
      </c>
      <c r="AY102" s="16">
        <f t="shared" si="391"/>
        <v>36463.671403968496</v>
      </c>
      <c r="AZ102" s="16">
        <f t="shared" si="391"/>
        <v>28308.648121141709</v>
      </c>
      <c r="BA102" s="16">
        <f t="shared" si="391"/>
        <v>21548.169642861361</v>
      </c>
      <c r="BB102" s="16">
        <f t="shared" si="391"/>
        <v>16018.875426929008</v>
      </c>
      <c r="BC102" s="16">
        <f t="shared" si="391"/>
        <v>11560.444059796366</v>
      </c>
      <c r="BD102" s="16">
        <f t="shared" si="301"/>
        <v>8018.7396142307962</v>
      </c>
      <c r="BE102" s="16">
        <f t="shared" si="301"/>
        <v>5283.7780155303126</v>
      </c>
      <c r="BF102" s="16">
        <f t="shared" si="301"/>
        <v>3272.8085819586663</v>
      </c>
      <c r="BG102" s="16">
        <f t="shared" si="301"/>
        <v>1880.5992961069639</v>
      </c>
      <c r="BH102" s="172">
        <f t="shared" si="375"/>
        <v>36420.228945303788</v>
      </c>
      <c r="BI102" s="16">
        <f t="shared" si="392"/>
        <v>33322.919282020994</v>
      </c>
      <c r="BJ102" s="16">
        <f t="shared" si="392"/>
        <v>30359.942805006591</v>
      </c>
      <c r="BK102" s="16">
        <f t="shared" si="392"/>
        <v>27532.156326787204</v>
      </c>
      <c r="BL102" s="16">
        <f t="shared" si="392"/>
        <v>24838.755519463502</v>
      </c>
      <c r="BM102" s="16">
        <f t="shared" si="392"/>
        <v>22275.712763596202</v>
      </c>
      <c r="BN102" s="16">
        <f t="shared" si="392"/>
        <v>19839.292477126361</v>
      </c>
      <c r="BO102" s="16">
        <f t="shared" si="392"/>
        <v>17529.527152151433</v>
      </c>
      <c r="BP102" s="16">
        <f t="shared" si="392"/>
        <v>15352.18922905595</v>
      </c>
      <c r="BQ102" s="16">
        <f t="shared" si="392"/>
        <v>13317.317788616554</v>
      </c>
      <c r="BR102" s="16">
        <f t="shared" si="392"/>
        <v>11435.760006976861</v>
      </c>
      <c r="BS102" s="16">
        <f t="shared" si="392"/>
        <v>9713.938442001665</v>
      </c>
      <c r="BT102" s="16">
        <f t="shared" si="392"/>
        <v>8155.0232828267881</v>
      </c>
      <c r="BU102" s="16">
        <f t="shared" si="392"/>
        <v>6760.4784782803481</v>
      </c>
      <c r="BV102" s="16">
        <f t="shared" si="392"/>
        <v>5529.2942159323538</v>
      </c>
      <c r="BW102" s="16">
        <f t="shared" si="392"/>
        <v>4458.4313671326408</v>
      </c>
      <c r="BX102" s="16">
        <f t="shared" si="392"/>
        <v>3541.7044455655696</v>
      </c>
      <c r="BY102" s="16">
        <f t="shared" si="395"/>
        <v>2734.9615987004836</v>
      </c>
      <c r="BZ102" s="16">
        <f t="shared" si="395"/>
        <v>2010.9694335716461</v>
      </c>
      <c r="CA102" s="16">
        <f t="shared" si="395"/>
        <v>1392.2092858517024</v>
      </c>
      <c r="CB102" s="16">
        <f t="shared" si="395"/>
        <v>894.85731213955728</v>
      </c>
      <c r="CC102" s="18">
        <f t="shared" si="376"/>
        <v>4.7981498387783015</v>
      </c>
      <c r="CD102" s="18">
        <f t="shared" si="376"/>
        <v>4.1511815194267392</v>
      </c>
      <c r="CE102" s="18">
        <f t="shared" si="376"/>
        <v>3.4587208575879504</v>
      </c>
      <c r="CF102" s="18">
        <f t="shared" si="376"/>
        <v>2.7112523888010931</v>
      </c>
      <c r="CG102" s="18">
        <f t="shared" si="280"/>
        <v>1.896812754815397</v>
      </c>
      <c r="CH102" s="18">
        <f t="shared" si="150"/>
        <v>1.0000000000000002</v>
      </c>
      <c r="CI102" s="18">
        <f t="shared" si="150"/>
        <v>0</v>
      </c>
      <c r="CJ102" s="18">
        <f t="shared" si="150"/>
        <v>-1.1317642686495091</v>
      </c>
      <c r="CK102" s="18">
        <f t="shared" si="150"/>
        <v>-2.4341036364085862</v>
      </c>
      <c r="CL102" s="18">
        <f t="shared" si="151"/>
        <v>-3.958830876845103</v>
      </c>
      <c r="CM102" s="18">
        <f t="shared" si="151"/>
        <v>-5.7747212783987161</v>
      </c>
      <c r="CN102" s="18">
        <f t="shared" si="151"/>
        <v>-7.9755587413381628</v>
      </c>
      <c r="CO102" s="18">
        <f t="shared" si="151"/>
        <v>-10.691327550165708</v>
      </c>
      <c r="CP102" s="18">
        <f t="shared" si="271"/>
        <v>-14.103003017473977</v>
      </c>
      <c r="CQ102" s="18">
        <f t="shared" si="272"/>
        <v>-18.465924016636759</v>
      </c>
      <c r="CR102" s="18">
        <f t="shared" si="273"/>
        <v>-24.141410332439506</v>
      </c>
      <c r="CS102" s="18">
        <f t="shared" si="267"/>
        <v>-31.648957207721292</v>
      </c>
      <c r="CT102" s="18">
        <f t="shared" si="377"/>
        <v>-42.279554104382861</v>
      </c>
      <c r="CU102" s="18">
        <f t="shared" si="378"/>
        <v>-58.861122654726742</v>
      </c>
      <c r="CV102" s="18">
        <f t="shared" si="379"/>
        <v>-86.466086055657428</v>
      </c>
      <c r="CW102" s="18">
        <f t="shared" si="380"/>
        <v>-136.078786586257</v>
      </c>
      <c r="CX102" s="17">
        <f t="shared" si="302"/>
        <v>1898.0768096081936</v>
      </c>
      <c r="CY102" s="17">
        <f t="shared" si="381"/>
        <v>1867.9701356980975</v>
      </c>
      <c r="CZ102" s="17">
        <f t="shared" si="381"/>
        <v>1832.3703028506459</v>
      </c>
      <c r="DA102" s="17">
        <f t="shared" si="381"/>
        <v>1792.9377944165547</v>
      </c>
      <c r="DB102" s="17">
        <f t="shared" si="381"/>
        <v>1752.9794958159355</v>
      </c>
      <c r="DC102" s="17">
        <f t="shared" si="381"/>
        <v>1712.3368656540415</v>
      </c>
      <c r="DD102" s="17">
        <f t="shared" si="381"/>
        <v>1667.3049712708671</v>
      </c>
      <c r="DE102" s="17">
        <f t="shared" si="381"/>
        <v>1612.0431613314265</v>
      </c>
      <c r="DF102" s="3" t="e">
        <f>#REF!+$AG$35*0.004*(1+$R$28)*#REF!-S102*#REF!</f>
        <v>#REF!</v>
      </c>
      <c r="DG102" s="19">
        <f t="shared" si="303"/>
        <v>2895.0261914529242</v>
      </c>
      <c r="DH102" s="19">
        <f t="shared" si="304"/>
        <v>2730.4938143607674</v>
      </c>
      <c r="DI102" s="19">
        <f t="shared" si="305"/>
        <v>2551.0159760386578</v>
      </c>
      <c r="DJ102" s="19">
        <f t="shared" si="306"/>
        <v>2356.27605684325</v>
      </c>
      <c r="DK102" s="19">
        <f t="shared" si="307"/>
        <v>2147.0952210284481</v>
      </c>
      <c r="DL102" s="19">
        <f t="shared" si="308"/>
        <v>1920.1147415735172</v>
      </c>
      <c r="DM102" s="19">
        <f t="shared" si="309"/>
        <v>1667.3049712708671</v>
      </c>
      <c r="DN102" s="19">
        <f t="shared" si="310"/>
        <v>1376.8875855498725</v>
      </c>
      <c r="DO102" s="25"/>
      <c r="DP102" s="25"/>
      <c r="DW102" s="26">
        <f t="shared" si="394"/>
        <v>0</v>
      </c>
      <c r="DX102" s="26">
        <f t="shared" si="394"/>
        <v>0</v>
      </c>
      <c r="DY102" s="26">
        <f t="shared" si="394"/>
        <v>0</v>
      </c>
      <c r="DZ102" s="26">
        <f t="shared" si="394"/>
        <v>0</v>
      </c>
      <c r="EA102" s="26">
        <f t="shared" si="394"/>
        <v>0</v>
      </c>
      <c r="EB102" s="26">
        <f t="shared" si="394"/>
        <v>0</v>
      </c>
      <c r="EC102" s="26">
        <f t="shared" si="311"/>
        <v>0</v>
      </c>
      <c r="ED102" s="26">
        <f t="shared" si="311"/>
        <v>0</v>
      </c>
      <c r="EE102" s="26">
        <f t="shared" si="311"/>
        <v>0</v>
      </c>
      <c r="EF102" s="26">
        <f t="shared" si="311"/>
        <v>0</v>
      </c>
      <c r="EG102" s="26">
        <f t="shared" si="311"/>
        <v>0</v>
      </c>
      <c r="EH102" s="26">
        <f t="shared" si="311"/>
        <v>0</v>
      </c>
      <c r="EI102" s="26">
        <f t="shared" si="311"/>
        <v>0</v>
      </c>
      <c r="ER102" s="26">
        <f t="shared" si="312"/>
        <v>-1.0376037883332974</v>
      </c>
      <c r="ES102" s="26">
        <f t="shared" si="312"/>
        <v>-1.1961485004806591</v>
      </c>
      <c r="ET102" s="26">
        <f t="shared" si="312"/>
        <v>-1.3929541800072449</v>
      </c>
      <c r="EU102" s="26">
        <f t="shared" si="312"/>
        <v>-1.6398590333248653</v>
      </c>
      <c r="EV102" s="26">
        <f t="shared" si="312"/>
        <v>-1.9533346688075226</v>
      </c>
      <c r="EW102" s="26">
        <f t="shared" si="312"/>
        <v>-2.3562666095980322</v>
      </c>
      <c r="EX102" s="26">
        <f t="shared" si="312"/>
        <v>-2.880926404201491</v>
      </c>
      <c r="EY102" s="26">
        <f t="shared" si="269"/>
        <v>-3.5728910891641381</v>
      </c>
      <c r="EZ102" s="26">
        <f t="shared" si="269"/>
        <v>-4.4976902923739992</v>
      </c>
      <c r="FA102" s="26">
        <f t="shared" si="269"/>
        <v>-5.824392456130643</v>
      </c>
      <c r="FB102" s="26">
        <f t="shared" si="269"/>
        <v>-7.9212987713025669</v>
      </c>
      <c r="FC102" s="26">
        <f t="shared" si="269"/>
        <v>-11.44187864939647</v>
      </c>
      <c r="FD102" s="26">
        <f t="shared" si="269"/>
        <v>-17.801150515484437</v>
      </c>
      <c r="FM102" s="26">
        <f t="shared" si="313"/>
        <v>-2.1418258914484065</v>
      </c>
      <c r="FN102" s="26">
        <f t="shared" si="313"/>
        <v>-3.4690945206184232</v>
      </c>
      <c r="FO102" s="26">
        <f t="shared" si="281"/>
        <v>-5.0398744063917311</v>
      </c>
      <c r="FP102" s="26">
        <f t="shared" si="158"/>
        <v>-6.9332056220982707</v>
      </c>
      <c r="FQ102" s="26">
        <f t="shared" si="158"/>
        <v>-9.2585579811437722</v>
      </c>
      <c r="FR102" s="26">
        <f t="shared" si="158"/>
        <v>-12.168404151304246</v>
      </c>
      <c r="FS102" s="26">
        <f t="shared" si="158"/>
        <v>-15.877890589158699</v>
      </c>
      <c r="FT102" s="26">
        <f t="shared" si="274"/>
        <v>-20.691573418187385</v>
      </c>
      <c r="FU102" s="26">
        <f t="shared" si="268"/>
        <v>-27.047334378361153</v>
      </c>
      <c r="FV102" s="26">
        <f t="shared" si="382"/>
        <v>-36.02559760036722</v>
      </c>
      <c r="FW102" s="26">
        <f t="shared" si="383"/>
        <v>-49.99558609016038</v>
      </c>
      <c r="GH102" s="26">
        <f t="shared" si="314"/>
        <v>1.2922777449601783</v>
      </c>
      <c r="GI102" s="26">
        <f t="shared" si="314"/>
        <v>1.489736356226679</v>
      </c>
      <c r="GJ102" s="26">
        <f t="shared" si="282"/>
        <v>1.734846872006983</v>
      </c>
      <c r="GK102" s="26">
        <f t="shared" si="162"/>
        <v>2.042353119239888</v>
      </c>
      <c r="GL102" s="26">
        <f t="shared" si="162"/>
        <v>2.4327695690219335</v>
      </c>
      <c r="GM102" s="26">
        <f t="shared" si="162"/>
        <v>2.9345988661697286</v>
      </c>
      <c r="GN102" s="26">
        <f t="shared" si="162"/>
        <v>3.5880334274780572</v>
      </c>
      <c r="GO102" s="26">
        <f t="shared" si="275"/>
        <v>4.4498369142521179</v>
      </c>
      <c r="GP102" s="26">
        <f t="shared" si="265"/>
        <v>5.6016228293601316</v>
      </c>
      <c r="GQ102" s="26">
        <f t="shared" si="384"/>
        <v>7.2539565040156306</v>
      </c>
      <c r="GR102" s="26">
        <f t="shared" si="385"/>
        <v>9.8655365645663515</v>
      </c>
      <c r="GS102" s="26">
        <f t="shared" si="386"/>
        <v>14.250222778100071</v>
      </c>
      <c r="GT102" s="26">
        <f t="shared" si="315"/>
        <v>22.170341805322732</v>
      </c>
      <c r="HC102" s="26">
        <f t="shared" si="316"/>
        <v>-2.4341036364085862</v>
      </c>
      <c r="HD102" s="26">
        <f t="shared" si="316"/>
        <v>-3.958830876845103</v>
      </c>
      <c r="HE102" s="26">
        <f t="shared" si="283"/>
        <v>-5.7747212783987161</v>
      </c>
      <c r="HF102" s="26">
        <f t="shared" si="166"/>
        <v>-7.9755587413381628</v>
      </c>
      <c r="HG102" s="26">
        <f t="shared" si="166"/>
        <v>-10.691327550165708</v>
      </c>
      <c r="HH102" s="26">
        <f t="shared" si="166"/>
        <v>-14.103003017473977</v>
      </c>
      <c r="HI102" s="26">
        <f t="shared" si="166"/>
        <v>-18.465924016636759</v>
      </c>
      <c r="HJ102" s="26">
        <f t="shared" si="276"/>
        <v>-24.141410332439506</v>
      </c>
      <c r="HK102" s="26">
        <f t="shared" si="266"/>
        <v>-31.648957207721292</v>
      </c>
      <c r="HL102" s="26">
        <f t="shared" si="387"/>
        <v>-42.279554104382861</v>
      </c>
      <c r="HM102" s="26">
        <f t="shared" si="388"/>
        <v>-58.861122654726742</v>
      </c>
      <c r="HN102" s="26">
        <f t="shared" si="389"/>
        <v>-86.466086055657428</v>
      </c>
      <c r="HO102" s="26">
        <f t="shared" si="317"/>
        <v>-136.078786586257</v>
      </c>
      <c r="HP102" s="26">
        <f t="shared" si="318"/>
        <v>1031889.3409120624</v>
      </c>
      <c r="HX102" s="26">
        <f t="shared" si="319"/>
        <v>655359.07170635497</v>
      </c>
      <c r="HY102" s="26">
        <f t="shared" si="320"/>
        <v>717664.38126788952</v>
      </c>
      <c r="HZ102" s="26">
        <f t="shared" si="321"/>
        <v>807535.26724765787</v>
      </c>
      <c r="IA102" s="26">
        <f t="shared" si="322"/>
        <v>934917.41939023067</v>
      </c>
      <c r="IB102" s="26">
        <f t="shared" si="323"/>
        <v>1113636.3374260953</v>
      </c>
      <c r="IC102" s="26">
        <f t="shared" si="324"/>
        <v>1362990.6414856808</v>
      </c>
      <c r="ID102" s="26">
        <f t="shared" si="325"/>
        <v>1710260.8594317148</v>
      </c>
      <c r="IE102" s="26">
        <f t="shared" si="326"/>
        <v>2194109.0504335221</v>
      </c>
      <c r="IF102" s="26">
        <f t="shared" si="327"/>
        <v>2870180.9406577935</v>
      </c>
      <c r="IG102" s="26">
        <f t="shared" si="328"/>
        <v>3876622.3682339825</v>
      </c>
      <c r="IH102" s="26">
        <f t="shared" si="329"/>
        <v>5516339.8654626431</v>
      </c>
      <c r="II102" s="26">
        <f t="shared" si="330"/>
        <v>-59885.50331777893</v>
      </c>
      <c r="IR102" s="26">
        <f t="shared" si="331"/>
        <v>673994.9352577742</v>
      </c>
      <c r="IS102" s="26">
        <f t="shared" si="332"/>
        <v>737723.4373347786</v>
      </c>
      <c r="IT102" s="26">
        <f t="shared" si="333"/>
        <v>829906.68934406165</v>
      </c>
      <c r="IU102" s="26">
        <f t="shared" si="334"/>
        <v>960812.24095726653</v>
      </c>
      <c r="IV102" s="26">
        <f t="shared" si="335"/>
        <v>1144717.16942282</v>
      </c>
      <c r="IW102" s="26">
        <f t="shared" si="336"/>
        <v>1401557.2496981411</v>
      </c>
      <c r="IX102" s="26">
        <f t="shared" si="337"/>
        <v>1759523.4348790443</v>
      </c>
      <c r="IY102" s="26">
        <f t="shared" si="338"/>
        <v>2258583.89601239</v>
      </c>
      <c r="IZ102" s="26">
        <f t="shared" si="339"/>
        <v>2956286.3688775273</v>
      </c>
      <c r="JA102" s="26">
        <f t="shared" si="340"/>
        <v>3995323.5483303615</v>
      </c>
      <c r="JB102" s="26">
        <f t="shared" si="341"/>
        <v>5688577.5835831538</v>
      </c>
      <c r="JC102" s="26">
        <f t="shared" si="342"/>
        <v>-46684.712651968584</v>
      </c>
      <c r="JI102" s="26">
        <f t="shared" si="343"/>
        <v>0</v>
      </c>
      <c r="JJ102" s="26">
        <f t="shared" si="344"/>
        <v>0</v>
      </c>
      <c r="JK102" s="26">
        <f t="shared" si="345"/>
        <v>972197.80904925917</v>
      </c>
      <c r="JL102" s="26">
        <f t="shared" si="346"/>
        <v>1222721.169835397</v>
      </c>
      <c r="JM102" s="26">
        <f t="shared" si="347"/>
        <v>1537369.7795780206</v>
      </c>
      <c r="JN102" s="26">
        <f t="shared" si="348"/>
        <v>1937900.6858309482</v>
      </c>
      <c r="JO102" s="26">
        <f t="shared" si="349"/>
        <v>2454515.3852496194</v>
      </c>
      <c r="JP102" s="26">
        <f t="shared" si="350"/>
        <v>3129321.000589964</v>
      </c>
      <c r="JQ102" s="26">
        <f t="shared" si="351"/>
        <v>4021790.138157553</v>
      </c>
      <c r="JR102" s="26">
        <f t="shared" si="352"/>
        <v>5216156.3801218905</v>
      </c>
      <c r="JS102" s="26">
        <f t="shared" si="353"/>
        <v>6833611.0031610942</v>
      </c>
      <c r="JT102" s="26">
        <f t="shared" si="354"/>
        <v>9175006.2651895024</v>
      </c>
      <c r="JU102" s="26">
        <f t="shared" si="355"/>
        <v>12899673.967355303</v>
      </c>
      <c r="JV102" s="26">
        <f t="shared" si="356"/>
        <v>10546305.233060736</v>
      </c>
      <c r="JW102" s="26">
        <f t="shared" si="357"/>
        <v>16671058.953739818</v>
      </c>
      <c r="JY102" s="34">
        <f t="shared" si="358"/>
        <v>8.9498331044299231E-2</v>
      </c>
      <c r="JZ102" s="4">
        <f t="shared" si="359"/>
        <v>0</v>
      </c>
      <c r="KA102" s="165"/>
    </row>
    <row r="103" spans="1:287" ht="15.75" x14ac:dyDescent="0.3">
      <c r="A103" s="34">
        <v>102</v>
      </c>
      <c r="B103" s="34">
        <v>75</v>
      </c>
      <c r="C103" s="2">
        <v>557382</v>
      </c>
      <c r="D103" s="1">
        <f t="shared" si="360"/>
        <v>23642</v>
      </c>
      <c r="E103" s="145">
        <f t="shared" si="361"/>
        <v>0.95758384734347357</v>
      </c>
      <c r="F103" s="146">
        <f t="shared" si="362"/>
        <v>4.2416152656526429E-2</v>
      </c>
      <c r="G103" s="158">
        <f t="shared" si="284"/>
        <v>5.3020190820658036E-2</v>
      </c>
      <c r="H103" s="43">
        <f t="shared" si="363"/>
        <v>25486.499618312155</v>
      </c>
      <c r="I103" s="43">
        <f t="shared" si="390"/>
        <v>480694.22655457427</v>
      </c>
      <c r="J103" s="43">
        <f t="shared" si="364"/>
        <v>545561</v>
      </c>
      <c r="K103" s="147">
        <f>SUM(J103:$J$138)</f>
        <v>6046962</v>
      </c>
      <c r="L103" s="147">
        <f t="shared" si="365"/>
        <v>10.848864871847315</v>
      </c>
      <c r="M103" s="43">
        <f t="shared" si="285"/>
        <v>681951.25</v>
      </c>
      <c r="N103" s="148">
        <f t="shared" si="286"/>
        <v>7558702.5</v>
      </c>
      <c r="O103" s="147">
        <f t="shared" si="287"/>
        <v>13.561081089809143</v>
      </c>
      <c r="P103" s="157">
        <f t="shared" si="288"/>
        <v>36420.228945303788</v>
      </c>
      <c r="Q103" s="43">
        <f t="shared" si="289"/>
        <v>696727.5</v>
      </c>
      <c r="R103" s="43">
        <f t="shared" si="290"/>
        <v>1898.0768096081936</v>
      </c>
      <c r="S103" s="43">
        <f>SUM(R103:$R$138)</f>
        <v>26786.161107321579</v>
      </c>
      <c r="T103" s="43">
        <f t="shared" si="366"/>
        <v>237298.34148514603</v>
      </c>
      <c r="U103" s="153">
        <f>SUM(P103:$P$138)</f>
        <v>298401.41214207554</v>
      </c>
      <c r="V103" s="129">
        <f t="shared" si="291"/>
        <v>103812.40402277096</v>
      </c>
      <c r="W103" s="43">
        <f t="shared" si="292"/>
        <v>17529.527152151433</v>
      </c>
      <c r="X103" s="26">
        <f t="shared" si="367"/>
        <v>5.3428826164585628</v>
      </c>
      <c r="Y103" s="26">
        <f t="shared" si="368"/>
        <v>0.48131293129643493</v>
      </c>
      <c r="Z103" s="43">
        <f t="shared" si="293"/>
        <v>14262.184732007232</v>
      </c>
      <c r="AA103" s="149">
        <f t="shared" si="369"/>
        <v>0.3438741803112485</v>
      </c>
      <c r="AB103" s="150">
        <f t="shared" si="370"/>
        <v>261981.18319677183</v>
      </c>
      <c r="AC103" s="150">
        <f t="shared" si="371"/>
        <v>86282.876870619526</v>
      </c>
      <c r="AD103" s="26">
        <f t="shared" si="372"/>
        <v>4.8241955477549991</v>
      </c>
      <c r="AE103" s="26">
        <f t="shared" si="294"/>
        <v>647277.70171596995</v>
      </c>
      <c r="AF103" s="43">
        <f t="shared" si="295"/>
        <v>121147.6553353528</v>
      </c>
      <c r="AG103" s="43">
        <f t="shared" si="296"/>
        <v>671203.54950145388</v>
      </c>
      <c r="AH103" s="27">
        <f t="shared" si="297"/>
        <v>129468.53705761311</v>
      </c>
      <c r="AI103" s="28">
        <f t="shared" si="298"/>
        <v>721724.24677575694</v>
      </c>
      <c r="AJ103" s="20">
        <f t="shared" si="299"/>
        <v>139213.48070711087</v>
      </c>
      <c r="AK103" s="3">
        <f t="shared" si="300"/>
        <v>12065.168327949608</v>
      </c>
      <c r="AL103" s="3"/>
      <c r="AM103" s="46">
        <f t="shared" si="373"/>
        <v>261981.18319677183</v>
      </c>
      <c r="AN103" s="46">
        <f t="shared" si="374"/>
        <v>228658.26391475086</v>
      </c>
      <c r="AO103" s="46">
        <f t="shared" si="374"/>
        <v>198298.32110974428</v>
      </c>
      <c r="AP103" s="3">
        <f t="shared" si="393"/>
        <v>170766.16478295706</v>
      </c>
      <c r="AQ103" s="3">
        <f t="shared" si="393"/>
        <v>145927.40926349355</v>
      </c>
      <c r="AR103" s="16">
        <f t="shared" si="393"/>
        <v>123651.69649989734</v>
      </c>
      <c r="AS103" s="16">
        <f t="shared" si="393"/>
        <v>103812.40402277096</v>
      </c>
      <c r="AT103" s="16">
        <f t="shared" si="393"/>
        <v>86282.876870619526</v>
      </c>
      <c r="AU103" s="16">
        <f t="shared" si="393"/>
        <v>70930.687641563578</v>
      </c>
      <c r="AV103" s="16">
        <f t="shared" si="393"/>
        <v>57613.36985294702</v>
      </c>
      <c r="AW103" s="16">
        <f t="shared" si="393"/>
        <v>46177.609845970153</v>
      </c>
      <c r="AX103" s="16">
        <f t="shared" si="391"/>
        <v>36463.671403968496</v>
      </c>
      <c r="AY103" s="16">
        <f t="shared" si="391"/>
        <v>28308.648121141709</v>
      </c>
      <c r="AZ103" s="16">
        <f t="shared" si="391"/>
        <v>21548.169642861361</v>
      </c>
      <c r="BA103" s="16">
        <f t="shared" si="391"/>
        <v>16018.875426929008</v>
      </c>
      <c r="BB103" s="16">
        <f t="shared" si="391"/>
        <v>11560.444059796366</v>
      </c>
      <c r="BC103" s="16">
        <f t="shared" si="391"/>
        <v>8018.7396142307962</v>
      </c>
      <c r="BD103" s="16">
        <f t="shared" si="301"/>
        <v>5283.7780155303126</v>
      </c>
      <c r="BE103" s="16">
        <f t="shared" si="301"/>
        <v>3272.8085819586663</v>
      </c>
      <c r="BF103" s="16">
        <f t="shared" si="301"/>
        <v>1880.5992961069639</v>
      </c>
      <c r="BG103" s="16">
        <f t="shared" si="301"/>
        <v>985.7419839674069</v>
      </c>
      <c r="BH103" s="172">
        <f t="shared" si="375"/>
        <v>33322.919282020994</v>
      </c>
      <c r="BI103" s="16">
        <f t="shared" si="392"/>
        <v>30359.942805006591</v>
      </c>
      <c r="BJ103" s="16">
        <f t="shared" si="392"/>
        <v>27532.156326787204</v>
      </c>
      <c r="BK103" s="16">
        <f t="shared" si="392"/>
        <v>24838.755519463502</v>
      </c>
      <c r="BL103" s="16">
        <f t="shared" si="392"/>
        <v>22275.712763596202</v>
      </c>
      <c r="BM103" s="16">
        <f t="shared" si="392"/>
        <v>19839.292477126361</v>
      </c>
      <c r="BN103" s="16">
        <f t="shared" si="392"/>
        <v>17529.527152151433</v>
      </c>
      <c r="BO103" s="16">
        <f t="shared" si="392"/>
        <v>15352.18922905595</v>
      </c>
      <c r="BP103" s="16">
        <f t="shared" si="392"/>
        <v>13317.317788616554</v>
      </c>
      <c r="BQ103" s="16">
        <f t="shared" si="392"/>
        <v>11435.760006976861</v>
      </c>
      <c r="BR103" s="16">
        <f t="shared" si="392"/>
        <v>9713.938442001665</v>
      </c>
      <c r="BS103" s="16">
        <f t="shared" si="392"/>
        <v>8155.0232828267881</v>
      </c>
      <c r="BT103" s="16">
        <f t="shared" si="392"/>
        <v>6760.4784782803481</v>
      </c>
      <c r="BU103" s="16">
        <f t="shared" si="392"/>
        <v>5529.2942159323538</v>
      </c>
      <c r="BV103" s="16">
        <f t="shared" si="395"/>
        <v>4458.4313671326408</v>
      </c>
      <c r="BW103" s="16">
        <f t="shared" si="395"/>
        <v>3541.7044455655696</v>
      </c>
      <c r="BX103" s="16">
        <f t="shared" si="395"/>
        <v>2734.9615987004836</v>
      </c>
      <c r="BY103" s="16">
        <f t="shared" si="395"/>
        <v>2010.9694335716461</v>
      </c>
      <c r="BZ103" s="16">
        <f t="shared" si="395"/>
        <v>1392.2092858517024</v>
      </c>
      <c r="CA103" s="16">
        <f t="shared" si="395"/>
        <v>894.85731213955728</v>
      </c>
      <c r="CB103" s="16">
        <f t="shared" si="395"/>
        <v>524.58221221485394</v>
      </c>
      <c r="CC103" s="18">
        <f t="shared" si="376"/>
        <v>4.7465462985213023</v>
      </c>
      <c r="CD103" s="18">
        <f t="shared" si="376"/>
        <v>4.1121902203120042</v>
      </c>
      <c r="CE103" s="18">
        <f t="shared" si="376"/>
        <v>3.4318386095695659</v>
      </c>
      <c r="CF103" s="18">
        <f t="shared" si="376"/>
        <v>2.6955360427667774</v>
      </c>
      <c r="CG103" s="18">
        <f t="shared" si="280"/>
        <v>1.8906243624019292</v>
      </c>
      <c r="CH103" s="18">
        <f t="shared" si="150"/>
        <v>1.0000000000000009</v>
      </c>
      <c r="CI103" s="18">
        <f t="shared" si="150"/>
        <v>0</v>
      </c>
      <c r="CJ103" s="18">
        <f t="shared" si="150"/>
        <v>-1.1418258914484067</v>
      </c>
      <c r="CK103" s="18">
        <f t="shared" si="150"/>
        <v>-2.4690945206184227</v>
      </c>
      <c r="CL103" s="18">
        <f t="shared" si="151"/>
        <v>-4.0398744063917311</v>
      </c>
      <c r="CM103" s="18">
        <f t="shared" si="151"/>
        <v>-5.9332056220982725</v>
      </c>
      <c r="CN103" s="18">
        <f t="shared" si="151"/>
        <v>-8.2585579811437722</v>
      </c>
      <c r="CO103" s="18">
        <f t="shared" si="151"/>
        <v>-11.168404151304246</v>
      </c>
      <c r="CP103" s="18">
        <f t="shared" si="271"/>
        <v>-14.877890589158699</v>
      </c>
      <c r="CQ103" s="18">
        <f t="shared" si="272"/>
        <v>-19.691573418187385</v>
      </c>
      <c r="CR103" s="18">
        <f t="shared" si="273"/>
        <v>-26.047334378361153</v>
      </c>
      <c r="CS103" s="18">
        <f t="shared" si="267"/>
        <v>-35.02559760036722</v>
      </c>
      <c r="CT103" s="18">
        <f t="shared" si="377"/>
        <v>-48.99558609016038</v>
      </c>
      <c r="CU103" s="18">
        <f t="shared" si="378"/>
        <v>-72.215863277557347</v>
      </c>
      <c r="CV103" s="18">
        <f t="shared" si="379"/>
        <v>-113.90844478093425</v>
      </c>
      <c r="CW103" s="18">
        <f t="shared" si="380"/>
        <v>-196.01629571970443</v>
      </c>
      <c r="CX103" s="17">
        <f t="shared" si="302"/>
        <v>1867.9701356980975</v>
      </c>
      <c r="CY103" s="17">
        <f t="shared" si="381"/>
        <v>1832.3703028506459</v>
      </c>
      <c r="CZ103" s="17">
        <f t="shared" si="381"/>
        <v>1792.9377944165547</v>
      </c>
      <c r="DA103" s="17">
        <f t="shared" si="381"/>
        <v>1752.9794958159355</v>
      </c>
      <c r="DB103" s="17">
        <f t="shared" si="381"/>
        <v>1712.3368656540415</v>
      </c>
      <c r="DC103" s="17">
        <f t="shared" si="381"/>
        <v>1667.3049712708671</v>
      </c>
      <c r="DD103" s="17">
        <f t="shared" si="381"/>
        <v>1612.0431613314265</v>
      </c>
      <c r="DE103" s="17">
        <f t="shared" si="381"/>
        <v>1542.0121813997755</v>
      </c>
      <c r="DF103" s="3" t="e">
        <f>#REF!+$AG$35*0.004*(1+$R$28)*#REF!-S103*#REF!</f>
        <v>#REF!</v>
      </c>
      <c r="DG103" s="19">
        <f t="shared" si="303"/>
        <v>2857.4710106282541</v>
      </c>
      <c r="DH103" s="19">
        <f t="shared" si="304"/>
        <v>2689.628520714356</v>
      </c>
      <c r="DI103" s="19">
        <f t="shared" si="305"/>
        <v>2508.3647792636375</v>
      </c>
      <c r="DJ103" s="19">
        <f t="shared" si="306"/>
        <v>2314.9112889503299</v>
      </c>
      <c r="DK103" s="19">
        <f t="shared" si="307"/>
        <v>2106.4706933054822</v>
      </c>
      <c r="DL103" s="19">
        <f t="shared" si="308"/>
        <v>1875.7725206632363</v>
      </c>
      <c r="DM103" s="19">
        <f t="shared" si="309"/>
        <v>1612.0431613314265</v>
      </c>
      <c r="DN103" s="19">
        <f t="shared" si="310"/>
        <v>1303.9785359767689</v>
      </c>
      <c r="DO103" s="25"/>
      <c r="DP103" s="25"/>
      <c r="DW103" s="26">
        <f t="shared" si="394"/>
        <v>0</v>
      </c>
      <c r="DX103" s="26">
        <f t="shared" si="394"/>
        <v>0</v>
      </c>
      <c r="DY103" s="26">
        <f t="shared" si="394"/>
        <v>0</v>
      </c>
      <c r="DZ103" s="26">
        <f t="shared" si="394"/>
        <v>0</v>
      </c>
      <c r="EA103" s="26">
        <f t="shared" si="394"/>
        <v>0</v>
      </c>
      <c r="EB103" s="26">
        <f t="shared" si="394"/>
        <v>0</v>
      </c>
      <c r="EC103" s="26">
        <f t="shared" si="311"/>
        <v>0</v>
      </c>
      <c r="ED103" s="26">
        <f t="shared" si="311"/>
        <v>0</v>
      </c>
      <c r="EE103" s="26">
        <f t="shared" si="311"/>
        <v>0</v>
      </c>
      <c r="EF103" s="26">
        <f t="shared" si="311"/>
        <v>0</v>
      </c>
      <c r="EG103" s="26">
        <f t="shared" si="311"/>
        <v>0</v>
      </c>
      <c r="EH103" s="26">
        <f t="shared" si="311"/>
        <v>0</v>
      </c>
      <c r="EI103" s="26">
        <f t="shared" si="311"/>
        <v>0</v>
      </c>
      <c r="ER103" s="26">
        <f t="shared" si="312"/>
        <v>-1.0709502437644265</v>
      </c>
      <c r="ES103" s="26">
        <f t="shared" si="312"/>
        <v>-1.24715670172389</v>
      </c>
      <c r="ET103" s="26">
        <f t="shared" si="312"/>
        <v>-1.4682185621374342</v>
      </c>
      <c r="EU103" s="26">
        <f t="shared" si="312"/>
        <v>-1.7488833860279929</v>
      </c>
      <c r="EV103" s="26">
        <f t="shared" si="312"/>
        <v>-2.1096413187066427</v>
      </c>
      <c r="EW103" s="26">
        <f t="shared" si="312"/>
        <v>-2.5793861160275284</v>
      </c>
      <c r="EX103" s="26">
        <f t="shared" si="312"/>
        <v>-3.1989243654500163</v>
      </c>
      <c r="EY103" s="26">
        <f t="shared" si="269"/>
        <v>-4.0269268515232426</v>
      </c>
      <c r="EZ103" s="26">
        <f t="shared" si="269"/>
        <v>-5.2147659911509932</v>
      </c>
      <c r="FA103" s="26">
        <f t="shared" si="269"/>
        <v>-7.0921936922116346</v>
      </c>
      <c r="FB103" s="26">
        <f t="shared" si="269"/>
        <v>-10.244282147049574</v>
      </c>
      <c r="FC103" s="26">
        <f t="shared" si="269"/>
        <v>-15.937942886008374</v>
      </c>
      <c r="FD103" s="26">
        <f t="shared" si="269"/>
        <v>-27.187701755632247</v>
      </c>
      <c r="FM103" s="26">
        <f t="shared" si="313"/>
        <v>-2.1527988948479382</v>
      </c>
      <c r="FN103" s="26">
        <f t="shared" si="313"/>
        <v>-3.5070049563983052</v>
      </c>
      <c r="FO103" s="26">
        <f t="shared" si="281"/>
        <v>-5.1286309630334888</v>
      </c>
      <c r="FP103" s="26">
        <f t="shared" si="158"/>
        <v>-7.1090206292313756</v>
      </c>
      <c r="FQ103" s="26">
        <f t="shared" si="158"/>
        <v>-9.5754623634604954</v>
      </c>
      <c r="FR103" s="26">
        <f t="shared" si="158"/>
        <v>-12.707589558397654</v>
      </c>
      <c r="FS103" s="26">
        <f t="shared" si="158"/>
        <v>-16.759803315954045</v>
      </c>
      <c r="FT103" s="26">
        <f t="shared" si="274"/>
        <v>-22.097873625333197</v>
      </c>
      <c r="FU103" s="26">
        <f t="shared" si="268"/>
        <v>-29.616174096768273</v>
      </c>
      <c r="FV103" s="26">
        <f t="shared" si="382"/>
        <v>-41.278632535566786</v>
      </c>
      <c r="FW103" s="26">
        <f t="shared" si="383"/>
        <v>-60.624705230922494</v>
      </c>
      <c r="GH103" s="26">
        <f t="shared" si="314"/>
        <v>1.3162956257704845</v>
      </c>
      <c r="GI103" s="26">
        <f t="shared" si="314"/>
        <v>1.5328694499934254</v>
      </c>
      <c r="GJ103" s="26">
        <f t="shared" si="282"/>
        <v>1.804574659064782</v>
      </c>
      <c r="GK103" s="26">
        <f t="shared" si="162"/>
        <v>2.1495373519123966</v>
      </c>
      <c r="GL103" s="26">
        <f t="shared" si="162"/>
        <v>2.5929417878437491</v>
      </c>
      <c r="GM103" s="26">
        <f t="shared" si="162"/>
        <v>3.1703010307610464</v>
      </c>
      <c r="GN103" s="26">
        <f t="shared" si="162"/>
        <v>3.9317701022333402</v>
      </c>
      <c r="GO103" s="26">
        <f t="shared" si="275"/>
        <v>4.9494607530279584</v>
      </c>
      <c r="GP103" s="26">
        <f t="shared" si="265"/>
        <v>6.4094235035989477</v>
      </c>
      <c r="GQ103" s="26">
        <f t="shared" si="384"/>
        <v>8.7169535545935979</v>
      </c>
      <c r="GR103" s="26">
        <f t="shared" si="385"/>
        <v>12.59115804663486</v>
      </c>
      <c r="GS103" s="26">
        <f t="shared" si="386"/>
        <v>19.589186917676567</v>
      </c>
      <c r="GT103" s="26">
        <f t="shared" si="315"/>
        <v>33.416167654902942</v>
      </c>
      <c r="HC103" s="26">
        <f t="shared" si="316"/>
        <v>-2.4690945206184227</v>
      </c>
      <c r="HD103" s="26">
        <f t="shared" si="316"/>
        <v>-4.0398744063917311</v>
      </c>
      <c r="HE103" s="26">
        <f t="shared" si="283"/>
        <v>-5.9332056220982725</v>
      </c>
      <c r="HF103" s="26">
        <f t="shared" si="166"/>
        <v>-8.2585579811437722</v>
      </c>
      <c r="HG103" s="26">
        <f t="shared" si="166"/>
        <v>-11.168404151304246</v>
      </c>
      <c r="HH103" s="26">
        <f t="shared" si="166"/>
        <v>-14.877890589158699</v>
      </c>
      <c r="HI103" s="26">
        <f t="shared" si="166"/>
        <v>-19.691573418187385</v>
      </c>
      <c r="HJ103" s="26">
        <f t="shared" si="276"/>
        <v>-26.047334378361153</v>
      </c>
      <c r="HK103" s="26">
        <f t="shared" si="266"/>
        <v>-35.02559760036722</v>
      </c>
      <c r="HL103" s="26">
        <f t="shared" si="387"/>
        <v>-48.99558609016038</v>
      </c>
      <c r="HM103" s="26">
        <f t="shared" si="388"/>
        <v>-72.215863277557347</v>
      </c>
      <c r="HN103" s="26">
        <f t="shared" si="389"/>
        <v>-113.90844478093425</v>
      </c>
      <c r="HO103" s="26">
        <f t="shared" si="317"/>
        <v>-196.01629571970443</v>
      </c>
      <c r="HP103" s="26">
        <f t="shared" si="318"/>
        <v>1031889.3409120624</v>
      </c>
      <c r="HX103" s="26">
        <f t="shared" si="319"/>
        <v>657458.90921332361</v>
      </c>
      <c r="HY103" s="26">
        <f t="shared" si="320"/>
        <v>724031.12234138965</v>
      </c>
      <c r="HZ103" s="26">
        <f t="shared" si="321"/>
        <v>821389.10728331213</v>
      </c>
      <c r="IA103" s="26">
        <f t="shared" si="322"/>
        <v>961109.94602964586</v>
      </c>
      <c r="IB103" s="26">
        <f t="shared" si="323"/>
        <v>1159366.7537599893</v>
      </c>
      <c r="IC103" s="26">
        <f t="shared" si="324"/>
        <v>1439030.9708299031</v>
      </c>
      <c r="ID103" s="26">
        <f t="shared" si="325"/>
        <v>1832535.9201844467</v>
      </c>
      <c r="IE103" s="26">
        <f t="shared" si="326"/>
        <v>2386569.8128955923</v>
      </c>
      <c r="IF103" s="26">
        <f t="shared" si="327"/>
        <v>3216159.9648954393</v>
      </c>
      <c r="IG103" s="26">
        <f t="shared" si="328"/>
        <v>4573845.1582932221</v>
      </c>
      <c r="IH103" s="26">
        <f t="shared" si="329"/>
        <v>6914108.2674103221</v>
      </c>
      <c r="II103" s="26">
        <f t="shared" si="330"/>
        <v>294442.30012056231</v>
      </c>
      <c r="IR103" s="26">
        <f t="shared" si="331"/>
        <v>676143.03455748246</v>
      </c>
      <c r="IS103" s="26">
        <f t="shared" si="332"/>
        <v>744251.0694952216</v>
      </c>
      <c r="IT103" s="26">
        <f t="shared" si="333"/>
        <v>844125.24502346059</v>
      </c>
      <c r="IU103" s="26">
        <f t="shared" si="334"/>
        <v>987714.15843395249</v>
      </c>
      <c r="IV103" s="26">
        <f t="shared" si="335"/>
        <v>1191715.6049305694</v>
      </c>
      <c r="IW103" s="26">
        <f t="shared" si="336"/>
        <v>1479751.1459048025</v>
      </c>
      <c r="IX103" s="26">
        <f t="shared" si="337"/>
        <v>1885330.9968768286</v>
      </c>
      <c r="IY103" s="26">
        <f t="shared" si="338"/>
        <v>2456712.0253717811</v>
      </c>
      <c r="IZ103" s="26">
        <f t="shared" si="339"/>
        <v>3312644.7638423024</v>
      </c>
      <c r="JA103" s="26">
        <f t="shared" si="340"/>
        <v>4713844.6563816024</v>
      </c>
      <c r="JB103" s="26">
        <f t="shared" si="341"/>
        <v>7129809.9531441219</v>
      </c>
      <c r="JC103" s="26">
        <f t="shared" si="342"/>
        <v>323032.74270500999</v>
      </c>
      <c r="JI103" s="26">
        <f t="shared" si="343"/>
        <v>0</v>
      </c>
      <c r="JJ103" s="26">
        <f t="shared" si="344"/>
        <v>0</v>
      </c>
      <c r="JK103" s="26">
        <f t="shared" si="345"/>
        <v>986324.84562488808</v>
      </c>
      <c r="JL103" s="26">
        <f t="shared" si="346"/>
        <v>1251763.2564104437</v>
      </c>
      <c r="JM103" s="26">
        <f t="shared" si="347"/>
        <v>1589488.5553096971</v>
      </c>
      <c r="JN103" s="26">
        <f t="shared" si="348"/>
        <v>2025201.5652565747</v>
      </c>
      <c r="JO103" s="26">
        <f t="shared" si="349"/>
        <v>2594754.5722345072</v>
      </c>
      <c r="JP103" s="26">
        <f t="shared" si="350"/>
        <v>3348797.0691253105</v>
      </c>
      <c r="JQ103" s="26">
        <f t="shared" si="351"/>
        <v>4359099.3579561412</v>
      </c>
      <c r="JR103" s="26">
        <f t="shared" si="352"/>
        <v>5728927.5211701151</v>
      </c>
      <c r="JS103" s="26">
        <f t="shared" si="353"/>
        <v>7712761.1654934436</v>
      </c>
      <c r="JT103" s="26">
        <f t="shared" si="354"/>
        <v>10868951.113767641</v>
      </c>
      <c r="JU103" s="26">
        <f t="shared" si="355"/>
        <v>16201980.772112388</v>
      </c>
      <c r="JV103" s="26">
        <f t="shared" si="356"/>
        <v>14632864.708624335</v>
      </c>
      <c r="JW103" s="26">
        <f t="shared" si="357"/>
        <v>24624690.993941218</v>
      </c>
      <c r="JY103" s="34">
        <f t="shared" si="358"/>
        <v>9.2416152656526432E-2</v>
      </c>
      <c r="JZ103" s="4">
        <f t="shared" si="359"/>
        <v>0</v>
      </c>
      <c r="KA103" s="165"/>
    </row>
    <row r="104" spans="1:287" ht="15.75" x14ac:dyDescent="0.3">
      <c r="A104" s="34">
        <v>103</v>
      </c>
      <c r="B104" s="34">
        <v>76</v>
      </c>
      <c r="C104" s="2">
        <v>533740</v>
      </c>
      <c r="D104" s="1">
        <f t="shared" si="360"/>
        <v>24351</v>
      </c>
      <c r="E104" s="145">
        <f t="shared" si="361"/>
        <v>0.95437666279461908</v>
      </c>
      <c r="F104" s="146">
        <f t="shared" si="362"/>
        <v>4.5623337205380921E-2</v>
      </c>
      <c r="G104" s="158">
        <f t="shared" si="284"/>
        <v>5.7029171506726151E-2</v>
      </c>
      <c r="H104" s="43">
        <f t="shared" si="363"/>
        <v>25960.119530635056</v>
      </c>
      <c r="I104" s="43">
        <f t="shared" si="390"/>
        <v>455207.7269362621</v>
      </c>
      <c r="J104" s="43">
        <f t="shared" si="364"/>
        <v>521564.5</v>
      </c>
      <c r="K104" s="147">
        <f>SUM(J104:$J$138)</f>
        <v>5501401</v>
      </c>
      <c r="L104" s="147">
        <f t="shared" si="365"/>
        <v>10.307267583467606</v>
      </c>
      <c r="M104" s="43">
        <f t="shared" si="285"/>
        <v>651955.625</v>
      </c>
      <c r="N104" s="148">
        <f t="shared" si="286"/>
        <v>6876751.25</v>
      </c>
      <c r="O104" s="147">
        <f t="shared" si="287"/>
        <v>12.884084479334508</v>
      </c>
      <c r="P104" s="157">
        <f t="shared" si="288"/>
        <v>33322.919282020994</v>
      </c>
      <c r="Q104" s="43">
        <f t="shared" si="289"/>
        <v>667175</v>
      </c>
      <c r="R104" s="43">
        <f t="shared" si="290"/>
        <v>1867.9701356980975</v>
      </c>
      <c r="S104" s="43">
        <f>SUM(R104:$R$138)</f>
        <v>24888.084297713383</v>
      </c>
      <c r="T104" s="43">
        <f t="shared" si="366"/>
        <v>210512.18037782446</v>
      </c>
      <c r="U104" s="153">
        <f>SUM(P104:$P$138)</f>
        <v>261981.18319677183</v>
      </c>
      <c r="V104" s="129">
        <f t="shared" si="291"/>
        <v>86282.876870619526</v>
      </c>
      <c r="W104" s="43">
        <f t="shared" si="292"/>
        <v>15352.18922905595</v>
      </c>
      <c r="X104" s="26">
        <f t="shared" si="367"/>
        <v>5.272596462487857</v>
      </c>
      <c r="Y104" s="26">
        <f t="shared" si="368"/>
        <v>0.46070961247801151</v>
      </c>
      <c r="Z104" s="43">
        <f t="shared" si="293"/>
        <v>12650.141570675805</v>
      </c>
      <c r="AA104" s="149">
        <f t="shared" si="369"/>
        <v>0.36725301956483813</v>
      </c>
      <c r="AB104" s="150">
        <f t="shared" si="370"/>
        <v>228658.26391475086</v>
      </c>
      <c r="AC104" s="150">
        <f t="shared" si="371"/>
        <v>70930.687641563578</v>
      </c>
      <c r="AD104" s="26">
        <f t="shared" si="372"/>
        <v>4.7333060749658697</v>
      </c>
      <c r="AE104" s="26">
        <f t="shared" si="294"/>
        <v>656674.9400662526</v>
      </c>
      <c r="AF104" s="43">
        <f t="shared" si="295"/>
        <v>124544.88879211567</v>
      </c>
      <c r="AG104" s="43">
        <f t="shared" si="296"/>
        <v>680823.40816981683</v>
      </c>
      <c r="AH104" s="27">
        <f t="shared" si="297"/>
        <v>132967.68751807886</v>
      </c>
      <c r="AI104" s="28">
        <f t="shared" si="298"/>
        <v>732068.18082776014</v>
      </c>
      <c r="AJ104" s="20">
        <f t="shared" si="299"/>
        <v>142976.00808395576</v>
      </c>
      <c r="AK104" s="3">
        <f t="shared" si="300"/>
        <v>12391.254033942832</v>
      </c>
      <c r="AL104" s="3"/>
      <c r="AM104" s="46">
        <f t="shared" si="373"/>
        <v>228658.26391475086</v>
      </c>
      <c r="AN104" s="46">
        <f t="shared" si="374"/>
        <v>198298.32110974428</v>
      </c>
      <c r="AO104" s="46">
        <f t="shared" si="374"/>
        <v>170766.16478295706</v>
      </c>
      <c r="AP104" s="3">
        <f t="shared" si="393"/>
        <v>145927.40926349355</v>
      </c>
      <c r="AQ104" s="3">
        <f t="shared" si="393"/>
        <v>123651.69649989734</v>
      </c>
      <c r="AR104" s="16">
        <f t="shared" si="393"/>
        <v>103812.40402277096</v>
      </c>
      <c r="AS104" s="16">
        <f t="shared" si="393"/>
        <v>86282.876870619526</v>
      </c>
      <c r="AT104" s="16">
        <f t="shared" si="393"/>
        <v>70930.687641563578</v>
      </c>
      <c r="AU104" s="16">
        <f t="shared" si="393"/>
        <v>57613.36985294702</v>
      </c>
      <c r="AV104" s="16">
        <f t="shared" si="393"/>
        <v>46177.609845970153</v>
      </c>
      <c r="AW104" s="16">
        <f t="shared" si="393"/>
        <v>36463.671403968496</v>
      </c>
      <c r="AX104" s="16">
        <f t="shared" si="391"/>
        <v>28308.648121141709</v>
      </c>
      <c r="AY104" s="16">
        <f t="shared" si="391"/>
        <v>21548.169642861361</v>
      </c>
      <c r="AZ104" s="16">
        <f t="shared" si="391"/>
        <v>16018.875426929008</v>
      </c>
      <c r="BA104" s="16">
        <f t="shared" si="391"/>
        <v>11560.444059796366</v>
      </c>
      <c r="BB104" s="16">
        <f t="shared" si="391"/>
        <v>8018.7396142307962</v>
      </c>
      <c r="BC104" s="16">
        <f t="shared" si="391"/>
        <v>5283.7780155303126</v>
      </c>
      <c r="BD104" s="16">
        <f t="shared" si="301"/>
        <v>3272.8085819586663</v>
      </c>
      <c r="BE104" s="16">
        <f t="shared" si="301"/>
        <v>1880.5992961069639</v>
      </c>
      <c r="BF104" s="16">
        <f t="shared" si="301"/>
        <v>985.7419839674069</v>
      </c>
      <c r="BG104" s="16">
        <f t="shared" si="301"/>
        <v>461.1597717525529</v>
      </c>
      <c r="BH104" s="172">
        <f t="shared" si="375"/>
        <v>30359.942805006591</v>
      </c>
      <c r="BI104" s="16">
        <f t="shared" si="392"/>
        <v>27532.156326787204</v>
      </c>
      <c r="BJ104" s="16">
        <f t="shared" si="392"/>
        <v>24838.755519463502</v>
      </c>
      <c r="BK104" s="16">
        <f t="shared" si="392"/>
        <v>22275.712763596202</v>
      </c>
      <c r="BL104" s="16">
        <f t="shared" si="392"/>
        <v>19839.292477126361</v>
      </c>
      <c r="BM104" s="16">
        <f t="shared" si="392"/>
        <v>17529.527152151433</v>
      </c>
      <c r="BN104" s="16">
        <f t="shared" si="392"/>
        <v>15352.18922905595</v>
      </c>
      <c r="BO104" s="16">
        <f t="shared" si="392"/>
        <v>13317.317788616554</v>
      </c>
      <c r="BP104" s="16">
        <f t="shared" si="392"/>
        <v>11435.760006976861</v>
      </c>
      <c r="BQ104" s="16">
        <f t="shared" si="392"/>
        <v>9713.938442001665</v>
      </c>
      <c r="BR104" s="16">
        <f t="shared" si="392"/>
        <v>8155.0232828267881</v>
      </c>
      <c r="BS104" s="16">
        <f t="shared" si="392"/>
        <v>6760.4784782803481</v>
      </c>
      <c r="BT104" s="16">
        <f t="shared" si="392"/>
        <v>5529.2942159323538</v>
      </c>
      <c r="BU104" s="16">
        <f t="shared" si="392"/>
        <v>4458.4313671326408</v>
      </c>
      <c r="BV104" s="16">
        <f t="shared" si="395"/>
        <v>3541.7044455655696</v>
      </c>
      <c r="BW104" s="16">
        <f t="shared" si="395"/>
        <v>2734.9615987004836</v>
      </c>
      <c r="BX104" s="16">
        <f t="shared" si="395"/>
        <v>2010.9694335716461</v>
      </c>
      <c r="BY104" s="16">
        <f t="shared" si="395"/>
        <v>1392.2092858517024</v>
      </c>
      <c r="BZ104" s="16">
        <f t="shared" si="395"/>
        <v>894.85731213955728</v>
      </c>
      <c r="CA104" s="16">
        <f t="shared" si="395"/>
        <v>524.58221221485394</v>
      </c>
      <c r="CB104" s="16">
        <f t="shared" si="395"/>
        <v>274.1012787033934</v>
      </c>
      <c r="CC104" s="18">
        <f t="shared" si="376"/>
        <v>4.6895802129328299</v>
      </c>
      <c r="CD104" s="18">
        <f t="shared" si="376"/>
        <v>4.0685314622502045</v>
      </c>
      <c r="CE104" s="18">
        <f t="shared" si="376"/>
        <v>3.4012689502957154</v>
      </c>
      <c r="CF104" s="18">
        <f t="shared" si="376"/>
        <v>2.6775588743605696</v>
      </c>
      <c r="CG104" s="18">
        <f t="shared" si="280"/>
        <v>1.8835762249264716</v>
      </c>
      <c r="CH104" s="18">
        <f t="shared" si="150"/>
        <v>1.0000000000000002</v>
      </c>
      <c r="CI104" s="18">
        <f t="shared" si="150"/>
        <v>0</v>
      </c>
      <c r="CJ104" s="18">
        <f t="shared" si="150"/>
        <v>-1.152798894847938</v>
      </c>
      <c r="CK104" s="18">
        <f t="shared" si="150"/>
        <v>-2.5070049563983048</v>
      </c>
      <c r="CL104" s="18">
        <f t="shared" si="151"/>
        <v>-4.1286309630334896</v>
      </c>
      <c r="CM104" s="18">
        <f t="shared" si="151"/>
        <v>-6.1090206292313765</v>
      </c>
      <c r="CN104" s="18">
        <f t="shared" si="151"/>
        <v>-8.5754623634604972</v>
      </c>
      <c r="CO104" s="18">
        <f t="shared" si="151"/>
        <v>-11.707589558397652</v>
      </c>
      <c r="CP104" s="18">
        <f t="shared" si="271"/>
        <v>-15.759803315954045</v>
      </c>
      <c r="CQ104" s="18">
        <f t="shared" si="272"/>
        <v>-21.097873625333197</v>
      </c>
      <c r="CR104" s="18">
        <f t="shared" si="273"/>
        <v>-28.616174096768276</v>
      </c>
      <c r="CS104" s="18">
        <f t="shared" si="267"/>
        <v>-40.278632535566786</v>
      </c>
      <c r="CT104" s="18">
        <f t="shared" si="377"/>
        <v>-59.624705230922487</v>
      </c>
      <c r="CU104" s="18">
        <f t="shared" si="378"/>
        <v>-94.319257863257675</v>
      </c>
      <c r="CV104" s="18">
        <f t="shared" si="379"/>
        <v>-162.60012806480148</v>
      </c>
      <c r="CW104" s="18">
        <f t="shared" si="380"/>
        <v>-313.102213549814</v>
      </c>
      <c r="CX104" s="17">
        <f t="shared" si="302"/>
        <v>1832.3703028506459</v>
      </c>
      <c r="CY104" s="17">
        <f t="shared" si="381"/>
        <v>1792.9377944165547</v>
      </c>
      <c r="CZ104" s="17">
        <f t="shared" si="381"/>
        <v>1752.9794958159355</v>
      </c>
      <c r="DA104" s="17">
        <f t="shared" si="381"/>
        <v>1712.3368656540415</v>
      </c>
      <c r="DB104" s="17">
        <f t="shared" si="381"/>
        <v>1667.3049712708671</v>
      </c>
      <c r="DC104" s="17">
        <f t="shared" si="381"/>
        <v>1612.0431613314265</v>
      </c>
      <c r="DD104" s="17">
        <f t="shared" si="381"/>
        <v>1542.0121813997755</v>
      </c>
      <c r="DE104" s="17">
        <f t="shared" si="381"/>
        <v>1456.0445403286262</v>
      </c>
      <c r="DF104" s="3" t="e">
        <f>#REF!+$AG$35*0.004*(1+$R$28)*#REF!-S104*#REF!</f>
        <v>#REF!</v>
      </c>
      <c r="DG104" s="19">
        <f t="shared" si="303"/>
        <v>2813.170427428402</v>
      </c>
      <c r="DH104" s="19">
        <f t="shared" si="304"/>
        <v>2643.84895998716</v>
      </c>
      <c r="DI104" s="19">
        <f t="shared" si="305"/>
        <v>2464.3363462591019</v>
      </c>
      <c r="DJ104" s="19">
        <f t="shared" si="306"/>
        <v>2272.3337008280682</v>
      </c>
      <c r="DK104" s="19">
        <f t="shared" si="307"/>
        <v>2061.2446656948646</v>
      </c>
      <c r="DL104" s="19">
        <f t="shared" si="308"/>
        <v>1821.1877073342705</v>
      </c>
      <c r="DM104" s="19">
        <f t="shared" si="309"/>
        <v>1542.0121813997755</v>
      </c>
      <c r="DN104" s="19">
        <f t="shared" si="310"/>
        <v>1214.9429388330741</v>
      </c>
      <c r="DO104" s="25"/>
      <c r="DP104" s="25"/>
      <c r="DW104" s="26">
        <f t="shared" si="394"/>
        <v>0</v>
      </c>
      <c r="DX104" s="26">
        <f t="shared" si="394"/>
        <v>0</v>
      </c>
      <c r="DY104" s="26">
        <f t="shared" si="394"/>
        <v>0</v>
      </c>
      <c r="DZ104" s="26">
        <f t="shared" si="394"/>
        <v>0</v>
      </c>
      <c r="EA104" s="26">
        <f t="shared" si="394"/>
        <v>0</v>
      </c>
      <c r="EB104" s="26">
        <f t="shared" si="394"/>
        <v>0</v>
      </c>
      <c r="EC104" s="26">
        <f t="shared" si="311"/>
        <v>0</v>
      </c>
      <c r="ED104" s="26">
        <f t="shared" si="311"/>
        <v>0</v>
      </c>
      <c r="EE104" s="26">
        <f t="shared" si="311"/>
        <v>0</v>
      </c>
      <c r="EF104" s="26">
        <f t="shared" si="311"/>
        <v>0</v>
      </c>
      <c r="EG104" s="26">
        <f t="shared" si="311"/>
        <v>0</v>
      </c>
      <c r="EH104" s="26">
        <f t="shared" si="311"/>
        <v>0</v>
      </c>
      <c r="EI104" s="26">
        <f t="shared" si="311"/>
        <v>0</v>
      </c>
      <c r="ER104" s="26">
        <f t="shared" si="312"/>
        <v>-1.1061915922473067</v>
      </c>
      <c r="ES104" s="26">
        <f t="shared" si="312"/>
        <v>-1.3022670100500557</v>
      </c>
      <c r="ET104" s="26">
        <f t="shared" si="312"/>
        <v>-1.5512085167574001</v>
      </c>
      <c r="EU104" s="26">
        <f t="shared" si="312"/>
        <v>-1.8711902731910777</v>
      </c>
      <c r="EV104" s="26">
        <f t="shared" si="312"/>
        <v>-2.2878401974387845</v>
      </c>
      <c r="EW104" s="26">
        <f t="shared" si="312"/>
        <v>-2.8373525415086771</v>
      </c>
      <c r="EX104" s="26">
        <f t="shared" si="312"/>
        <v>-3.5717665788048905</v>
      </c>
      <c r="EY104" s="26">
        <f t="shared" si="269"/>
        <v>-4.6253452248421025</v>
      </c>
      <c r="EZ104" s="26">
        <f t="shared" si="269"/>
        <v>-6.2905687970642701</v>
      </c>
      <c r="FA104" s="26">
        <f t="shared" si="269"/>
        <v>-9.0863792529130514</v>
      </c>
      <c r="FB104" s="26">
        <f t="shared" si="269"/>
        <v>-14.136490141014745</v>
      </c>
      <c r="FC104" s="26">
        <f t="shared" si="269"/>
        <v>-24.114697898857973</v>
      </c>
      <c r="FD104" s="26">
        <f t="shared" si="269"/>
        <v>-46.151340958772387</v>
      </c>
      <c r="FM104" s="26">
        <f t="shared" si="313"/>
        <v>-2.1645328146526142</v>
      </c>
      <c r="FN104" s="26">
        <f t="shared" si="313"/>
        <v>-3.5482020442465116</v>
      </c>
      <c r="FO104" s="26">
        <f t="shared" si="281"/>
        <v>-5.2264767422770282</v>
      </c>
      <c r="FP104" s="26">
        <f t="shared" si="158"/>
        <v>-7.3045891880811906</v>
      </c>
      <c r="FQ104" s="26">
        <f t="shared" si="158"/>
        <v>-9.9310707786916517</v>
      </c>
      <c r="FR104" s="26">
        <f t="shared" si="158"/>
        <v>-13.316397336391006</v>
      </c>
      <c r="FS104" s="26">
        <f t="shared" si="158"/>
        <v>-17.763184081072147</v>
      </c>
      <c r="FT104" s="26">
        <f t="shared" si="274"/>
        <v>-24.002863388365444</v>
      </c>
      <c r="FU104" s="26">
        <f t="shared" si="268"/>
        <v>-33.644409472419966</v>
      </c>
      <c r="FV104" s="26">
        <f t="shared" si="382"/>
        <v>-49.597491589214847</v>
      </c>
      <c r="FW104" s="26">
        <f t="shared" si="383"/>
        <v>-78.163238662442666</v>
      </c>
      <c r="GH104" s="26">
        <f t="shared" si="314"/>
        <v>1.3424721417456913</v>
      </c>
      <c r="GI104" s="26">
        <f t="shared" si="314"/>
        <v>1.5804289187869778</v>
      </c>
      <c r="GJ104" s="26">
        <f t="shared" si="282"/>
        <v>1.882543886954348</v>
      </c>
      <c r="GK104" s="26">
        <f t="shared" si="162"/>
        <v>2.2708731753793057</v>
      </c>
      <c r="GL104" s="26">
        <f t="shared" si="162"/>
        <v>2.7765187797060014</v>
      </c>
      <c r="GM104" s="26">
        <f t="shared" si="162"/>
        <v>3.443405979563039</v>
      </c>
      <c r="GN104" s="26">
        <f t="shared" si="162"/>
        <v>4.3346895442610487</v>
      </c>
      <c r="GO104" s="26">
        <f t="shared" si="275"/>
        <v>5.6133107084028309</v>
      </c>
      <c r="GP104" s="26">
        <f t="shared" si="265"/>
        <v>7.6342230631468162</v>
      </c>
      <c r="GQ104" s="26">
        <f t="shared" si="384"/>
        <v>11.027213641707645</v>
      </c>
      <c r="GR104" s="26">
        <f t="shared" si="385"/>
        <v>17.156019200815003</v>
      </c>
      <c r="GS104" s="26">
        <f t="shared" si="386"/>
        <v>29.265554324148777</v>
      </c>
      <c r="GT104" s="26">
        <f t="shared" si="315"/>
        <v>56.009185005184321</v>
      </c>
      <c r="HC104" s="26">
        <f t="shared" si="316"/>
        <v>-2.5070049563983048</v>
      </c>
      <c r="HD104" s="26">
        <f t="shared" si="316"/>
        <v>-4.1286309630334896</v>
      </c>
      <c r="HE104" s="26">
        <f t="shared" si="283"/>
        <v>-6.1090206292313765</v>
      </c>
      <c r="HF104" s="26">
        <f t="shared" si="166"/>
        <v>-8.5754623634604972</v>
      </c>
      <c r="HG104" s="26">
        <f t="shared" si="166"/>
        <v>-11.707589558397652</v>
      </c>
      <c r="HH104" s="26">
        <f t="shared" si="166"/>
        <v>-15.759803315954045</v>
      </c>
      <c r="HI104" s="26">
        <f t="shared" si="166"/>
        <v>-21.097873625333197</v>
      </c>
      <c r="HJ104" s="26">
        <f t="shared" si="276"/>
        <v>-28.616174096768276</v>
      </c>
      <c r="HK104" s="26">
        <f t="shared" si="266"/>
        <v>-40.278632535566786</v>
      </c>
      <c r="HL104" s="26">
        <f t="shared" si="387"/>
        <v>-59.624705230922487</v>
      </c>
      <c r="HM104" s="26">
        <f t="shared" si="388"/>
        <v>-94.319257863257675</v>
      </c>
      <c r="HN104" s="26">
        <f t="shared" si="389"/>
        <v>-162.60012806480148</v>
      </c>
      <c r="HO104" s="26">
        <f t="shared" si="317"/>
        <v>-313.102213549814</v>
      </c>
      <c r="HP104" s="26">
        <f t="shared" si="318"/>
        <v>1031889.3409120624</v>
      </c>
      <c r="HX104" s="26">
        <f t="shared" si="319"/>
        <v>659784.81822352856</v>
      </c>
      <c r="HY104" s="26">
        <f t="shared" si="320"/>
        <v>731046.9215755316</v>
      </c>
      <c r="HZ104" s="26">
        <f t="shared" si="321"/>
        <v>836786.83224053611</v>
      </c>
      <c r="IA104" s="26">
        <f t="shared" si="322"/>
        <v>990427.85652580764</v>
      </c>
      <c r="IB104" s="26">
        <f t="shared" si="323"/>
        <v>1210962.1855604253</v>
      </c>
      <c r="IC104" s="26">
        <f t="shared" si="324"/>
        <v>1525342.7560852971</v>
      </c>
      <c r="ID104" s="26">
        <f t="shared" si="325"/>
        <v>1972376.2916823693</v>
      </c>
      <c r="IE104" s="26">
        <f t="shared" si="326"/>
        <v>2646748.035967669</v>
      </c>
      <c r="IF104" s="26">
        <f t="shared" si="327"/>
        <v>3756677.4838512097</v>
      </c>
      <c r="IG104" s="26">
        <f t="shared" si="328"/>
        <v>5678008.7954934612</v>
      </c>
      <c r="IH104" s="26">
        <f t="shared" si="329"/>
        <v>9224831.5212439075</v>
      </c>
      <c r="II104" s="26">
        <f t="shared" si="330"/>
        <v>935019.37308561057</v>
      </c>
      <c r="IR104" s="26">
        <f t="shared" si="331"/>
        <v>678522.75819323561</v>
      </c>
      <c r="IS104" s="26">
        <f t="shared" si="332"/>
        <v>751444.36584093096</v>
      </c>
      <c r="IT104" s="26">
        <f t="shared" si="333"/>
        <v>859928.43617687258</v>
      </c>
      <c r="IU104" s="26">
        <f t="shared" si="334"/>
        <v>1017826.0698697444</v>
      </c>
      <c r="IV104" s="26">
        <f t="shared" si="335"/>
        <v>1244741.4808893052</v>
      </c>
      <c r="IW104" s="26">
        <f t="shared" si="336"/>
        <v>1568507.0120278902</v>
      </c>
      <c r="IX104" s="26">
        <f t="shared" si="337"/>
        <v>2029210.82040533</v>
      </c>
      <c r="IY104" s="26">
        <f t="shared" si="338"/>
        <v>2724552.111799743</v>
      </c>
      <c r="IZ104" s="26">
        <f t="shared" si="339"/>
        <v>3869377.8083667462</v>
      </c>
      <c r="JA104" s="26">
        <f t="shared" si="340"/>
        <v>5851737.1957025845</v>
      </c>
      <c r="JB104" s="26">
        <f t="shared" si="341"/>
        <v>9512388.7187297419</v>
      </c>
      <c r="JC104" s="26">
        <f t="shared" si="342"/>
        <v>991272.59509747755</v>
      </c>
      <c r="JI104" s="26">
        <f t="shared" si="343"/>
        <v>0</v>
      </c>
      <c r="JJ104" s="26">
        <f t="shared" si="344"/>
        <v>0</v>
      </c>
      <c r="JK104" s="26">
        <f t="shared" si="345"/>
        <v>1002239.4831231681</v>
      </c>
      <c r="JL104" s="26">
        <f t="shared" si="346"/>
        <v>1284553.3612525756</v>
      </c>
      <c r="JM104" s="26">
        <f t="shared" si="347"/>
        <v>1648755.0181016605</v>
      </c>
      <c r="JN104" s="26">
        <f t="shared" si="348"/>
        <v>2125131.655355107</v>
      </c>
      <c r="JO104" s="26">
        <f t="shared" si="349"/>
        <v>2756482.6280281581</v>
      </c>
      <c r="JP104" s="26">
        <f t="shared" si="350"/>
        <v>3603489.7917627664</v>
      </c>
      <c r="JQ104" s="26">
        <f t="shared" si="351"/>
        <v>4753471.3112144191</v>
      </c>
      <c r="JR104" s="26">
        <f t="shared" si="352"/>
        <v>6419612.2811019514</v>
      </c>
      <c r="JS104" s="26">
        <f t="shared" si="353"/>
        <v>9070351.5742113199</v>
      </c>
      <c r="JT104" s="26">
        <f t="shared" si="354"/>
        <v>13550770.359959433</v>
      </c>
      <c r="JU104" s="26">
        <f t="shared" si="355"/>
        <v>21691351.977414511</v>
      </c>
      <c r="JV104" s="26">
        <f t="shared" si="356"/>
        <v>21986995.318336658</v>
      </c>
      <c r="JW104" s="26">
        <f t="shared" si="357"/>
        <v>40429287.098128475</v>
      </c>
      <c r="JY104" s="34">
        <f t="shared" si="358"/>
        <v>9.5623337205380923E-2</v>
      </c>
      <c r="JZ104" s="4">
        <f t="shared" si="359"/>
        <v>0</v>
      </c>
      <c r="KA104" s="165"/>
    </row>
    <row r="105" spans="1:287" ht="15.75" x14ac:dyDescent="0.3">
      <c r="A105" s="34">
        <v>104</v>
      </c>
      <c r="B105" s="34">
        <v>77</v>
      </c>
      <c r="C105" s="2">
        <v>509389</v>
      </c>
      <c r="D105" s="1">
        <f t="shared" si="360"/>
        <v>25022</v>
      </c>
      <c r="E105" s="145">
        <f t="shared" si="361"/>
        <v>0.95087840530517931</v>
      </c>
      <c r="F105" s="146">
        <f t="shared" si="362"/>
        <v>4.9121594694820692E-2</v>
      </c>
      <c r="G105" s="158">
        <f t="shared" si="284"/>
        <v>6.1401993368525865E-2</v>
      </c>
      <c r="H105" s="43">
        <f t="shared" si="363"/>
        <v>26356.658743375905</v>
      </c>
      <c r="I105" s="43">
        <f t="shared" si="390"/>
        <v>429247.60740562703</v>
      </c>
      <c r="J105" s="43">
        <f t="shared" si="364"/>
        <v>496878</v>
      </c>
      <c r="K105" s="147">
        <f>SUM(J105:$J$138)</f>
        <v>4979836.5</v>
      </c>
      <c r="L105" s="147">
        <f t="shared" si="365"/>
        <v>9.7760974422298084</v>
      </c>
      <c r="M105" s="43">
        <f t="shared" si="285"/>
        <v>621097.5</v>
      </c>
      <c r="N105" s="148">
        <f t="shared" si="286"/>
        <v>6224795.625</v>
      </c>
      <c r="O105" s="147">
        <f t="shared" si="287"/>
        <v>12.220121802787261</v>
      </c>
      <c r="P105" s="157">
        <f t="shared" si="288"/>
        <v>30359.942805006591</v>
      </c>
      <c r="Q105" s="43">
        <f t="shared" si="289"/>
        <v>636736.25</v>
      </c>
      <c r="R105" s="43">
        <f t="shared" si="290"/>
        <v>1832.3703028506459</v>
      </c>
      <c r="S105" s="43">
        <f>SUM(R105:$R$138)</f>
        <v>23020.114162015281</v>
      </c>
      <c r="T105" s="43">
        <f t="shared" si="366"/>
        <v>185624.09608011108</v>
      </c>
      <c r="U105" s="153">
        <f>SUM(P105:$P$138)</f>
        <v>228658.26391475086</v>
      </c>
      <c r="V105" s="129">
        <f t="shared" si="291"/>
        <v>70930.687641563578</v>
      </c>
      <c r="W105" s="43">
        <f t="shared" si="292"/>
        <v>13317.317788616554</v>
      </c>
      <c r="X105" s="26">
        <f t="shared" si="367"/>
        <v>5.1952527475505255</v>
      </c>
      <c r="Y105" s="26">
        <f t="shared" si="368"/>
        <v>0.43864765734737893</v>
      </c>
      <c r="Z105" s="43">
        <f t="shared" si="293"/>
        <v>11108.12938927603</v>
      </c>
      <c r="AA105" s="149">
        <f t="shared" si="369"/>
        <v>0.39235860387638388</v>
      </c>
      <c r="AB105" s="150">
        <f t="shared" si="370"/>
        <v>198298.32110974428</v>
      </c>
      <c r="AC105" s="150">
        <f t="shared" si="371"/>
        <v>57613.36985294702</v>
      </c>
      <c r="AD105" s="26">
        <f t="shared" si="372"/>
        <v>4.6339004048979051</v>
      </c>
      <c r="AE105" s="26">
        <f t="shared" si="294"/>
        <v>666980.19158129115</v>
      </c>
      <c r="AF105" s="43">
        <f t="shared" si="295"/>
        <v>128382.62621501161</v>
      </c>
      <c r="AG105" s="43">
        <f t="shared" si="296"/>
        <v>691372.56629473926</v>
      </c>
      <c r="AH105" s="27">
        <f t="shared" si="297"/>
        <v>136920.55706366166</v>
      </c>
      <c r="AI105" s="28">
        <f t="shared" si="298"/>
        <v>743411.36160724657</v>
      </c>
      <c r="AJ105" s="20">
        <f t="shared" si="299"/>
        <v>147226.40544479751</v>
      </c>
      <c r="AK105" s="3">
        <f t="shared" si="300"/>
        <v>12759.621805215786</v>
      </c>
      <c r="AL105" s="3"/>
      <c r="AM105" s="46">
        <f t="shared" si="373"/>
        <v>198298.32110974428</v>
      </c>
      <c r="AN105" s="46">
        <f t="shared" si="374"/>
        <v>170766.16478295706</v>
      </c>
      <c r="AO105" s="46">
        <f t="shared" si="374"/>
        <v>145927.40926349355</v>
      </c>
      <c r="AP105" s="3">
        <f t="shared" si="393"/>
        <v>123651.69649989734</v>
      </c>
      <c r="AQ105" s="3">
        <f t="shared" si="393"/>
        <v>103812.40402277096</v>
      </c>
      <c r="AR105" s="16">
        <f t="shared" si="393"/>
        <v>86282.876870619526</v>
      </c>
      <c r="AS105" s="16">
        <f t="shared" si="393"/>
        <v>70930.687641563578</v>
      </c>
      <c r="AT105" s="16">
        <f t="shared" si="393"/>
        <v>57613.36985294702</v>
      </c>
      <c r="AU105" s="16">
        <f t="shared" si="393"/>
        <v>46177.609845970153</v>
      </c>
      <c r="AV105" s="16">
        <f t="shared" si="393"/>
        <v>36463.671403968496</v>
      </c>
      <c r="AW105" s="16">
        <f t="shared" si="393"/>
        <v>28308.648121141709</v>
      </c>
      <c r="AX105" s="16">
        <f t="shared" si="391"/>
        <v>21548.169642861361</v>
      </c>
      <c r="AY105" s="16">
        <f t="shared" si="391"/>
        <v>16018.875426929008</v>
      </c>
      <c r="AZ105" s="16">
        <f t="shared" si="391"/>
        <v>11560.444059796366</v>
      </c>
      <c r="BA105" s="16">
        <f t="shared" si="391"/>
        <v>8018.7396142307962</v>
      </c>
      <c r="BB105" s="16">
        <f t="shared" si="391"/>
        <v>5283.7780155303126</v>
      </c>
      <c r="BC105" s="16">
        <f t="shared" si="391"/>
        <v>3272.8085819586663</v>
      </c>
      <c r="BD105" s="16">
        <f t="shared" si="301"/>
        <v>1880.5992961069639</v>
      </c>
      <c r="BE105" s="16">
        <f t="shared" si="301"/>
        <v>985.7419839674069</v>
      </c>
      <c r="BF105" s="16">
        <f t="shared" si="301"/>
        <v>461.1597717525529</v>
      </c>
      <c r="BG105" s="16">
        <f t="shared" si="301"/>
        <v>187.05849304915947</v>
      </c>
      <c r="BH105" s="172">
        <f t="shared" si="375"/>
        <v>27532.156326787204</v>
      </c>
      <c r="BI105" s="16">
        <f t="shared" si="392"/>
        <v>24838.755519463502</v>
      </c>
      <c r="BJ105" s="16">
        <f t="shared" si="392"/>
        <v>22275.712763596202</v>
      </c>
      <c r="BK105" s="16">
        <f t="shared" si="392"/>
        <v>19839.292477126361</v>
      </c>
      <c r="BL105" s="16">
        <f t="shared" si="392"/>
        <v>17529.527152151433</v>
      </c>
      <c r="BM105" s="16">
        <f t="shared" si="392"/>
        <v>15352.18922905595</v>
      </c>
      <c r="BN105" s="16">
        <f t="shared" si="392"/>
        <v>13317.317788616554</v>
      </c>
      <c r="BO105" s="16">
        <f t="shared" si="392"/>
        <v>11435.760006976861</v>
      </c>
      <c r="BP105" s="16">
        <f t="shared" si="392"/>
        <v>9713.938442001665</v>
      </c>
      <c r="BQ105" s="16">
        <f t="shared" si="392"/>
        <v>8155.0232828267881</v>
      </c>
      <c r="BR105" s="16">
        <f t="shared" si="392"/>
        <v>6760.4784782803481</v>
      </c>
      <c r="BS105" s="16">
        <f t="shared" si="392"/>
        <v>5529.2942159323538</v>
      </c>
      <c r="BT105" s="16">
        <f t="shared" si="392"/>
        <v>4458.4313671326408</v>
      </c>
      <c r="BU105" s="16">
        <f t="shared" si="392"/>
        <v>3541.7044455655696</v>
      </c>
      <c r="BV105" s="16">
        <f t="shared" si="395"/>
        <v>2734.9615987004836</v>
      </c>
      <c r="BW105" s="16">
        <f t="shared" si="395"/>
        <v>2010.9694335716461</v>
      </c>
      <c r="BX105" s="16">
        <f t="shared" si="395"/>
        <v>1392.2092858517024</v>
      </c>
      <c r="BY105" s="16">
        <f t="shared" si="395"/>
        <v>894.85731213955728</v>
      </c>
      <c r="BZ105" s="16">
        <f t="shared" si="395"/>
        <v>524.58221221485394</v>
      </c>
      <c r="CA105" s="16">
        <f t="shared" si="395"/>
        <v>274.1012787033934</v>
      </c>
      <c r="CB105" s="16">
        <f t="shared" si="395"/>
        <v>123.83974031469592</v>
      </c>
      <c r="CC105" s="18">
        <f t="shared" si="376"/>
        <v>4.6261408643920605</v>
      </c>
      <c r="CD105" s="18">
        <f t="shared" si="376"/>
        <v>4.0193429603654254</v>
      </c>
      <c r="CE105" s="18">
        <f t="shared" si="376"/>
        <v>3.3667484590882499</v>
      </c>
      <c r="CF105" s="18">
        <f t="shared" si="376"/>
        <v>2.6574036810596073</v>
      </c>
      <c r="CG105" s="18">
        <f t="shared" si="280"/>
        <v>1.8757902649514278</v>
      </c>
      <c r="CH105" s="18">
        <f t="shared" si="150"/>
        <v>0.99999999999999989</v>
      </c>
      <c r="CI105" s="18">
        <f t="shared" si="150"/>
        <v>0</v>
      </c>
      <c r="CJ105" s="18">
        <f t="shared" si="150"/>
        <v>-1.1645328146526137</v>
      </c>
      <c r="CK105" s="18">
        <f t="shared" si="150"/>
        <v>-2.5482020442465125</v>
      </c>
      <c r="CL105" s="18">
        <f t="shared" si="151"/>
        <v>-4.2264767422770282</v>
      </c>
      <c r="CM105" s="18">
        <f t="shared" si="151"/>
        <v>-6.3045891880811906</v>
      </c>
      <c r="CN105" s="18">
        <f t="shared" si="151"/>
        <v>-8.9310707786916517</v>
      </c>
      <c r="CO105" s="18">
        <f t="shared" si="151"/>
        <v>-12.316397336391006</v>
      </c>
      <c r="CP105" s="18">
        <f t="shared" si="271"/>
        <v>-16.763184081072147</v>
      </c>
      <c r="CQ105" s="18">
        <f t="shared" si="272"/>
        <v>-23.002863388365444</v>
      </c>
      <c r="CR105" s="18">
        <f t="shared" si="273"/>
        <v>-32.644409472419966</v>
      </c>
      <c r="CS105" s="18">
        <f t="shared" si="267"/>
        <v>-48.59749158921484</v>
      </c>
      <c r="CT105" s="18">
        <f t="shared" si="377"/>
        <v>-77.16323866244268</v>
      </c>
      <c r="CU105" s="18">
        <f t="shared" si="378"/>
        <v>-133.3345737406527</v>
      </c>
      <c r="CV105" s="18">
        <f t="shared" si="379"/>
        <v>-257.0930285446297</v>
      </c>
      <c r="CW105" s="18">
        <f t="shared" si="380"/>
        <v>-571.25143325352531</v>
      </c>
      <c r="CX105" s="17">
        <f t="shared" si="302"/>
        <v>1792.9377944165547</v>
      </c>
      <c r="CY105" s="17">
        <f t="shared" si="381"/>
        <v>1752.9794958159355</v>
      </c>
      <c r="CZ105" s="17">
        <f t="shared" si="381"/>
        <v>1712.3368656540415</v>
      </c>
      <c r="DA105" s="17">
        <f t="shared" si="381"/>
        <v>1667.3049712708671</v>
      </c>
      <c r="DB105" s="17">
        <f t="shared" si="381"/>
        <v>1612.0431613314265</v>
      </c>
      <c r="DC105" s="17">
        <f t="shared" si="381"/>
        <v>1542.0121813997755</v>
      </c>
      <c r="DD105" s="17">
        <f t="shared" si="381"/>
        <v>1456.0445403286262</v>
      </c>
      <c r="DE105" s="17">
        <f t="shared" si="381"/>
        <v>1358.2684445642358</v>
      </c>
      <c r="DF105" s="3" t="e">
        <f>#REF!+$AG$35*0.004*(1+$R$28)*#REF!-S105*#REF!</f>
        <v>#REF!</v>
      </c>
      <c r="DG105" s="19">
        <f t="shared" si="303"/>
        <v>2763.5415101154422</v>
      </c>
      <c r="DH105" s="19">
        <f t="shared" si="304"/>
        <v>2596.2718482012142</v>
      </c>
      <c r="DI105" s="19">
        <f t="shared" si="305"/>
        <v>2418.709338953985</v>
      </c>
      <c r="DJ105" s="19">
        <f t="shared" si="306"/>
        <v>2224.8508745531076</v>
      </c>
      <c r="DK105" s="19">
        <f t="shared" si="307"/>
        <v>2005.5999194162055</v>
      </c>
      <c r="DL105" s="19">
        <f t="shared" si="308"/>
        <v>1751.8206900791665</v>
      </c>
      <c r="DM105" s="19">
        <f t="shared" si="309"/>
        <v>1456.0445403286262</v>
      </c>
      <c r="DN105" s="19">
        <f t="shared" si="310"/>
        <v>1113.9395514137573</v>
      </c>
      <c r="DO105" s="25"/>
      <c r="DP105" s="25"/>
      <c r="DW105" s="26">
        <f t="shared" si="394"/>
        <v>0</v>
      </c>
      <c r="DX105" s="26">
        <f t="shared" si="394"/>
        <v>0</v>
      </c>
      <c r="DY105" s="26">
        <f t="shared" si="394"/>
        <v>0</v>
      </c>
      <c r="DZ105" s="26">
        <f t="shared" si="394"/>
        <v>0</v>
      </c>
      <c r="EA105" s="26">
        <f t="shared" si="394"/>
        <v>0</v>
      </c>
      <c r="EB105" s="26">
        <f t="shared" si="394"/>
        <v>0</v>
      </c>
      <c r="EC105" s="26">
        <f t="shared" si="311"/>
        <v>0</v>
      </c>
      <c r="ED105" s="26">
        <f t="shared" si="311"/>
        <v>0</v>
      </c>
      <c r="EE105" s="26">
        <f t="shared" si="311"/>
        <v>0</v>
      </c>
      <c r="EF105" s="26">
        <f t="shared" si="311"/>
        <v>0</v>
      </c>
      <c r="EG105" s="26">
        <f t="shared" si="311"/>
        <v>0</v>
      </c>
      <c r="EH105" s="26">
        <f t="shared" si="311"/>
        <v>0</v>
      </c>
      <c r="EI105" s="26">
        <f t="shared" si="311"/>
        <v>0</v>
      </c>
      <c r="ER105" s="26">
        <f t="shared" si="312"/>
        <v>-1.1435247871497811</v>
      </c>
      <c r="ES105" s="26">
        <f t="shared" si="312"/>
        <v>-1.3621211128444015</v>
      </c>
      <c r="ET105" s="26">
        <f t="shared" si="312"/>
        <v>-1.6430981068815689</v>
      </c>
      <c r="EU105" s="26">
        <f t="shared" si="312"/>
        <v>-2.0089597253241784</v>
      </c>
      <c r="EV105" s="26">
        <f t="shared" si="312"/>
        <v>-2.4914882555251761</v>
      </c>
      <c r="EW105" s="26">
        <f t="shared" si="312"/>
        <v>-3.1363795483228665</v>
      </c>
      <c r="EX105" s="26">
        <f t="shared" si="312"/>
        <v>-4.0615302951800327</v>
      </c>
      <c r="EY105" s="26">
        <f t="shared" si="269"/>
        <v>-5.5237683894315008</v>
      </c>
      <c r="EZ105" s="26">
        <f t="shared" si="269"/>
        <v>-7.978778407932027</v>
      </c>
      <c r="FA105" s="26">
        <f t="shared" si="269"/>
        <v>-12.413296777691931</v>
      </c>
      <c r="FB105" s="26">
        <f t="shared" si="269"/>
        <v>-21.175192621145257</v>
      </c>
      <c r="FC105" s="26">
        <f t="shared" si="269"/>
        <v>-40.525638704867923</v>
      </c>
      <c r="FD105" s="26">
        <f t="shared" si="269"/>
        <v>-89.697615329687835</v>
      </c>
      <c r="FM105" s="26">
        <f t="shared" si="313"/>
        <v>-2.177252674109019</v>
      </c>
      <c r="FN105" s="26">
        <f t="shared" si="313"/>
        <v>-3.5934565378269983</v>
      </c>
      <c r="FO105" s="26">
        <f t="shared" si="281"/>
        <v>-5.3347111932910858</v>
      </c>
      <c r="FP105" s="26">
        <f t="shared" si="158"/>
        <v>-7.5225684873425234</v>
      </c>
      <c r="FQ105" s="26">
        <f t="shared" si="158"/>
        <v>-10.329401083226445</v>
      </c>
      <c r="FR105" s="26">
        <f t="shared" si="158"/>
        <v>-14.003040344264674</v>
      </c>
      <c r="FS105" s="26">
        <f t="shared" si="158"/>
        <v>-19.133574622137694</v>
      </c>
      <c r="FT105" s="26">
        <f t="shared" si="274"/>
        <v>-27.022072222388324</v>
      </c>
      <c r="FU105" s="26">
        <f t="shared" si="268"/>
        <v>-40.031891126731566</v>
      </c>
      <c r="FV105" s="26">
        <f t="shared" si="382"/>
        <v>-63.281181369112247</v>
      </c>
      <c r="FW105" s="26">
        <f t="shared" si="383"/>
        <v>-108.9480518980818</v>
      </c>
      <c r="GH105" s="26">
        <f t="shared" si="314"/>
        <v>1.3709493701374922</v>
      </c>
      <c r="GI105" s="26">
        <f t="shared" si="314"/>
        <v>1.6330202044500297</v>
      </c>
      <c r="GJ105" s="26">
        <f t="shared" si="282"/>
        <v>1.9698779947901053</v>
      </c>
      <c r="GK105" s="26">
        <f t="shared" si="162"/>
        <v>2.4085022913491279</v>
      </c>
      <c r="GL105" s="26">
        <f t="shared" si="162"/>
        <v>2.9869962531645622</v>
      </c>
      <c r="GM105" s="26">
        <f t="shared" si="162"/>
        <v>3.7601437368074713</v>
      </c>
      <c r="GN105" s="26">
        <f t="shared" si="162"/>
        <v>4.8692887662277506</v>
      </c>
      <c r="GO105" s="26">
        <f t="shared" si="275"/>
        <v>6.6223372500316477</v>
      </c>
      <c r="GP105" s="26">
        <f t="shared" si="265"/>
        <v>9.5656004624832747</v>
      </c>
      <c r="GQ105" s="26">
        <f t="shared" si="384"/>
        <v>14.882057293330419</v>
      </c>
      <c r="GR105" s="26">
        <f t="shared" si="385"/>
        <v>25.386521842570904</v>
      </c>
      <c r="GS105" s="26">
        <f t="shared" si="386"/>
        <v>48.585390960643061</v>
      </c>
      <c r="GT105" s="26">
        <f t="shared" si="315"/>
        <v>107.53670634947386</v>
      </c>
      <c r="HC105" s="26">
        <f t="shared" si="316"/>
        <v>-2.5482020442465125</v>
      </c>
      <c r="HD105" s="26">
        <f t="shared" si="316"/>
        <v>-4.2264767422770282</v>
      </c>
      <c r="HE105" s="26">
        <f t="shared" si="283"/>
        <v>-6.3045891880811906</v>
      </c>
      <c r="HF105" s="26">
        <f t="shared" si="166"/>
        <v>-8.9310707786916517</v>
      </c>
      <c r="HG105" s="26">
        <f t="shared" si="166"/>
        <v>-12.316397336391006</v>
      </c>
      <c r="HH105" s="26">
        <f t="shared" si="166"/>
        <v>-16.763184081072147</v>
      </c>
      <c r="HI105" s="26">
        <f t="shared" si="166"/>
        <v>-23.002863388365444</v>
      </c>
      <c r="HJ105" s="26">
        <f t="shared" si="276"/>
        <v>-32.644409472419966</v>
      </c>
      <c r="HK105" s="26">
        <f t="shared" si="266"/>
        <v>-48.59749158921484</v>
      </c>
      <c r="HL105" s="26">
        <f t="shared" si="387"/>
        <v>-77.16323866244268</v>
      </c>
      <c r="HM105" s="26">
        <f t="shared" si="388"/>
        <v>-133.3345737406527</v>
      </c>
      <c r="HN105" s="26">
        <f t="shared" si="389"/>
        <v>-257.0930285446297</v>
      </c>
      <c r="HO105" s="26">
        <f t="shared" si="317"/>
        <v>-571.25143325352531</v>
      </c>
      <c r="HP105" s="26">
        <f t="shared" si="318"/>
        <v>1031889.3409120624</v>
      </c>
      <c r="HX105" s="26">
        <f t="shared" si="319"/>
        <v>662367.59232461185</v>
      </c>
      <c r="HY105" s="26">
        <f t="shared" si="320"/>
        <v>738832.75881961221</v>
      </c>
      <c r="HZ105" s="26">
        <f t="shared" si="321"/>
        <v>853938.89485474094</v>
      </c>
      <c r="IA105" s="26">
        <f t="shared" si="322"/>
        <v>1023296.3163548503</v>
      </c>
      <c r="IB105" s="26">
        <f t="shared" si="323"/>
        <v>1269080.0726275768</v>
      </c>
      <c r="IC105" s="26">
        <f t="shared" si="324"/>
        <v>1623225.5012210528</v>
      </c>
      <c r="ID105" s="26">
        <f t="shared" si="325"/>
        <v>2162682.1228511985</v>
      </c>
      <c r="IE105" s="26">
        <f t="shared" si="326"/>
        <v>3057028.0519715352</v>
      </c>
      <c r="IF105" s="26">
        <f t="shared" si="327"/>
        <v>4613543.0621897615</v>
      </c>
      <c r="IG105" s="26">
        <f t="shared" si="328"/>
        <v>7497841.8743913118</v>
      </c>
      <c r="IH105" s="26">
        <f t="shared" si="329"/>
        <v>13293897.775150115</v>
      </c>
      <c r="II105" s="26">
        <f t="shared" si="330"/>
        <v>2209110.4715054147</v>
      </c>
      <c r="IR105" s="26">
        <f t="shared" si="331"/>
        <v>681165.6689882268</v>
      </c>
      <c r="IS105" s="26">
        <f t="shared" si="332"/>
        <v>759427.42430105933</v>
      </c>
      <c r="IT105" s="26">
        <f t="shared" si="333"/>
        <v>877532.25097587844</v>
      </c>
      <c r="IU105" s="26">
        <f t="shared" si="334"/>
        <v>1051584.6004257479</v>
      </c>
      <c r="IV105" s="26">
        <f t="shared" si="335"/>
        <v>1304470.3240587388</v>
      </c>
      <c r="IW105" s="26">
        <f t="shared" si="336"/>
        <v>1669160.9580580206</v>
      </c>
      <c r="IX105" s="26">
        <f t="shared" si="337"/>
        <v>2225014.8334958935</v>
      </c>
      <c r="IY105" s="26">
        <f t="shared" si="338"/>
        <v>3146915.5299520395</v>
      </c>
      <c r="IZ105" s="26">
        <f t="shared" si="339"/>
        <v>4751949.354055455</v>
      </c>
      <c r="JA105" s="26">
        <f t="shared" si="340"/>
        <v>7727161.8830900872</v>
      </c>
      <c r="JB105" s="26">
        <f t="shared" si="341"/>
        <v>13707999.465982851</v>
      </c>
      <c r="JC105" s="26">
        <f t="shared" si="342"/>
        <v>2319976.0158504224</v>
      </c>
      <c r="JI105" s="26">
        <f t="shared" si="343"/>
        <v>0</v>
      </c>
      <c r="JJ105" s="26">
        <f t="shared" si="344"/>
        <v>0</v>
      </c>
      <c r="JK105" s="26">
        <f t="shared" si="345"/>
        <v>1020274.6733766756</v>
      </c>
      <c r="JL105" s="26">
        <f t="shared" si="346"/>
        <v>1321877.4558362537</v>
      </c>
      <c r="JM105" s="26">
        <f t="shared" si="347"/>
        <v>1716532.81903349</v>
      </c>
      <c r="JN105" s="26">
        <f t="shared" si="348"/>
        <v>2240111.4390738327</v>
      </c>
      <c r="JO105" s="26">
        <f t="shared" si="349"/>
        <v>2943508.8170331419</v>
      </c>
      <c r="JP105" s="26">
        <f t="shared" si="350"/>
        <v>3899967.8428368745</v>
      </c>
      <c r="JQ105" s="26">
        <f t="shared" si="351"/>
        <v>5286184.2251948388</v>
      </c>
      <c r="JR105" s="26">
        <f t="shared" si="352"/>
        <v>7491160.2180982325</v>
      </c>
      <c r="JS105" s="26">
        <f t="shared" si="353"/>
        <v>11219194.37719005</v>
      </c>
      <c r="JT105" s="26">
        <f t="shared" si="354"/>
        <v>17995872.363599315</v>
      </c>
      <c r="JU105" s="26">
        <f t="shared" si="355"/>
        <v>31451865.049106471</v>
      </c>
      <c r="JV105" s="26">
        <f t="shared" si="356"/>
        <v>36533338.783464</v>
      </c>
      <c r="JW105" s="26">
        <f t="shared" si="357"/>
        <v>76020857.617417902</v>
      </c>
      <c r="JY105" s="34">
        <f t="shared" si="358"/>
        <v>9.9121594694820694E-2</v>
      </c>
      <c r="JZ105" s="4">
        <f t="shared" si="359"/>
        <v>0</v>
      </c>
      <c r="KA105" s="165"/>
    </row>
    <row r="106" spans="1:287" ht="15.75" x14ac:dyDescent="0.3">
      <c r="A106" s="34">
        <v>105</v>
      </c>
      <c r="B106" s="34">
        <v>78</v>
      </c>
      <c r="C106" s="2">
        <v>484367</v>
      </c>
      <c r="D106" s="1">
        <f t="shared" si="360"/>
        <v>25672</v>
      </c>
      <c r="E106" s="145">
        <f t="shared" si="361"/>
        <v>0.94699886656192511</v>
      </c>
      <c r="F106" s="146">
        <f t="shared" si="362"/>
        <v>5.3001133438074888E-2</v>
      </c>
      <c r="G106" s="158">
        <f t="shared" si="284"/>
        <v>6.625141679759361E-2</v>
      </c>
      <c r="H106" s="43">
        <f t="shared" si="363"/>
        <v>26692.096163800688</v>
      </c>
      <c r="I106" s="43">
        <f t="shared" si="390"/>
        <v>402890.94866225112</v>
      </c>
      <c r="J106" s="43">
        <f t="shared" si="364"/>
        <v>471531</v>
      </c>
      <c r="K106" s="147">
        <f>SUM(J106:$J$138)</f>
        <v>4482958.5</v>
      </c>
      <c r="L106" s="147">
        <f t="shared" si="365"/>
        <v>9.2552929906455237</v>
      </c>
      <c r="M106" s="43">
        <f t="shared" si="285"/>
        <v>589413.75</v>
      </c>
      <c r="N106" s="148">
        <f t="shared" si="286"/>
        <v>5603698.125</v>
      </c>
      <c r="O106" s="147">
        <f t="shared" si="287"/>
        <v>11.569116238306904</v>
      </c>
      <c r="P106" s="157">
        <f t="shared" si="288"/>
        <v>27532.156326787204</v>
      </c>
      <c r="Q106" s="43">
        <f t="shared" si="289"/>
        <v>605458.75</v>
      </c>
      <c r="R106" s="43">
        <f t="shared" si="290"/>
        <v>1792.9377944165547</v>
      </c>
      <c r="S106" s="43">
        <f>SUM(R106:$R$138)</f>
        <v>21187.743859164639</v>
      </c>
      <c r="T106" s="43">
        <f t="shared" si="366"/>
        <v>162603.98191809579</v>
      </c>
      <c r="U106" s="153">
        <f>SUM(P106:$P$138)</f>
        <v>198298.32110974428</v>
      </c>
      <c r="V106" s="129">
        <f t="shared" si="291"/>
        <v>57613.36985294702</v>
      </c>
      <c r="W106" s="43">
        <f t="shared" si="292"/>
        <v>11435.760006976861</v>
      </c>
      <c r="X106" s="26">
        <f t="shared" si="367"/>
        <v>5.1098413646561678</v>
      </c>
      <c r="Y106" s="26">
        <f t="shared" si="368"/>
        <v>0.41536012912474002</v>
      </c>
      <c r="Z106" s="43">
        <f t="shared" si="293"/>
        <v>9652.0848489474047</v>
      </c>
      <c r="AA106" s="149">
        <f t="shared" si="369"/>
        <v>0.41898857733107164</v>
      </c>
      <c r="AB106" s="150">
        <f t="shared" si="370"/>
        <v>170766.16478295706</v>
      </c>
      <c r="AC106" s="150">
        <f t="shared" si="371"/>
        <v>46177.609845970153</v>
      </c>
      <c r="AD106" s="26">
        <f t="shared" si="372"/>
        <v>4.5252014937809069</v>
      </c>
      <c r="AE106" s="26">
        <f t="shared" si="294"/>
        <v>678297.6509911943</v>
      </c>
      <c r="AF106" s="43">
        <f t="shared" si="295"/>
        <v>132743.38723758713</v>
      </c>
      <c r="AG106" s="43">
        <f t="shared" si="296"/>
        <v>702957.49227264</v>
      </c>
      <c r="AH106" s="27">
        <f t="shared" si="297"/>
        <v>141412.14091691445</v>
      </c>
      <c r="AI106" s="28">
        <f t="shared" si="298"/>
        <v>755868.27126090322</v>
      </c>
      <c r="AJ106" s="20">
        <f t="shared" si="299"/>
        <v>152056.06550205854</v>
      </c>
      <c r="AK106" s="3">
        <f t="shared" si="300"/>
        <v>13178.192343511741</v>
      </c>
      <c r="AL106" s="3"/>
      <c r="AM106" s="46">
        <f t="shared" si="373"/>
        <v>170766.16478295706</v>
      </c>
      <c r="AN106" s="46">
        <f t="shared" si="374"/>
        <v>145927.40926349355</v>
      </c>
      <c r="AO106" s="46">
        <f t="shared" si="374"/>
        <v>123651.69649989734</v>
      </c>
      <c r="AP106" s="3">
        <f t="shared" si="393"/>
        <v>103812.40402277096</v>
      </c>
      <c r="AQ106" s="3">
        <f t="shared" si="393"/>
        <v>86282.876870619526</v>
      </c>
      <c r="AR106" s="16">
        <f t="shared" si="393"/>
        <v>70930.687641563578</v>
      </c>
      <c r="AS106" s="16">
        <f t="shared" si="393"/>
        <v>57613.36985294702</v>
      </c>
      <c r="AT106" s="16">
        <f t="shared" si="393"/>
        <v>46177.609845970153</v>
      </c>
      <c r="AU106" s="16">
        <f t="shared" si="393"/>
        <v>36463.671403968496</v>
      </c>
      <c r="AV106" s="16">
        <f t="shared" si="393"/>
        <v>28308.648121141709</v>
      </c>
      <c r="AW106" s="16">
        <f t="shared" si="393"/>
        <v>21548.169642861361</v>
      </c>
      <c r="AX106" s="16">
        <f t="shared" si="391"/>
        <v>16018.875426929008</v>
      </c>
      <c r="AY106" s="16">
        <f t="shared" si="391"/>
        <v>11560.444059796366</v>
      </c>
      <c r="AZ106" s="16">
        <f t="shared" si="391"/>
        <v>8018.7396142307962</v>
      </c>
      <c r="BA106" s="16">
        <f t="shared" si="391"/>
        <v>5283.7780155303126</v>
      </c>
      <c r="BB106" s="16">
        <f t="shared" si="391"/>
        <v>3272.8085819586663</v>
      </c>
      <c r="BC106" s="16">
        <f t="shared" si="391"/>
        <v>1880.5992961069639</v>
      </c>
      <c r="BD106" s="16">
        <f t="shared" si="301"/>
        <v>985.7419839674069</v>
      </c>
      <c r="BE106" s="16">
        <f t="shared" si="301"/>
        <v>461.1597717525529</v>
      </c>
      <c r="BF106" s="16">
        <f t="shared" si="301"/>
        <v>187.05849304915947</v>
      </c>
      <c r="BG106" s="16">
        <f t="shared" si="301"/>
        <v>63.21875273446355</v>
      </c>
      <c r="BH106" s="172">
        <f t="shared" si="375"/>
        <v>24838.755519463502</v>
      </c>
      <c r="BI106" s="16">
        <f t="shared" si="392"/>
        <v>22275.712763596202</v>
      </c>
      <c r="BJ106" s="16">
        <f t="shared" si="392"/>
        <v>19839.292477126361</v>
      </c>
      <c r="BK106" s="16">
        <f t="shared" si="392"/>
        <v>17529.527152151433</v>
      </c>
      <c r="BL106" s="16">
        <f t="shared" si="392"/>
        <v>15352.18922905595</v>
      </c>
      <c r="BM106" s="16">
        <f t="shared" si="392"/>
        <v>13317.317788616554</v>
      </c>
      <c r="BN106" s="16">
        <f t="shared" si="392"/>
        <v>11435.760006976861</v>
      </c>
      <c r="BO106" s="16">
        <f t="shared" si="392"/>
        <v>9713.938442001665</v>
      </c>
      <c r="BP106" s="16">
        <f t="shared" si="392"/>
        <v>8155.0232828267881</v>
      </c>
      <c r="BQ106" s="16">
        <f t="shared" si="392"/>
        <v>6760.4784782803481</v>
      </c>
      <c r="BR106" s="16">
        <f t="shared" si="392"/>
        <v>5529.2942159323538</v>
      </c>
      <c r="BS106" s="16">
        <f t="shared" si="392"/>
        <v>4458.4313671326408</v>
      </c>
      <c r="BT106" s="16">
        <f t="shared" si="392"/>
        <v>3541.7044455655696</v>
      </c>
      <c r="BU106" s="16">
        <f t="shared" si="392"/>
        <v>2734.9615987004836</v>
      </c>
      <c r="BV106" s="16">
        <f t="shared" si="395"/>
        <v>2010.9694335716461</v>
      </c>
      <c r="BW106" s="16">
        <f t="shared" si="395"/>
        <v>1392.2092858517024</v>
      </c>
      <c r="BX106" s="16">
        <f t="shared" si="395"/>
        <v>894.85731213955728</v>
      </c>
      <c r="BY106" s="16">
        <f t="shared" si="395"/>
        <v>524.58221221485394</v>
      </c>
      <c r="BZ106" s="16">
        <f t="shared" si="395"/>
        <v>274.1012787033934</v>
      </c>
      <c r="CA106" s="16">
        <f t="shared" si="395"/>
        <v>123.83974031469592</v>
      </c>
      <c r="CB106" s="16">
        <f t="shared" si="395"/>
        <v>46.429939626829416</v>
      </c>
      <c r="CC106" s="18">
        <f t="shared" si="376"/>
        <v>4.555493725977704</v>
      </c>
      <c r="CD106" s="18">
        <f t="shared" si="376"/>
        <v>3.9645887136268261</v>
      </c>
      <c r="CE106" s="18">
        <f t="shared" si="376"/>
        <v>3.3286633947802815</v>
      </c>
      <c r="CF106" s="18">
        <f t="shared" si="376"/>
        <v>2.6354980239243844</v>
      </c>
      <c r="CG106" s="18">
        <f t="shared" si="280"/>
        <v>1.8674539891295669</v>
      </c>
      <c r="CH106" s="18">
        <f t="shared" si="150"/>
        <v>1.0000000000000002</v>
      </c>
      <c r="CI106" s="18">
        <f t="shared" si="150"/>
        <v>0</v>
      </c>
      <c r="CJ106" s="18">
        <f t="shared" si="150"/>
        <v>-1.1772526741090199</v>
      </c>
      <c r="CK106" s="18">
        <f t="shared" si="150"/>
        <v>-2.5934565378269983</v>
      </c>
      <c r="CL106" s="18">
        <f t="shared" si="151"/>
        <v>-4.3347111932910858</v>
      </c>
      <c r="CM106" s="18">
        <f t="shared" si="151"/>
        <v>-6.5225684873425243</v>
      </c>
      <c r="CN106" s="18">
        <f t="shared" si="151"/>
        <v>-9.3294010832264433</v>
      </c>
      <c r="CO106" s="18">
        <f t="shared" si="151"/>
        <v>-13.003040344264676</v>
      </c>
      <c r="CP106" s="18">
        <f t="shared" si="271"/>
        <v>-18.133574622137694</v>
      </c>
      <c r="CQ106" s="18">
        <f t="shared" si="272"/>
        <v>-26.022072222388321</v>
      </c>
      <c r="CR106" s="18">
        <f t="shared" si="273"/>
        <v>-39.031891126731573</v>
      </c>
      <c r="CS106" s="18">
        <f t="shared" si="267"/>
        <v>-62.281181369112247</v>
      </c>
      <c r="CT106" s="18">
        <f t="shared" si="377"/>
        <v>-107.9480518980818</v>
      </c>
      <c r="CU106" s="18">
        <f t="shared" si="378"/>
        <v>-208.50763758398665</v>
      </c>
      <c r="CV106" s="18">
        <f t="shared" si="379"/>
        <v>-463.71472690405136</v>
      </c>
      <c r="CW106" s="18">
        <f t="shared" si="380"/>
        <v>-1239.5051891680116</v>
      </c>
      <c r="CX106" s="17">
        <f t="shared" si="302"/>
        <v>1752.9794958159355</v>
      </c>
      <c r="CY106" s="17">
        <f t="shared" si="381"/>
        <v>1712.3368656540415</v>
      </c>
      <c r="CZ106" s="17">
        <f t="shared" si="381"/>
        <v>1667.3049712708671</v>
      </c>
      <c r="DA106" s="17">
        <f t="shared" si="381"/>
        <v>1612.0431613314265</v>
      </c>
      <c r="DB106" s="17">
        <f t="shared" si="381"/>
        <v>1542.0121813997755</v>
      </c>
      <c r="DC106" s="17">
        <f t="shared" si="381"/>
        <v>1456.0445403286262</v>
      </c>
      <c r="DD106" s="17">
        <f t="shared" si="381"/>
        <v>1358.2684445642358</v>
      </c>
      <c r="DE106" s="17">
        <f t="shared" si="381"/>
        <v>1251.7717337497472</v>
      </c>
      <c r="DF106" s="3" t="e">
        <f>#REF!+$AG$35*0.004*(1+$R$28)*#REF!-S106*#REF!</f>
        <v>#REF!</v>
      </c>
      <c r="DG106" s="19">
        <f t="shared" si="303"/>
        <v>2711.726492526207</v>
      </c>
      <c r="DH106" s="19">
        <f t="shared" si="304"/>
        <v>2546.7222805006782</v>
      </c>
      <c r="DI106" s="19">
        <f t="shared" si="305"/>
        <v>2367.8538524176815</v>
      </c>
      <c r="DJ106" s="19">
        <f t="shared" si="306"/>
        <v>2166.7087952372353</v>
      </c>
      <c r="DK106" s="19">
        <f t="shared" si="307"/>
        <v>1935.035640824764</v>
      </c>
      <c r="DL106" s="19">
        <f t="shared" si="308"/>
        <v>1666.5040545724978</v>
      </c>
      <c r="DM106" s="19">
        <f t="shared" si="309"/>
        <v>1358.2684445642358</v>
      </c>
      <c r="DN106" s="19">
        <f t="shared" si="310"/>
        <v>1004.0077078144642</v>
      </c>
      <c r="DO106" s="25"/>
      <c r="DP106" s="25"/>
      <c r="DW106" s="26">
        <f t="shared" si="394"/>
        <v>0</v>
      </c>
      <c r="DX106" s="26">
        <f t="shared" si="394"/>
        <v>0</v>
      </c>
      <c r="DY106" s="26">
        <f t="shared" si="394"/>
        <v>0</v>
      </c>
      <c r="DZ106" s="26">
        <f t="shared" si="394"/>
        <v>0</v>
      </c>
      <c r="EA106" s="26">
        <f t="shared" si="394"/>
        <v>0</v>
      </c>
      <c r="EB106" s="26">
        <f t="shared" si="394"/>
        <v>0</v>
      </c>
      <c r="EC106" s="26">
        <f t="shared" si="311"/>
        <v>0</v>
      </c>
      <c r="ED106" s="26">
        <f t="shared" si="311"/>
        <v>0</v>
      </c>
      <c r="EE106" s="26">
        <f t="shared" si="311"/>
        <v>0</v>
      </c>
      <c r="EF106" s="26">
        <f t="shared" si="311"/>
        <v>0</v>
      </c>
      <c r="EG106" s="26">
        <f t="shared" si="311"/>
        <v>0</v>
      </c>
      <c r="EH106" s="26">
        <f t="shared" si="311"/>
        <v>0</v>
      </c>
      <c r="EI106" s="26">
        <f t="shared" si="311"/>
        <v>0</v>
      </c>
      <c r="ER106" s="26">
        <f t="shared" si="312"/>
        <v>-1.1835753883466151</v>
      </c>
      <c r="ES106" s="26">
        <f t="shared" si="312"/>
        <v>-1.4277221471759776</v>
      </c>
      <c r="ET106" s="26">
        <f t="shared" si="312"/>
        <v>-1.7456269230773538</v>
      </c>
      <c r="EU106" s="26">
        <f t="shared" si="312"/>
        <v>-2.1649060070997499</v>
      </c>
      <c r="EV106" s="26">
        <f t="shared" si="312"/>
        <v>-2.7252654752240564</v>
      </c>
      <c r="EW106" s="26">
        <f t="shared" si="312"/>
        <v>-3.5291482167550692</v>
      </c>
      <c r="EX106" s="26">
        <f t="shared" si="312"/>
        <v>-4.7997173342433719</v>
      </c>
      <c r="EY106" s="26">
        <f t="shared" si="312"/>
        <v>-6.932926641875266</v>
      </c>
      <c r="EZ106" s="26">
        <f t="shared" si="312"/>
        <v>-10.786171960610986</v>
      </c>
      <c r="FA106" s="26">
        <f t="shared" si="312"/>
        <v>-18.399565643286024</v>
      </c>
      <c r="FB106" s="26">
        <f t="shared" si="312"/>
        <v>-35.213571036974194</v>
      </c>
      <c r="FC106" s="26">
        <f t="shared" si="312"/>
        <v>-77.940125071483237</v>
      </c>
      <c r="FD106" s="26">
        <f t="shared" si="312"/>
        <v>-207.88493214774661</v>
      </c>
      <c r="FM106" s="26">
        <f t="shared" si="313"/>
        <v>-2.1911601113951082</v>
      </c>
      <c r="FN106" s="26">
        <f t="shared" si="313"/>
        <v>-3.6431504489270621</v>
      </c>
      <c r="FO106" s="26">
        <f t="shared" si="281"/>
        <v>-5.4543551566021629</v>
      </c>
      <c r="FP106" s="26">
        <f t="shared" si="158"/>
        <v>-7.7644272022151126</v>
      </c>
      <c r="FQ106" s="26">
        <f t="shared" si="158"/>
        <v>-10.774154314179601</v>
      </c>
      <c r="FR106" s="26">
        <f t="shared" si="158"/>
        <v>-14.952250828629746</v>
      </c>
      <c r="FS106" s="26">
        <f t="shared" si="158"/>
        <v>-21.335382103649909</v>
      </c>
      <c r="FT106" s="26">
        <f t="shared" si="274"/>
        <v>-31.817781277592836</v>
      </c>
      <c r="FU106" s="26">
        <f t="shared" si="268"/>
        <v>-50.501758491475414</v>
      </c>
      <c r="FV106" s="26">
        <f t="shared" si="382"/>
        <v>-87.148303944956197</v>
      </c>
      <c r="FW106" s="26">
        <f t="shared" si="383"/>
        <v>-167.78670851327053</v>
      </c>
      <c r="GH106" s="26">
        <f t="shared" si="314"/>
        <v>1.4022964264318896</v>
      </c>
      <c r="GI106" s="26">
        <f t="shared" si="314"/>
        <v>1.6915607443640228</v>
      </c>
      <c r="GJ106" s="26">
        <f t="shared" si="282"/>
        <v>2.0682133307403601</v>
      </c>
      <c r="GK106" s="26">
        <f t="shared" si="162"/>
        <v>2.5649738810113303</v>
      </c>
      <c r="GL106" s="26">
        <f t="shared" si="162"/>
        <v>3.2288860300850715</v>
      </c>
      <c r="GM106" s="26">
        <f t="shared" si="162"/>
        <v>4.1813237935079455</v>
      </c>
      <c r="GN106" s="26">
        <f t="shared" si="162"/>
        <v>5.6866901187384125</v>
      </c>
      <c r="GO106" s="26">
        <f t="shared" si="275"/>
        <v>8.2141098491387261</v>
      </c>
      <c r="GP106" s="26">
        <f t="shared" si="265"/>
        <v>12.779422877636831</v>
      </c>
      <c r="GQ106" s="26">
        <f t="shared" si="384"/>
        <v>21.7997479531256</v>
      </c>
      <c r="GR106" s="26">
        <f t="shared" si="385"/>
        <v>41.720929070716096</v>
      </c>
      <c r="GS106" s="26">
        <f t="shared" si="386"/>
        <v>92.343216950526767</v>
      </c>
      <c r="GT106" s="26">
        <f t="shared" si="315"/>
        <v>246.30141884502339</v>
      </c>
      <c r="HC106" s="26">
        <f t="shared" si="316"/>
        <v>-2.5934565378269983</v>
      </c>
      <c r="HD106" s="26">
        <f t="shared" si="316"/>
        <v>-4.3347111932910858</v>
      </c>
      <c r="HE106" s="26">
        <f t="shared" si="283"/>
        <v>-6.5225684873425243</v>
      </c>
      <c r="HF106" s="26">
        <f t="shared" si="166"/>
        <v>-9.3294010832264433</v>
      </c>
      <c r="HG106" s="26">
        <f t="shared" si="166"/>
        <v>-13.003040344264676</v>
      </c>
      <c r="HH106" s="26">
        <f t="shared" si="166"/>
        <v>-18.133574622137694</v>
      </c>
      <c r="HI106" s="26">
        <f t="shared" si="166"/>
        <v>-26.022072222388321</v>
      </c>
      <c r="HJ106" s="26">
        <f t="shared" si="276"/>
        <v>-39.031891126731573</v>
      </c>
      <c r="HK106" s="26">
        <f t="shared" si="266"/>
        <v>-62.281181369112247</v>
      </c>
      <c r="HL106" s="26">
        <f t="shared" si="387"/>
        <v>-107.9480518980818</v>
      </c>
      <c r="HM106" s="26">
        <f t="shared" si="388"/>
        <v>-208.50763758398665</v>
      </c>
      <c r="HN106" s="26">
        <f t="shared" si="389"/>
        <v>-463.71472690405136</v>
      </c>
      <c r="HO106" s="26">
        <f t="shared" si="317"/>
        <v>-1239.5051891680116</v>
      </c>
      <c r="HP106" s="26">
        <f t="shared" si="318"/>
        <v>1031889.3409120624</v>
      </c>
      <c r="HX106" s="26">
        <f t="shared" si="319"/>
        <v>665259.73115857551</v>
      </c>
      <c r="HY106" s="26">
        <f t="shared" si="320"/>
        <v>747480.09881325695</v>
      </c>
      <c r="HZ106" s="26">
        <f t="shared" si="321"/>
        <v>873050.19228215003</v>
      </c>
      <c r="IA106" s="26">
        <f t="shared" si="322"/>
        <v>1060020.3365952312</v>
      </c>
      <c r="IB106" s="26">
        <f t="shared" si="323"/>
        <v>1334393.6489087769</v>
      </c>
      <c r="IC106" s="26">
        <f t="shared" si="324"/>
        <v>1757807.2512023896</v>
      </c>
      <c r="ID106" s="26">
        <f t="shared" si="325"/>
        <v>2466477.0726527767</v>
      </c>
      <c r="IE106" s="26">
        <f t="shared" si="326"/>
        <v>3708485.3975473573</v>
      </c>
      <c r="IF106" s="26">
        <f t="shared" si="327"/>
        <v>6021255.3370783925</v>
      </c>
      <c r="IG106" s="26">
        <f t="shared" si="328"/>
        <v>10683730.284847884</v>
      </c>
      <c r="IH106" s="26">
        <f t="shared" si="329"/>
        <v>21106690.980952714</v>
      </c>
      <c r="II106" s="26">
        <f t="shared" si="330"/>
        <v>5080774.3966977224</v>
      </c>
      <c r="IR106" s="26">
        <f t="shared" si="331"/>
        <v>684125.51703862171</v>
      </c>
      <c r="IS106" s="26">
        <f t="shared" si="332"/>
        <v>768293.97075635206</v>
      </c>
      <c r="IT106" s="26">
        <f t="shared" si="333"/>
        <v>897146.88009650342</v>
      </c>
      <c r="IU106" s="26">
        <f t="shared" si="334"/>
        <v>1089302.827044111</v>
      </c>
      <c r="IV106" s="26">
        <f t="shared" si="335"/>
        <v>1371593.7768843879</v>
      </c>
      <c r="IW106" s="26">
        <f t="shared" si="336"/>
        <v>1807554.4235535397</v>
      </c>
      <c r="IX106" s="26">
        <f t="shared" si="337"/>
        <v>2537589.2300104047</v>
      </c>
      <c r="IY106" s="26">
        <f t="shared" si="338"/>
        <v>3817559.8211335172</v>
      </c>
      <c r="IZ106" s="26">
        <f t="shared" si="339"/>
        <v>6201892.9971907446</v>
      </c>
      <c r="JA106" s="26">
        <f t="shared" si="340"/>
        <v>11010376.273495147</v>
      </c>
      <c r="JB106" s="26">
        <f t="shared" si="341"/>
        <v>21763793.90322049</v>
      </c>
      <c r="JC106" s="26">
        <f t="shared" si="342"/>
        <v>5313627.9458508166</v>
      </c>
      <c r="JI106" s="26">
        <f t="shared" si="343"/>
        <v>0</v>
      </c>
      <c r="JJ106" s="26">
        <f t="shared" si="344"/>
        <v>0</v>
      </c>
      <c r="JK106" s="26">
        <f t="shared" si="345"/>
        <v>1040905.6152935158</v>
      </c>
      <c r="JL106" s="26">
        <f t="shared" si="346"/>
        <v>1364617.3187253119</v>
      </c>
      <c r="JM106" s="26">
        <f t="shared" si="347"/>
        <v>1794452.3069837373</v>
      </c>
      <c r="JN106" s="26">
        <f t="shared" si="348"/>
        <v>2372742.3551735329</v>
      </c>
      <c r="JO106" s="26">
        <f t="shared" si="349"/>
        <v>3160413.4250926478</v>
      </c>
      <c r="JP106" s="26">
        <f t="shared" si="350"/>
        <v>4302178.2744007036</v>
      </c>
      <c r="JQ106" s="26">
        <f t="shared" si="351"/>
        <v>6117428.4711486623</v>
      </c>
      <c r="JR106" s="26">
        <f t="shared" si="352"/>
        <v>9187151.2325005848</v>
      </c>
      <c r="JS106" s="26">
        <f t="shared" si="353"/>
        <v>14769873.869128156</v>
      </c>
      <c r="JT106" s="26">
        <f t="shared" si="354"/>
        <v>25860718.278798945</v>
      </c>
      <c r="JU106" s="26">
        <f t="shared" si="355"/>
        <v>50448051.510422014</v>
      </c>
      <c r="JV106" s="26">
        <f t="shared" si="356"/>
        <v>69106555.806400567</v>
      </c>
      <c r="JW106" s="26">
        <f t="shared" si="357"/>
        <v>170517907.94587597</v>
      </c>
      <c r="JY106" s="34">
        <f t="shared" si="358"/>
        <v>0.10300113343807489</v>
      </c>
      <c r="JZ106" s="4">
        <f t="shared" si="359"/>
        <v>0</v>
      </c>
      <c r="KA106" s="165"/>
    </row>
    <row r="107" spans="1:287" ht="15.75" x14ac:dyDescent="0.3">
      <c r="A107" s="34">
        <v>106</v>
      </c>
      <c r="B107" s="34">
        <v>79</v>
      </c>
      <c r="C107" s="2">
        <v>458695</v>
      </c>
      <c r="D107" s="1">
        <f t="shared" si="360"/>
        <v>26347</v>
      </c>
      <c r="E107" s="145">
        <f t="shared" si="361"/>
        <v>0.94256096098714837</v>
      </c>
      <c r="F107" s="146">
        <f t="shared" si="362"/>
        <v>5.7439039012851634E-2</v>
      </c>
      <c r="G107" s="158">
        <f t="shared" si="284"/>
        <v>7.1798798766064542E-2</v>
      </c>
      <c r="H107" s="43">
        <f t="shared" si="363"/>
        <v>27010.625706560641</v>
      </c>
      <c r="I107" s="43">
        <f t="shared" si="390"/>
        <v>376198.85249845043</v>
      </c>
      <c r="J107" s="43">
        <f t="shared" si="364"/>
        <v>445521.5</v>
      </c>
      <c r="K107" s="147">
        <f>SUM(J107:$J$138)</f>
        <v>4011427.5</v>
      </c>
      <c r="L107" s="147">
        <f t="shared" si="365"/>
        <v>8.7453046141771758</v>
      </c>
      <c r="M107" s="43">
        <f t="shared" si="285"/>
        <v>556901.875</v>
      </c>
      <c r="N107" s="148">
        <f t="shared" si="286"/>
        <v>5014284.375</v>
      </c>
      <c r="O107" s="147">
        <f t="shared" si="287"/>
        <v>10.931630767721469</v>
      </c>
      <c r="P107" s="157">
        <f t="shared" si="288"/>
        <v>24838.755519463502</v>
      </c>
      <c r="Q107" s="43">
        <f t="shared" si="289"/>
        <v>573368.75</v>
      </c>
      <c r="R107" s="43">
        <f t="shared" si="290"/>
        <v>1752.9794958159355</v>
      </c>
      <c r="S107" s="43">
        <f>SUM(R107:$R$138)</f>
        <v>19394.806064748085</v>
      </c>
      <c r="T107" s="43">
        <f t="shared" si="366"/>
        <v>141416.23805893117</v>
      </c>
      <c r="U107" s="153">
        <f>SUM(P107:$P$138)</f>
        <v>170766.16478295706</v>
      </c>
      <c r="V107" s="129">
        <f t="shared" si="291"/>
        <v>46177.609845970153</v>
      </c>
      <c r="W107" s="43">
        <f t="shared" si="292"/>
        <v>9713.938442001665</v>
      </c>
      <c r="X107" s="26">
        <f t="shared" si="367"/>
        <v>5.0158936038224642</v>
      </c>
      <c r="Y107" s="26">
        <f t="shared" si="368"/>
        <v>0.39107991680138243</v>
      </c>
      <c r="Z107" s="43">
        <f t="shared" si="293"/>
        <v>8293.8164043831694</v>
      </c>
      <c r="AA107" s="149">
        <f t="shared" si="369"/>
        <v>0.4469221355178703</v>
      </c>
      <c r="AB107" s="150">
        <f t="shared" si="370"/>
        <v>145927.40926349355</v>
      </c>
      <c r="AC107" s="150">
        <f t="shared" si="371"/>
        <v>36463.671403968496</v>
      </c>
      <c r="AD107" s="26">
        <f t="shared" si="372"/>
        <v>4.4069735206238452</v>
      </c>
      <c r="AE107" s="26">
        <f t="shared" si="294"/>
        <v>690668.39277014555</v>
      </c>
      <c r="AF107" s="43">
        <f t="shared" si="295"/>
        <v>137695.98147851613</v>
      </c>
      <c r="AG107" s="43">
        <f t="shared" si="296"/>
        <v>715620.09738529439</v>
      </c>
      <c r="AH107" s="27">
        <f t="shared" si="297"/>
        <v>146513.31298507133</v>
      </c>
      <c r="AI107" s="28">
        <f t="shared" si="298"/>
        <v>769483.97568311228</v>
      </c>
      <c r="AJ107" s="20">
        <f t="shared" si="299"/>
        <v>157541.19675814122</v>
      </c>
      <c r="AK107" s="3">
        <f t="shared" si="300"/>
        <v>13653.570385705572</v>
      </c>
      <c r="AL107" s="3"/>
      <c r="AM107" s="46">
        <f t="shared" si="373"/>
        <v>145927.40926349355</v>
      </c>
      <c r="AN107" s="46">
        <f t="shared" si="374"/>
        <v>123651.69649989734</v>
      </c>
      <c r="AO107" s="46">
        <f t="shared" si="374"/>
        <v>103812.40402277096</v>
      </c>
      <c r="AP107" s="3">
        <f t="shared" si="393"/>
        <v>86282.876870619526</v>
      </c>
      <c r="AQ107" s="3">
        <f t="shared" si="393"/>
        <v>70930.687641563578</v>
      </c>
      <c r="AR107" s="16">
        <f t="shared" si="393"/>
        <v>57613.36985294702</v>
      </c>
      <c r="AS107" s="16">
        <f t="shared" si="393"/>
        <v>46177.609845970153</v>
      </c>
      <c r="AT107" s="16">
        <f t="shared" si="393"/>
        <v>36463.671403968496</v>
      </c>
      <c r="AU107" s="16">
        <f t="shared" si="393"/>
        <v>28308.648121141709</v>
      </c>
      <c r="AV107" s="16">
        <f t="shared" si="393"/>
        <v>21548.169642861361</v>
      </c>
      <c r="AW107" s="16">
        <f t="shared" si="393"/>
        <v>16018.875426929008</v>
      </c>
      <c r="AX107" s="16">
        <f t="shared" si="391"/>
        <v>11560.444059796366</v>
      </c>
      <c r="AY107" s="16">
        <f t="shared" si="391"/>
        <v>8018.7396142307962</v>
      </c>
      <c r="AZ107" s="16">
        <f t="shared" si="391"/>
        <v>5283.7780155303126</v>
      </c>
      <c r="BA107" s="16">
        <f t="shared" si="391"/>
        <v>3272.8085819586663</v>
      </c>
      <c r="BB107" s="16">
        <f t="shared" si="391"/>
        <v>1880.5992961069639</v>
      </c>
      <c r="BC107" s="16">
        <f t="shared" si="391"/>
        <v>985.7419839674069</v>
      </c>
      <c r="BD107" s="16">
        <f t="shared" si="301"/>
        <v>461.1597717525529</v>
      </c>
      <c r="BE107" s="16">
        <f t="shared" si="301"/>
        <v>187.05849304915947</v>
      </c>
      <c r="BF107" s="16">
        <f t="shared" si="301"/>
        <v>63.21875273446355</v>
      </c>
      <c r="BG107" s="16">
        <f t="shared" si="301"/>
        <v>16.788813107634137</v>
      </c>
      <c r="BH107" s="172">
        <f t="shared" si="375"/>
        <v>22275.712763596202</v>
      </c>
      <c r="BI107" s="16">
        <f t="shared" si="392"/>
        <v>19839.292477126361</v>
      </c>
      <c r="BJ107" s="16">
        <f t="shared" si="392"/>
        <v>17529.527152151433</v>
      </c>
      <c r="BK107" s="16">
        <f t="shared" si="392"/>
        <v>15352.18922905595</v>
      </c>
      <c r="BL107" s="16">
        <f t="shared" si="392"/>
        <v>13317.317788616554</v>
      </c>
      <c r="BM107" s="16">
        <f t="shared" si="392"/>
        <v>11435.760006976861</v>
      </c>
      <c r="BN107" s="16">
        <f t="shared" si="392"/>
        <v>9713.938442001665</v>
      </c>
      <c r="BO107" s="16">
        <f t="shared" si="392"/>
        <v>8155.0232828267881</v>
      </c>
      <c r="BP107" s="16">
        <f t="shared" si="392"/>
        <v>6760.4784782803481</v>
      </c>
      <c r="BQ107" s="16">
        <f t="shared" si="392"/>
        <v>5529.2942159323538</v>
      </c>
      <c r="BR107" s="16">
        <f t="shared" si="392"/>
        <v>4458.4313671326408</v>
      </c>
      <c r="BS107" s="16">
        <f t="shared" si="392"/>
        <v>3541.7044455655696</v>
      </c>
      <c r="BT107" s="16">
        <f t="shared" si="392"/>
        <v>2734.9615987004836</v>
      </c>
      <c r="BU107" s="16">
        <f t="shared" si="392"/>
        <v>2010.9694335716461</v>
      </c>
      <c r="BV107" s="16">
        <f t="shared" si="395"/>
        <v>1392.2092858517024</v>
      </c>
      <c r="BW107" s="16">
        <f t="shared" si="395"/>
        <v>894.85731213955728</v>
      </c>
      <c r="BX107" s="16">
        <f t="shared" si="395"/>
        <v>524.58221221485394</v>
      </c>
      <c r="BY107" s="16">
        <f t="shared" si="395"/>
        <v>274.1012787033934</v>
      </c>
      <c r="BZ107" s="16">
        <f t="shared" si="395"/>
        <v>123.83974031469592</v>
      </c>
      <c r="CA107" s="16">
        <f t="shared" si="395"/>
        <v>46.429939626829416</v>
      </c>
      <c r="CB107" s="16">
        <f t="shared" si="395"/>
        <v>13.59801457661243</v>
      </c>
      <c r="CC107" s="18">
        <f t="shared" si="376"/>
        <v>4.4779621858178311</v>
      </c>
      <c r="CD107" s="18">
        <f t="shared" si="376"/>
        <v>3.9050831446358614</v>
      </c>
      <c r="CE107" s="18">
        <f t="shared" si="376"/>
        <v>3.2878693005548172</v>
      </c>
      <c r="CF107" s="18">
        <f t="shared" si="376"/>
        <v>2.6123484036234461</v>
      </c>
      <c r="CG107" s="18">
        <f t="shared" si="280"/>
        <v>1.8587134578069457</v>
      </c>
      <c r="CH107" s="18">
        <f t="shared" si="150"/>
        <v>1.0000000000000004</v>
      </c>
      <c r="CI107" s="18">
        <f t="shared" si="150"/>
        <v>0</v>
      </c>
      <c r="CJ107" s="18">
        <f t="shared" si="150"/>
        <v>-1.1911601113951082</v>
      </c>
      <c r="CK107" s="18">
        <f t="shared" ref="CK107:CN138" si="396">(AU107-$V107)/BP107</f>
        <v>-2.6431504489270621</v>
      </c>
      <c r="CL107" s="18">
        <f t="shared" si="151"/>
        <v>-4.4543551566021629</v>
      </c>
      <c r="CM107" s="18">
        <f t="shared" si="151"/>
        <v>-6.7644272022151117</v>
      </c>
      <c r="CN107" s="18">
        <f t="shared" si="151"/>
        <v>-9.7741543141796026</v>
      </c>
      <c r="CO107" s="18">
        <f t="shared" ref="CO107:CW138" si="397">(AY107-$V107)/BT107</f>
        <v>-13.952250828629746</v>
      </c>
      <c r="CP107" s="18">
        <f t="shared" si="271"/>
        <v>-20.335382103649906</v>
      </c>
      <c r="CQ107" s="18">
        <f t="shared" si="272"/>
        <v>-30.817781277592839</v>
      </c>
      <c r="CR107" s="18">
        <f t="shared" si="273"/>
        <v>-49.501758491475407</v>
      </c>
      <c r="CS107" s="18">
        <f t="shared" si="267"/>
        <v>-86.148303944956197</v>
      </c>
      <c r="CT107" s="18">
        <f t="shared" si="377"/>
        <v>-166.78670851327053</v>
      </c>
      <c r="CU107" s="18">
        <f t="shared" si="378"/>
        <v>-371.37150995352459</v>
      </c>
      <c r="CV107" s="18">
        <f t="shared" si="379"/>
        <v>-993.20377032298813</v>
      </c>
      <c r="CW107" s="18">
        <f t="shared" si="380"/>
        <v>-3394.6735953832326</v>
      </c>
      <c r="CX107" s="17">
        <f t="shared" si="302"/>
        <v>1712.3368656540415</v>
      </c>
      <c r="CY107" s="17">
        <f t="shared" si="381"/>
        <v>1667.3049712708671</v>
      </c>
      <c r="CZ107" s="17">
        <f t="shared" si="381"/>
        <v>1612.0431613314265</v>
      </c>
      <c r="DA107" s="17">
        <f t="shared" si="381"/>
        <v>1542.0121813997755</v>
      </c>
      <c r="DB107" s="17">
        <f t="shared" si="381"/>
        <v>1456.0445403286262</v>
      </c>
      <c r="DC107" s="17">
        <f t="shared" si="381"/>
        <v>1358.2684445642358</v>
      </c>
      <c r="DD107" s="17">
        <f t="shared" si="381"/>
        <v>1251.7717337497472</v>
      </c>
      <c r="DE107" s="17">
        <f t="shared" si="381"/>
        <v>1138.1811861976653</v>
      </c>
      <c r="DF107" s="3" t="e">
        <f>#REF!+$AG$35*0.004*(1+$R$28)*#REF!-S107*#REF!</f>
        <v>#REF!</v>
      </c>
      <c r="DG107" s="19">
        <f t="shared" si="303"/>
        <v>2657.6212479149767</v>
      </c>
      <c r="DH107" s="19">
        <f t="shared" si="304"/>
        <v>2491.6563067389939</v>
      </c>
      <c r="DI107" s="19">
        <f t="shared" si="305"/>
        <v>2306.1025061318182</v>
      </c>
      <c r="DJ107" s="19">
        <f t="shared" si="306"/>
        <v>2093.4710916135359</v>
      </c>
      <c r="DK107" s="19">
        <f t="shared" si="307"/>
        <v>1848.4133746005562</v>
      </c>
      <c r="DL107" s="19">
        <f t="shared" si="308"/>
        <v>1569.3654442786926</v>
      </c>
      <c r="DM107" s="19">
        <f t="shared" si="309"/>
        <v>1251.7717337497472</v>
      </c>
      <c r="DN107" s="19">
        <f t="shared" si="310"/>
        <v>886.73086050261975</v>
      </c>
      <c r="DO107" s="25"/>
      <c r="DP107" s="25"/>
      <c r="DW107" s="26">
        <f t="shared" si="394"/>
        <v>0</v>
      </c>
      <c r="DX107" s="26">
        <f t="shared" si="394"/>
        <v>0</v>
      </c>
      <c r="DY107" s="26">
        <f t="shared" si="394"/>
        <v>0</v>
      </c>
      <c r="DZ107" s="26">
        <f t="shared" si="394"/>
        <v>0</v>
      </c>
      <c r="EA107" s="26">
        <f t="shared" si="394"/>
        <v>0</v>
      </c>
      <c r="EB107" s="26">
        <f t="shared" si="394"/>
        <v>0</v>
      </c>
      <c r="EC107" s="26">
        <f t="shared" si="311"/>
        <v>0</v>
      </c>
      <c r="ED107" s="26">
        <f t="shared" si="311"/>
        <v>0</v>
      </c>
      <c r="EE107" s="26">
        <f t="shared" si="311"/>
        <v>0</v>
      </c>
      <c r="EF107" s="26">
        <f t="shared" si="311"/>
        <v>0</v>
      </c>
      <c r="EG107" s="26">
        <f t="shared" si="311"/>
        <v>0</v>
      </c>
      <c r="EH107" s="26">
        <f t="shared" si="311"/>
        <v>0</v>
      </c>
      <c r="EI107" s="26">
        <f t="shared" si="311"/>
        <v>0</v>
      </c>
      <c r="ER107" s="26">
        <f t="shared" si="312"/>
        <v>-1.2268090832666705</v>
      </c>
      <c r="ES107" s="26">
        <f t="shared" si="312"/>
        <v>-1.4999774076924679</v>
      </c>
      <c r="ET107" s="26">
        <f t="shared" si="312"/>
        <v>-1.8602543633451034</v>
      </c>
      <c r="EU107" s="26">
        <f t="shared" si="312"/>
        <v>-2.3417584758568815</v>
      </c>
      <c r="EV107" s="26">
        <f t="shared" si="312"/>
        <v>-3.0325165838979147</v>
      </c>
      <c r="EW107" s="26">
        <f t="shared" si="312"/>
        <v>-4.1242876524744956</v>
      </c>
      <c r="EX107" s="26">
        <f t="shared" si="312"/>
        <v>-5.9573057647789769</v>
      </c>
      <c r="EY107" s="26">
        <f t="shared" si="312"/>
        <v>-9.2683115976926942</v>
      </c>
      <c r="EZ107" s="26">
        <f t="shared" si="312"/>
        <v>-15.81032717324822</v>
      </c>
      <c r="FA107" s="26">
        <f t="shared" si="312"/>
        <v>-30.258218581161589</v>
      </c>
      <c r="FB107" s="26">
        <f t="shared" si="312"/>
        <v>-66.972172125904819</v>
      </c>
      <c r="FC107" s="26">
        <f t="shared" si="312"/>
        <v>-178.63078158280891</v>
      </c>
      <c r="FD107" s="26">
        <f t="shared" si="312"/>
        <v>-609.92848313664217</v>
      </c>
      <c r="FM107" s="26">
        <f t="shared" si="313"/>
        <v>-2.2062790095444793</v>
      </c>
      <c r="FN107" s="26">
        <f t="shared" si="313"/>
        <v>-3.697541707606903</v>
      </c>
      <c r="FO107" s="26">
        <f t="shared" si="281"/>
        <v>-5.5856477970610072</v>
      </c>
      <c r="FP107" s="26">
        <f t="shared" si="158"/>
        <v>-8.0314244813263542</v>
      </c>
      <c r="FQ107" s="26">
        <f t="shared" si="158"/>
        <v>-11.400486721003068</v>
      </c>
      <c r="FR107" s="26">
        <f t="shared" si="158"/>
        <v>-16.50490667233074</v>
      </c>
      <c r="FS107" s="26">
        <f t="shared" ref="FS107:FW138" si="398">(BB107-$AC107)/BV107</f>
        <v>-24.840426262998871</v>
      </c>
      <c r="FT107" s="26">
        <f t="shared" si="274"/>
        <v>-39.646465351191253</v>
      </c>
      <c r="FU107" s="26">
        <f t="shared" si="268"/>
        <v>-68.630828102631781</v>
      </c>
      <c r="FV107" s="26">
        <f t="shared" si="382"/>
        <v>-132.34747784658995</v>
      </c>
      <c r="FW107" s="26">
        <f t="shared" si="383"/>
        <v>-293.93192006648962</v>
      </c>
      <c r="GH107" s="26">
        <f t="shared" si="314"/>
        <v>1.4368714393825841</v>
      </c>
      <c r="GI107" s="26">
        <f t="shared" si="314"/>
        <v>1.7568134489952607</v>
      </c>
      <c r="GJ107" s="26">
        <f t="shared" si="282"/>
        <v>2.1787794051541063</v>
      </c>
      <c r="GK107" s="26">
        <f t="shared" si="162"/>
        <v>2.7427298328532492</v>
      </c>
      <c r="GL107" s="26">
        <f t="shared" si="162"/>
        <v>3.5517641076266813</v>
      </c>
      <c r="GM107" s="26">
        <f t="shared" si="162"/>
        <v>4.8304754313191705</v>
      </c>
      <c r="GN107" s="26">
        <f t="shared" ref="GN107:GS138" si="399">$W107/BV107</f>
        <v>6.9773550145939698</v>
      </c>
      <c r="GO107" s="26">
        <f t="shared" si="275"/>
        <v>10.855293140284168</v>
      </c>
      <c r="GP107" s="26">
        <f t="shared" si="265"/>
        <v>18.51747584232443</v>
      </c>
      <c r="GQ107" s="26">
        <f t="shared" si="384"/>
        <v>35.439230666680601</v>
      </c>
      <c r="GR107" s="26">
        <f t="shared" si="385"/>
        <v>78.439589887035027</v>
      </c>
      <c r="GS107" s="26">
        <f t="shared" si="386"/>
        <v>209.21712412454855</v>
      </c>
      <c r="GT107" s="26">
        <f t="shared" si="315"/>
        <v>714.36446749431445</v>
      </c>
      <c r="HC107" s="26">
        <f t="shared" si="316"/>
        <v>-2.6431504489270621</v>
      </c>
      <c r="HD107" s="26">
        <f t="shared" si="316"/>
        <v>-4.4543551566021629</v>
      </c>
      <c r="HE107" s="26">
        <f t="shared" si="283"/>
        <v>-6.7644272022151117</v>
      </c>
      <c r="HF107" s="26">
        <f t="shared" si="166"/>
        <v>-9.7741543141796026</v>
      </c>
      <c r="HG107" s="26">
        <f t="shared" si="166"/>
        <v>-13.952250828629746</v>
      </c>
      <c r="HH107" s="26">
        <f t="shared" si="166"/>
        <v>-20.335382103649906</v>
      </c>
      <c r="HI107" s="26">
        <f t="shared" ref="HI107:HN138" si="400">(BA107-$V107)/BV107</f>
        <v>-30.817781277592839</v>
      </c>
      <c r="HJ107" s="26">
        <f t="shared" si="276"/>
        <v>-49.501758491475407</v>
      </c>
      <c r="HK107" s="26">
        <f t="shared" si="266"/>
        <v>-86.148303944956197</v>
      </c>
      <c r="HL107" s="26">
        <f t="shared" si="387"/>
        <v>-166.78670851327053</v>
      </c>
      <c r="HM107" s="26">
        <f t="shared" si="388"/>
        <v>-371.37150995352459</v>
      </c>
      <c r="HN107" s="26">
        <f t="shared" si="389"/>
        <v>-993.20377032298813</v>
      </c>
      <c r="HO107" s="26">
        <f t="shared" si="317"/>
        <v>-3394.6735953832326</v>
      </c>
      <c r="HP107" s="26">
        <f t="shared" si="318"/>
        <v>1031889.3409120624</v>
      </c>
      <c r="HX107" s="26">
        <f t="shared" si="319"/>
        <v>668478.3345500807</v>
      </c>
      <c r="HY107" s="26">
        <f t="shared" si="320"/>
        <v>757053.96153110196</v>
      </c>
      <c r="HZ107" s="26">
        <f t="shared" si="321"/>
        <v>894205.43677517842</v>
      </c>
      <c r="IA107" s="26">
        <f t="shared" si="322"/>
        <v>1100867.7447987148</v>
      </c>
      <c r="IB107" s="26">
        <f t="shared" si="323"/>
        <v>1425595.2213683501</v>
      </c>
      <c r="IC107" s="26">
        <f t="shared" si="324"/>
        <v>1976098.814839555</v>
      </c>
      <c r="ID107" s="26">
        <f t="shared" si="325"/>
        <v>2949881.4834385989</v>
      </c>
      <c r="IE107" s="26">
        <f t="shared" si="326"/>
        <v>4774836.637940133</v>
      </c>
      <c r="IF107" s="26">
        <f t="shared" si="327"/>
        <v>8469282.7036810964</v>
      </c>
      <c r="IG107" s="26">
        <f t="shared" si="328"/>
        <v>16748970.996420998</v>
      </c>
      <c r="IH107" s="26">
        <f t="shared" si="329"/>
        <v>37956210.8395923</v>
      </c>
      <c r="II107" s="26">
        <f t="shared" si="330"/>
        <v>12707252.453088835</v>
      </c>
      <c r="IR107" s="26">
        <f t="shared" si="331"/>
        <v>687419.75431316544</v>
      </c>
      <c r="IS107" s="26">
        <f t="shared" si="332"/>
        <v>778110.59649466933</v>
      </c>
      <c r="IT107" s="26">
        <f t="shared" si="333"/>
        <v>918859.10547228425</v>
      </c>
      <c r="IU107" s="26">
        <f t="shared" si="334"/>
        <v>1131255.6131478918</v>
      </c>
      <c r="IV107" s="26">
        <f t="shared" si="335"/>
        <v>1465324.686264677</v>
      </c>
      <c r="IW107" s="26">
        <f t="shared" si="336"/>
        <v>2032032.0423210161</v>
      </c>
      <c r="IX107" s="26">
        <f t="shared" si="337"/>
        <v>3034964.6095806323</v>
      </c>
      <c r="IY107" s="26">
        <f t="shared" si="338"/>
        <v>4915316.8010610892</v>
      </c>
      <c r="IZ107" s="26">
        <f t="shared" si="339"/>
        <v>8723361.1847915296</v>
      </c>
      <c r="JA107" s="26">
        <f t="shared" si="340"/>
        <v>17260917.676041957</v>
      </c>
      <c r="JB107" s="26">
        <f t="shared" si="341"/>
        <v>39137469.1949884</v>
      </c>
      <c r="JC107" s="26">
        <f t="shared" si="342"/>
        <v>13260739.0742411</v>
      </c>
      <c r="JI107" s="26">
        <f t="shared" si="343"/>
        <v>0</v>
      </c>
      <c r="JJ107" s="26">
        <f t="shared" si="344"/>
        <v>0</v>
      </c>
      <c r="JK107" s="26">
        <f t="shared" si="345"/>
        <v>1064519.3762476735</v>
      </c>
      <c r="JL107" s="26">
        <f t="shared" si="346"/>
        <v>1413615.7173622914</v>
      </c>
      <c r="JM107" s="26">
        <f t="shared" si="347"/>
        <v>1883943.3826818152</v>
      </c>
      <c r="JN107" s="26">
        <f t="shared" si="348"/>
        <v>2525739.1916755019</v>
      </c>
      <c r="JO107" s="26">
        <f t="shared" si="349"/>
        <v>3455899.4243570422</v>
      </c>
      <c r="JP107" s="26">
        <f t="shared" si="350"/>
        <v>4933291.3733186182</v>
      </c>
      <c r="JQ107" s="26">
        <f t="shared" si="351"/>
        <v>7431753.1742868535</v>
      </c>
      <c r="JR107" s="26">
        <f t="shared" si="352"/>
        <v>11977757.919313082</v>
      </c>
      <c r="JS107" s="26">
        <f t="shared" si="353"/>
        <v>21014183.624024741</v>
      </c>
      <c r="JT107" s="26">
        <f t="shared" si="354"/>
        <v>41056462.401687995</v>
      </c>
      <c r="JU107" s="26">
        <f t="shared" si="355"/>
        <v>92121231.832325161</v>
      </c>
      <c r="JV107" s="26">
        <f t="shared" si="356"/>
        <v>154961627.286928</v>
      </c>
      <c r="JW107" s="26">
        <f t="shared" si="357"/>
        <v>484319812.33974761</v>
      </c>
      <c r="JY107" s="34">
        <f t="shared" si="358"/>
        <v>0.10743903901285164</v>
      </c>
      <c r="JZ107" s="4">
        <f t="shared" si="359"/>
        <v>0</v>
      </c>
      <c r="KA107" s="165"/>
    </row>
    <row r="108" spans="1:287" ht="15.75" x14ac:dyDescent="0.3">
      <c r="A108" s="34">
        <v>107</v>
      </c>
      <c r="B108" s="34">
        <v>80</v>
      </c>
      <c r="C108" s="2">
        <v>432348</v>
      </c>
      <c r="D108" s="1">
        <f t="shared" si="360"/>
        <v>27049</v>
      </c>
      <c r="E108" s="145">
        <f t="shared" si="361"/>
        <v>0.93743697206879639</v>
      </c>
      <c r="F108" s="146">
        <f t="shared" si="362"/>
        <v>6.2563027931203608E-2</v>
      </c>
      <c r="G108" s="158">
        <f t="shared" si="284"/>
        <v>7.8203784914004509E-2</v>
      </c>
      <c r="H108" s="43">
        <f t="shared" si="363"/>
        <v>27307.840982535577</v>
      </c>
      <c r="I108" s="43">
        <f t="shared" si="390"/>
        <v>349188.22679188981</v>
      </c>
      <c r="J108" s="43">
        <f t="shared" si="364"/>
        <v>418823.5</v>
      </c>
      <c r="K108" s="147">
        <f>SUM(J108:$J$138)</f>
        <v>3565906</v>
      </c>
      <c r="L108" s="147">
        <f t="shared" si="365"/>
        <v>8.2477680017023332</v>
      </c>
      <c r="M108" s="43">
        <f t="shared" si="285"/>
        <v>523529.375</v>
      </c>
      <c r="N108" s="148">
        <f t="shared" si="286"/>
        <v>4457382.5</v>
      </c>
      <c r="O108" s="147">
        <f t="shared" si="287"/>
        <v>10.309710002127916</v>
      </c>
      <c r="P108" s="157">
        <f t="shared" si="288"/>
        <v>22275.712763596202</v>
      </c>
      <c r="Q108" s="43">
        <f t="shared" si="289"/>
        <v>540435</v>
      </c>
      <c r="R108" s="43">
        <f t="shared" si="290"/>
        <v>1712.3368656540415</v>
      </c>
      <c r="S108" s="43">
        <f>SUM(R108:$R$138)</f>
        <v>17641.826568932145</v>
      </c>
      <c r="T108" s="43">
        <f t="shared" si="366"/>
        <v>122021.43199418303</v>
      </c>
      <c r="U108" s="153">
        <f>SUM(P108:$P$138)</f>
        <v>145927.40926349355</v>
      </c>
      <c r="V108" s="129">
        <f t="shared" si="291"/>
        <v>36463.671403968496</v>
      </c>
      <c r="W108" s="43">
        <f t="shared" si="292"/>
        <v>8155.0232828267881</v>
      </c>
      <c r="X108" s="26">
        <f t="shared" si="367"/>
        <v>4.9140397445964004</v>
      </c>
      <c r="Y108" s="26">
        <f t="shared" si="368"/>
        <v>0.36609483024731898</v>
      </c>
      <c r="Z108" s="43">
        <f t="shared" si="293"/>
        <v>7042.0446706334251</v>
      </c>
      <c r="AA108" s="149">
        <f t="shared" si="369"/>
        <v>0.47584479162531118</v>
      </c>
      <c r="AB108" s="150">
        <f t="shared" si="370"/>
        <v>123651.69649989734</v>
      </c>
      <c r="AC108" s="150">
        <f t="shared" si="371"/>
        <v>28308.648121141709</v>
      </c>
      <c r="AD108" s="26">
        <f t="shared" si="372"/>
        <v>4.2801345748437187</v>
      </c>
      <c r="AE108" s="26">
        <f t="shared" si="294"/>
        <v>704002.13952735299</v>
      </c>
      <c r="AF108" s="43">
        <f t="shared" si="295"/>
        <v>143263.41993906157</v>
      </c>
      <c r="AG108" s="43">
        <f t="shared" si="296"/>
        <v>729267.92765479651</v>
      </c>
      <c r="AH108" s="27">
        <f t="shared" si="297"/>
        <v>152247.77459943312</v>
      </c>
      <c r="AI108" s="28">
        <f t="shared" si="298"/>
        <v>784159.06199440488</v>
      </c>
      <c r="AJ108" s="20">
        <f t="shared" si="299"/>
        <v>163707.28451551948</v>
      </c>
      <c r="AK108" s="3">
        <f t="shared" si="300"/>
        <v>14187.964658011688</v>
      </c>
      <c r="AL108" s="3"/>
      <c r="AM108" s="46">
        <f t="shared" si="373"/>
        <v>123651.69649989734</v>
      </c>
      <c r="AN108" s="46">
        <f t="shared" si="374"/>
        <v>103812.40402277096</v>
      </c>
      <c r="AO108" s="46">
        <f t="shared" si="374"/>
        <v>86282.876870619526</v>
      </c>
      <c r="AP108" s="3">
        <f t="shared" si="393"/>
        <v>70930.687641563578</v>
      </c>
      <c r="AQ108" s="3">
        <f t="shared" si="393"/>
        <v>57613.36985294702</v>
      </c>
      <c r="AR108" s="16">
        <f t="shared" si="393"/>
        <v>46177.609845970153</v>
      </c>
      <c r="AS108" s="16">
        <f t="shared" si="393"/>
        <v>36463.671403968496</v>
      </c>
      <c r="AT108" s="16">
        <f t="shared" si="393"/>
        <v>28308.648121141709</v>
      </c>
      <c r="AU108" s="16">
        <f t="shared" si="393"/>
        <v>21548.169642861361</v>
      </c>
      <c r="AV108" s="16">
        <f t="shared" si="393"/>
        <v>16018.875426929008</v>
      </c>
      <c r="AW108" s="16">
        <f t="shared" si="393"/>
        <v>11560.444059796366</v>
      </c>
      <c r="AX108" s="16">
        <f t="shared" si="391"/>
        <v>8018.7396142307962</v>
      </c>
      <c r="AY108" s="16">
        <f t="shared" si="391"/>
        <v>5283.7780155303126</v>
      </c>
      <c r="AZ108" s="16">
        <f t="shared" si="391"/>
        <v>3272.8085819586663</v>
      </c>
      <c r="BA108" s="16">
        <f t="shared" si="391"/>
        <v>1880.5992961069639</v>
      </c>
      <c r="BB108" s="16">
        <f t="shared" si="391"/>
        <v>985.7419839674069</v>
      </c>
      <c r="BC108" s="16">
        <f t="shared" si="391"/>
        <v>461.1597717525529</v>
      </c>
      <c r="BD108" s="16">
        <f t="shared" si="391"/>
        <v>187.05849304915947</v>
      </c>
      <c r="BE108" s="16">
        <f t="shared" si="391"/>
        <v>63.21875273446355</v>
      </c>
      <c r="BF108" s="16">
        <f t="shared" si="391"/>
        <v>16.788813107634137</v>
      </c>
      <c r="BG108" s="16">
        <f t="shared" si="391"/>
        <v>3.1907985310217075</v>
      </c>
      <c r="BH108" s="172">
        <f t="shared" si="375"/>
        <v>19839.292477126361</v>
      </c>
      <c r="BI108" s="16">
        <f t="shared" si="392"/>
        <v>17529.527152151433</v>
      </c>
      <c r="BJ108" s="16">
        <f t="shared" si="392"/>
        <v>15352.18922905595</v>
      </c>
      <c r="BK108" s="16">
        <f t="shared" si="392"/>
        <v>13317.317788616554</v>
      </c>
      <c r="BL108" s="16">
        <f t="shared" si="392"/>
        <v>11435.760006976861</v>
      </c>
      <c r="BM108" s="16">
        <f t="shared" si="392"/>
        <v>9713.938442001665</v>
      </c>
      <c r="BN108" s="16">
        <f t="shared" si="392"/>
        <v>8155.0232828267881</v>
      </c>
      <c r="BO108" s="16">
        <f t="shared" si="392"/>
        <v>6760.4784782803481</v>
      </c>
      <c r="BP108" s="16">
        <f t="shared" si="392"/>
        <v>5529.2942159323538</v>
      </c>
      <c r="BQ108" s="16">
        <f t="shared" si="392"/>
        <v>4458.4313671326408</v>
      </c>
      <c r="BR108" s="16">
        <f t="shared" si="392"/>
        <v>3541.7044455655696</v>
      </c>
      <c r="BS108" s="16">
        <f t="shared" si="392"/>
        <v>2734.9615987004836</v>
      </c>
      <c r="BT108" s="16">
        <f t="shared" si="392"/>
        <v>2010.9694335716461</v>
      </c>
      <c r="BU108" s="16">
        <f t="shared" si="392"/>
        <v>1392.2092858517024</v>
      </c>
      <c r="BV108" s="16">
        <f t="shared" si="395"/>
        <v>894.85731213955728</v>
      </c>
      <c r="BW108" s="16">
        <f t="shared" si="395"/>
        <v>524.58221221485394</v>
      </c>
      <c r="BX108" s="16">
        <f t="shared" si="395"/>
        <v>274.1012787033934</v>
      </c>
      <c r="BY108" s="16">
        <f t="shared" si="395"/>
        <v>123.83974031469592</v>
      </c>
      <c r="BZ108" s="16">
        <f t="shared" si="395"/>
        <v>46.429939626829416</v>
      </c>
      <c r="CA108" s="16">
        <f t="shared" si="395"/>
        <v>13.59801457661243</v>
      </c>
      <c r="CB108" s="16">
        <f t="shared" si="395"/>
        <v>2.8288209697375808</v>
      </c>
      <c r="CC108" s="18">
        <f t="shared" si="376"/>
        <v>4.3947144383526755</v>
      </c>
      <c r="CD108" s="18">
        <f t="shared" si="376"/>
        <v>3.8420165035961404</v>
      </c>
      <c r="CE108" s="18">
        <f t="shared" si="376"/>
        <v>3.2450880277297465</v>
      </c>
      <c r="CF108" s="18">
        <f t="shared" si="376"/>
        <v>2.5881349972031891</v>
      </c>
      <c r="CG108" s="18">
        <f t="shared" si="280"/>
        <v>1.8494353183413494</v>
      </c>
      <c r="CH108" s="18">
        <f t="shared" si="280"/>
        <v>0.99999999999999922</v>
      </c>
      <c r="CI108" s="18">
        <f t="shared" si="280"/>
        <v>0</v>
      </c>
      <c r="CJ108" s="18">
        <f t="shared" si="280"/>
        <v>-1.2062790095444793</v>
      </c>
      <c r="CK108" s="18">
        <f t="shared" si="396"/>
        <v>-2.697541707606903</v>
      </c>
      <c r="CL108" s="18">
        <f t="shared" si="396"/>
        <v>-4.5856477970610072</v>
      </c>
      <c r="CM108" s="18">
        <f t="shared" si="396"/>
        <v>-7.0314244813263551</v>
      </c>
      <c r="CN108" s="18">
        <f t="shared" si="396"/>
        <v>-10.400486721003068</v>
      </c>
      <c r="CO108" s="18">
        <f t="shared" si="397"/>
        <v>-15.50490667233074</v>
      </c>
      <c r="CP108" s="18">
        <f t="shared" si="397"/>
        <v>-23.840426262998875</v>
      </c>
      <c r="CQ108" s="18">
        <f t="shared" si="397"/>
        <v>-38.646465351191246</v>
      </c>
      <c r="CR108" s="18">
        <f t="shared" si="397"/>
        <v>-67.630828102631781</v>
      </c>
      <c r="CS108" s="18">
        <f t="shared" si="397"/>
        <v>-131.34747784658995</v>
      </c>
      <c r="CT108" s="18">
        <f t="shared" si="397"/>
        <v>-292.93192006648962</v>
      </c>
      <c r="CU108" s="18">
        <f t="shared" si="397"/>
        <v>-783.98664619843976</v>
      </c>
      <c r="CV108" s="18">
        <f t="shared" si="397"/>
        <v>-2680.3091278889183</v>
      </c>
      <c r="CW108" s="18">
        <f t="shared" si="397"/>
        <v>-12888.931818410472</v>
      </c>
      <c r="CX108" s="17">
        <f t="shared" si="302"/>
        <v>1667.3049712708671</v>
      </c>
      <c r="CY108" s="17">
        <f t="shared" si="381"/>
        <v>1612.0431613314265</v>
      </c>
      <c r="CZ108" s="17">
        <f t="shared" si="381"/>
        <v>1542.0121813997755</v>
      </c>
      <c r="DA108" s="17">
        <f t="shared" si="381"/>
        <v>1456.0445403286262</v>
      </c>
      <c r="DB108" s="17">
        <f t="shared" si="381"/>
        <v>1358.2684445642358</v>
      </c>
      <c r="DC108" s="17">
        <f t="shared" si="381"/>
        <v>1251.7717337497472</v>
      </c>
      <c r="DD108" s="17">
        <f t="shared" si="381"/>
        <v>1138.1811861976653</v>
      </c>
      <c r="DE108" s="17">
        <f t="shared" si="381"/>
        <v>1019.9631172690445</v>
      </c>
      <c r="DF108" s="3" t="e">
        <f>#REF!+$AG$35*0.004*(1+$R$28)*#REF!-S108*#REF!</f>
        <v>#REF!</v>
      </c>
      <c r="DG108" s="19">
        <f t="shared" si="303"/>
        <v>2597.7491679769869</v>
      </c>
      <c r="DH108" s="19">
        <f t="shared" si="304"/>
        <v>2425.4707479393387</v>
      </c>
      <c r="DI108" s="19">
        <f t="shared" si="305"/>
        <v>2229.0587154934533</v>
      </c>
      <c r="DJ108" s="19">
        <f t="shared" si="306"/>
        <v>2004.0016879931238</v>
      </c>
      <c r="DK108" s="19">
        <f t="shared" si="307"/>
        <v>1749.8288936611448</v>
      </c>
      <c r="DL108" s="19">
        <f t="shared" si="308"/>
        <v>1463.4906542297974</v>
      </c>
      <c r="DM108" s="19">
        <f t="shared" si="309"/>
        <v>1138.1811861976653</v>
      </c>
      <c r="DN108" s="19">
        <f t="shared" si="310"/>
        <v>764.57102757054281</v>
      </c>
      <c r="DO108" s="25"/>
      <c r="DP108" s="25"/>
      <c r="DW108" s="26">
        <f t="shared" si="394"/>
        <v>0</v>
      </c>
      <c r="DX108" s="26">
        <f t="shared" si="394"/>
        <v>0</v>
      </c>
      <c r="DY108" s="26">
        <f t="shared" si="394"/>
        <v>0</v>
      </c>
      <c r="DZ108" s="26">
        <f t="shared" si="394"/>
        <v>0</v>
      </c>
      <c r="EA108" s="26">
        <f t="shared" si="394"/>
        <v>0</v>
      </c>
      <c r="EB108" s="26">
        <f t="shared" si="394"/>
        <v>0</v>
      </c>
      <c r="EC108" s="26">
        <f t="shared" si="394"/>
        <v>0</v>
      </c>
      <c r="ED108" s="26">
        <f t="shared" si="394"/>
        <v>0</v>
      </c>
      <c r="EE108" s="26">
        <f t="shared" si="394"/>
        <v>0</v>
      </c>
      <c r="EF108" s="26">
        <f t="shared" si="394"/>
        <v>0</v>
      </c>
      <c r="EG108" s="26">
        <f t="shared" si="394"/>
        <v>0</v>
      </c>
      <c r="EH108" s="26">
        <f t="shared" si="394"/>
        <v>0</v>
      </c>
      <c r="EI108" s="26">
        <f t="shared" si="394"/>
        <v>0</v>
      </c>
      <c r="ER108" s="26">
        <f t="shared" si="312"/>
        <v>-1.2735883452072716</v>
      </c>
      <c r="ES108" s="26">
        <f t="shared" si="312"/>
        <v>-1.5794893070569769</v>
      </c>
      <c r="ET108" s="26">
        <f t="shared" si="312"/>
        <v>-1.9883208152646659</v>
      </c>
      <c r="EU108" s="26">
        <f t="shared" si="312"/>
        <v>-2.5748239660766905</v>
      </c>
      <c r="EV108" s="26">
        <f t="shared" si="312"/>
        <v>-3.5018158670498427</v>
      </c>
      <c r="EW108" s="26">
        <f t="shared" si="312"/>
        <v>-5.0581796445391189</v>
      </c>
      <c r="EX108" s="26">
        <f t="shared" si="312"/>
        <v>-7.8694609465684113</v>
      </c>
      <c r="EY108" s="26">
        <f t="shared" si="312"/>
        <v>-13.42410113545597</v>
      </c>
      <c r="EZ108" s="26">
        <f t="shared" si="312"/>
        <v>-25.691396639756878</v>
      </c>
      <c r="FA108" s="26">
        <f t="shared" si="312"/>
        <v>-56.864175043798554</v>
      </c>
      <c r="FB108" s="26">
        <f t="shared" si="312"/>
        <v>-151.67033873471158</v>
      </c>
      <c r="FC108" s="26">
        <f t="shared" si="312"/>
        <v>-517.87300498597904</v>
      </c>
      <c r="FD108" s="26">
        <f t="shared" si="312"/>
        <v>-2489.3921340263146</v>
      </c>
      <c r="FM108" s="26">
        <f t="shared" si="313"/>
        <v>-2.222665717226695</v>
      </c>
      <c r="FN108" s="26">
        <f t="shared" si="313"/>
        <v>-3.7565239166430517</v>
      </c>
      <c r="FO108" s="26">
        <f t="shared" si="281"/>
        <v>-5.7288542335358104</v>
      </c>
      <c r="FP108" s="26">
        <f t="shared" ref="FP108:FP122" si="401">(AY108-$AC108)/BS108</f>
        <v>-8.4187178776300406</v>
      </c>
      <c r="FQ108" s="26">
        <f t="shared" ref="FQ108:FQ122" si="402">(AZ108-$AC108)/BT108</f>
        <v>-12.449637036360789</v>
      </c>
      <c r="FR108" s="26">
        <f t="shared" ref="FR108:FR122" si="403">(BA108-$AC108)/BU108</f>
        <v>-18.982813211784489</v>
      </c>
      <c r="FS108" s="26">
        <f t="shared" si="398"/>
        <v>-30.533254594351643</v>
      </c>
      <c r="FT108" s="26">
        <f t="shared" si="398"/>
        <v>-53.085079327820623</v>
      </c>
      <c r="FU108" s="26">
        <f t="shared" si="398"/>
        <v>-102.59561633976573</v>
      </c>
      <c r="FV108" s="26">
        <f t="shared" si="398"/>
        <v>-228.08049578133193</v>
      </c>
      <c r="FW108" s="26">
        <f t="shared" si="398"/>
        <v>-609.34516683467109</v>
      </c>
      <c r="GH108" s="26">
        <f t="shared" si="314"/>
        <v>1.4748759903802084</v>
      </c>
      <c r="GI108" s="26">
        <f t="shared" si="314"/>
        <v>1.8291238804179559</v>
      </c>
      <c r="GJ108" s="26">
        <f t="shared" si="282"/>
        <v>2.3025702477905448</v>
      </c>
      <c r="GK108" s="26">
        <f t="shared" ref="GK108:GK122" si="404">$W108/BS108</f>
        <v>2.9817688433730281</v>
      </c>
      <c r="GL108" s="26">
        <f t="shared" ref="GL108:GL122" si="405">$W108/BT108</f>
        <v>4.0552696359699514</v>
      </c>
      <c r="GM108" s="26">
        <f t="shared" ref="GM108:GM122" si="406">$W108/BU108</f>
        <v>5.8576130512143836</v>
      </c>
      <c r="GN108" s="26">
        <f t="shared" si="399"/>
        <v>9.113210756839603</v>
      </c>
      <c r="GO108" s="26">
        <f t="shared" si="399"/>
        <v>15.54574877481115</v>
      </c>
      <c r="GP108" s="26">
        <f t="shared" si="399"/>
        <v>29.751861506824223</v>
      </c>
      <c r="GQ108" s="26">
        <f t="shared" si="399"/>
        <v>65.851424285157691</v>
      </c>
      <c r="GR108" s="26">
        <f t="shared" si="399"/>
        <v>175.64147936376875</v>
      </c>
      <c r="GS108" s="26">
        <f t="shared" si="399"/>
        <v>599.72161648163103</v>
      </c>
      <c r="GT108" s="26">
        <f t="shared" si="315"/>
        <v>2882.834711022133</v>
      </c>
      <c r="HC108" s="26">
        <f t="shared" si="316"/>
        <v>-2.697541707606903</v>
      </c>
      <c r="HD108" s="26">
        <f t="shared" si="316"/>
        <v>-4.5856477970610072</v>
      </c>
      <c r="HE108" s="26">
        <f t="shared" si="283"/>
        <v>-7.0314244813263551</v>
      </c>
      <c r="HF108" s="26">
        <f t="shared" ref="HF108:HF122" si="407">(AX108-$V108)/BS108</f>
        <v>-10.400486721003068</v>
      </c>
      <c r="HG108" s="26">
        <f t="shared" ref="HG108:HG122" si="408">(AY108-$V108)/BT108</f>
        <v>-15.50490667233074</v>
      </c>
      <c r="HH108" s="26">
        <f t="shared" ref="HH108:HH122" si="409">(AZ108-$V108)/BU108</f>
        <v>-23.840426262998875</v>
      </c>
      <c r="HI108" s="26">
        <f t="shared" si="400"/>
        <v>-38.646465351191246</v>
      </c>
      <c r="HJ108" s="26">
        <f t="shared" si="400"/>
        <v>-67.630828102631781</v>
      </c>
      <c r="HK108" s="26">
        <f t="shared" si="400"/>
        <v>-131.34747784658995</v>
      </c>
      <c r="HL108" s="26">
        <f t="shared" si="400"/>
        <v>-292.93192006648962</v>
      </c>
      <c r="HM108" s="26">
        <f t="shared" si="400"/>
        <v>-783.98664619843976</v>
      </c>
      <c r="HN108" s="26">
        <f t="shared" si="400"/>
        <v>-2680.3091278889183</v>
      </c>
      <c r="HO108" s="26">
        <f t="shared" si="317"/>
        <v>-12888.931818410472</v>
      </c>
      <c r="HP108" s="26">
        <f t="shared" si="318"/>
        <v>1031889.3409120624</v>
      </c>
      <c r="HX108" s="26">
        <f t="shared" si="319"/>
        <v>672032.19421886071</v>
      </c>
      <c r="HY108" s="26">
        <f t="shared" si="320"/>
        <v>767547.23487185664</v>
      </c>
      <c r="HZ108" s="26">
        <f t="shared" si="321"/>
        <v>917472.14294509869</v>
      </c>
      <c r="IA108" s="26">
        <f t="shared" si="322"/>
        <v>1159308.4329424561</v>
      </c>
      <c r="IB108" s="26">
        <f t="shared" si="323"/>
        <v>1576684.3554234901</v>
      </c>
      <c r="IC108" s="26">
        <f t="shared" si="324"/>
        <v>2324370.0292920657</v>
      </c>
      <c r="ID108" s="26">
        <f t="shared" si="325"/>
        <v>3737720.0842731507</v>
      </c>
      <c r="IE108" s="26">
        <f t="shared" si="326"/>
        <v>6614856.8924555089</v>
      </c>
      <c r="IF108" s="26">
        <f t="shared" si="327"/>
        <v>13084316.320656277</v>
      </c>
      <c r="IG108" s="26">
        <f t="shared" si="328"/>
        <v>29684597.012418099</v>
      </c>
      <c r="IH108" s="26">
        <f t="shared" si="329"/>
        <v>80401517.408407494</v>
      </c>
      <c r="II108" s="26">
        <f t="shared" si="330"/>
        <v>38028133.839385331</v>
      </c>
      <c r="IR108" s="26">
        <f t="shared" si="331"/>
        <v>691057.32767863059</v>
      </c>
      <c r="IS108" s="26">
        <f t="shared" si="332"/>
        <v>788869.88719168748</v>
      </c>
      <c r="IT108" s="26">
        <f t="shared" si="333"/>
        <v>942738.06275889487</v>
      </c>
      <c r="IU108" s="26">
        <f t="shared" si="334"/>
        <v>1191280.4671460029</v>
      </c>
      <c r="IV108" s="26">
        <f t="shared" si="335"/>
        <v>1620608.371356453</v>
      </c>
      <c r="IW108" s="26">
        <f t="shared" si="336"/>
        <v>2390174.0263339244</v>
      </c>
      <c r="IX108" s="26">
        <f t="shared" si="337"/>
        <v>3845571.278403752</v>
      </c>
      <c r="IY108" s="26">
        <f t="shared" si="338"/>
        <v>6809525.0584266698</v>
      </c>
      <c r="IZ108" s="26">
        <f t="shared" si="339"/>
        <v>13476845.810275966</v>
      </c>
      <c r="JA108" s="26">
        <f t="shared" si="340"/>
        <v>30591780.594764106</v>
      </c>
      <c r="JB108" s="26">
        <f t="shared" si="341"/>
        <v>82903434.938313365</v>
      </c>
      <c r="JC108" s="26">
        <f t="shared" si="342"/>
        <v>39633871.680409476</v>
      </c>
      <c r="JI108" s="26">
        <f t="shared" si="343"/>
        <v>0</v>
      </c>
      <c r="JJ108" s="26">
        <f t="shared" si="344"/>
        <v>0</v>
      </c>
      <c r="JK108" s="26">
        <f t="shared" si="345"/>
        <v>1091385.9275911734</v>
      </c>
      <c r="JL108" s="26">
        <f t="shared" si="346"/>
        <v>1469402.8172712193</v>
      </c>
      <c r="JM108" s="26">
        <f t="shared" si="347"/>
        <v>1986236.4116675947</v>
      </c>
      <c r="JN108" s="26">
        <f t="shared" si="348"/>
        <v>2734764.401309845</v>
      </c>
      <c r="JO108" s="26">
        <f t="shared" si="349"/>
        <v>3921613.6023062794</v>
      </c>
      <c r="JP108" s="26">
        <f t="shared" si="350"/>
        <v>5928211.8035705276</v>
      </c>
      <c r="JQ108" s="26">
        <f t="shared" si="351"/>
        <v>9580898.8627680317</v>
      </c>
      <c r="JR108" s="26">
        <f t="shared" si="352"/>
        <v>16846276.167372957</v>
      </c>
      <c r="JS108" s="26">
        <f t="shared" si="353"/>
        <v>32969464.50087513</v>
      </c>
      <c r="JT108" s="26">
        <f t="shared" si="354"/>
        <v>74064333.808387905</v>
      </c>
      <c r="JU108" s="26">
        <f t="shared" si="355"/>
        <v>199250950.72934163</v>
      </c>
      <c r="JV108" s="26">
        <f t="shared" si="356"/>
        <v>437405071.09310907</v>
      </c>
      <c r="JW108" s="26">
        <f t="shared" si="357"/>
        <v>1912781557.6241679</v>
      </c>
      <c r="JY108" s="34">
        <f t="shared" si="358"/>
        <v>0.11256302793120361</v>
      </c>
      <c r="JZ108" s="4">
        <f t="shared" si="359"/>
        <v>0</v>
      </c>
      <c r="KA108" s="165"/>
    </row>
    <row r="109" spans="1:287" ht="15.75" x14ac:dyDescent="0.3">
      <c r="A109" s="34">
        <v>108</v>
      </c>
      <c r="B109" s="34">
        <v>81</v>
      </c>
      <c r="C109" s="2">
        <v>405299</v>
      </c>
      <c r="D109" s="1">
        <f t="shared" si="360"/>
        <v>27722</v>
      </c>
      <c r="E109" s="145">
        <f t="shared" si="361"/>
        <v>0.93160111423911729</v>
      </c>
      <c r="F109" s="146">
        <f t="shared" si="362"/>
        <v>6.8398885760882711E-2</v>
      </c>
      <c r="G109" s="158">
        <f t="shared" si="284"/>
        <v>8.5498607201103388E-2</v>
      </c>
      <c r="H109" s="43">
        <f t="shared" si="363"/>
        <v>27520.324672053594</v>
      </c>
      <c r="I109" s="43">
        <f t="shared" si="390"/>
        <v>321880.38580935425</v>
      </c>
      <c r="J109" s="43">
        <f t="shared" si="364"/>
        <v>391438</v>
      </c>
      <c r="K109" s="147">
        <f>SUM(J109:$J$138)</f>
        <v>3147082.5</v>
      </c>
      <c r="L109" s="147">
        <f t="shared" si="365"/>
        <v>7.7648415120688679</v>
      </c>
      <c r="M109" s="43">
        <f t="shared" si="285"/>
        <v>489297.5</v>
      </c>
      <c r="N109" s="148">
        <f t="shared" si="286"/>
        <v>3933853.125</v>
      </c>
      <c r="O109" s="147">
        <f t="shared" si="287"/>
        <v>9.7060518900860853</v>
      </c>
      <c r="P109" s="157">
        <f t="shared" si="288"/>
        <v>19839.292477126361</v>
      </c>
      <c r="Q109" s="43">
        <f t="shared" si="289"/>
        <v>506623.75</v>
      </c>
      <c r="R109" s="43">
        <f t="shared" si="290"/>
        <v>1667.3049712708671</v>
      </c>
      <c r="S109" s="43">
        <f>SUM(R109:$R$138)</f>
        <v>15929.489703278099</v>
      </c>
      <c r="T109" s="43">
        <f t="shared" si="366"/>
        <v>104379.60542525091</v>
      </c>
      <c r="U109" s="153">
        <f>SUM(P109:$P$138)</f>
        <v>123651.69649989734</v>
      </c>
      <c r="V109" s="129">
        <f t="shared" si="291"/>
        <v>28308.648121141709</v>
      </c>
      <c r="W109" s="43">
        <f t="shared" si="292"/>
        <v>6760.4784782803481</v>
      </c>
      <c r="X109" s="26">
        <f t="shared" si="367"/>
        <v>4.8057685771143825</v>
      </c>
      <c r="Y109" s="26">
        <f t="shared" si="368"/>
        <v>0.34076207536507752</v>
      </c>
      <c r="Z109" s="43">
        <f t="shared" si="293"/>
        <v>5903.8634844357603</v>
      </c>
      <c r="AA109" s="149">
        <f t="shared" si="369"/>
        <v>0.50534192337762784</v>
      </c>
      <c r="AB109" s="150">
        <f t="shared" si="370"/>
        <v>103812.40402277096</v>
      </c>
      <c r="AC109" s="150">
        <f t="shared" si="371"/>
        <v>21548.169642861361</v>
      </c>
      <c r="AD109" s="26">
        <f t="shared" si="372"/>
        <v>4.1465306524794592</v>
      </c>
      <c r="AE109" s="26">
        <f t="shared" si="294"/>
        <v>718104.45934558555</v>
      </c>
      <c r="AF109" s="43">
        <f t="shared" si="295"/>
        <v>149425.51806703318</v>
      </c>
      <c r="AG109" s="43">
        <f t="shared" si="296"/>
        <v>743701.97422247368</v>
      </c>
      <c r="AH109" s="27">
        <f t="shared" si="297"/>
        <v>158594.73567124389</v>
      </c>
      <c r="AI109" s="28">
        <f t="shared" si="298"/>
        <v>799679.54217470298</v>
      </c>
      <c r="AJ109" s="20">
        <f t="shared" si="299"/>
        <v>170531.9738400472</v>
      </c>
      <c r="AK109" s="3">
        <f t="shared" si="300"/>
        <v>14779.437732804092</v>
      </c>
      <c r="AL109" s="3"/>
      <c r="AM109" s="46">
        <f t="shared" si="373"/>
        <v>103812.40402277096</v>
      </c>
      <c r="AN109" s="46">
        <f t="shared" si="374"/>
        <v>86282.876870619526</v>
      </c>
      <c r="AO109" s="46">
        <f t="shared" si="374"/>
        <v>70930.687641563578</v>
      </c>
      <c r="AP109" s="3">
        <f t="shared" si="393"/>
        <v>57613.36985294702</v>
      </c>
      <c r="AQ109" s="3">
        <f t="shared" si="393"/>
        <v>46177.609845970153</v>
      </c>
      <c r="AR109" s="16">
        <f t="shared" si="393"/>
        <v>36463.671403968496</v>
      </c>
      <c r="AS109" s="16">
        <f t="shared" si="393"/>
        <v>28308.648121141709</v>
      </c>
      <c r="AT109" s="16">
        <f t="shared" si="393"/>
        <v>21548.169642861361</v>
      </c>
      <c r="AU109" s="16">
        <f t="shared" si="393"/>
        <v>16018.875426929008</v>
      </c>
      <c r="AV109" s="16">
        <f t="shared" si="393"/>
        <v>11560.444059796366</v>
      </c>
      <c r="AW109" s="16">
        <f t="shared" si="393"/>
        <v>8018.7396142307962</v>
      </c>
      <c r="AX109" s="16">
        <f t="shared" si="391"/>
        <v>5283.7780155303126</v>
      </c>
      <c r="AY109" s="16">
        <f t="shared" si="391"/>
        <v>3272.8085819586663</v>
      </c>
      <c r="AZ109" s="16">
        <f t="shared" si="391"/>
        <v>1880.5992961069639</v>
      </c>
      <c r="BA109" s="16">
        <f t="shared" si="391"/>
        <v>985.7419839674069</v>
      </c>
      <c r="BB109" s="16">
        <f t="shared" si="391"/>
        <v>461.1597717525529</v>
      </c>
      <c r="BC109" s="16">
        <f t="shared" si="391"/>
        <v>187.05849304915947</v>
      </c>
      <c r="BD109" s="16">
        <f t="shared" si="391"/>
        <v>63.21875273446355</v>
      </c>
      <c r="BE109" s="16">
        <f t="shared" si="391"/>
        <v>16.788813107634137</v>
      </c>
      <c r="BF109" s="16">
        <f t="shared" si="391"/>
        <v>3.1907985310217075</v>
      </c>
      <c r="BG109" s="16">
        <f t="shared" si="391"/>
        <v>0.36197756128412645</v>
      </c>
      <c r="BH109" s="172">
        <f t="shared" si="375"/>
        <v>17529.527152151433</v>
      </c>
      <c r="BI109" s="16">
        <f t="shared" si="392"/>
        <v>15352.18922905595</v>
      </c>
      <c r="BJ109" s="16">
        <f t="shared" si="392"/>
        <v>13317.317788616554</v>
      </c>
      <c r="BK109" s="16">
        <f t="shared" si="392"/>
        <v>11435.760006976861</v>
      </c>
      <c r="BL109" s="16">
        <f t="shared" si="392"/>
        <v>9713.938442001665</v>
      </c>
      <c r="BM109" s="16">
        <f t="shared" si="392"/>
        <v>8155.0232828267881</v>
      </c>
      <c r="BN109" s="16">
        <f t="shared" si="392"/>
        <v>6760.4784782803481</v>
      </c>
      <c r="BO109" s="16">
        <f t="shared" si="392"/>
        <v>5529.2942159323538</v>
      </c>
      <c r="BP109" s="16">
        <f t="shared" si="392"/>
        <v>4458.4313671326408</v>
      </c>
      <c r="BQ109" s="16">
        <f t="shared" si="392"/>
        <v>3541.7044455655696</v>
      </c>
      <c r="BR109" s="16">
        <f t="shared" si="392"/>
        <v>2734.9615987004836</v>
      </c>
      <c r="BS109" s="16">
        <f t="shared" si="392"/>
        <v>2010.9694335716461</v>
      </c>
      <c r="BT109" s="16">
        <f t="shared" si="392"/>
        <v>1392.2092858517024</v>
      </c>
      <c r="BU109" s="16">
        <f t="shared" si="392"/>
        <v>894.85731213955728</v>
      </c>
      <c r="BV109" s="16">
        <f t="shared" si="395"/>
        <v>524.58221221485394</v>
      </c>
      <c r="BW109" s="16">
        <f t="shared" si="395"/>
        <v>274.1012787033934</v>
      </c>
      <c r="BX109" s="16">
        <f t="shared" si="395"/>
        <v>123.83974031469592</v>
      </c>
      <c r="BY109" s="16">
        <f t="shared" si="395"/>
        <v>46.429939626829416</v>
      </c>
      <c r="BZ109" s="16">
        <f t="shared" si="395"/>
        <v>13.59801457661243</v>
      </c>
      <c r="CA109" s="16">
        <f t="shared" si="395"/>
        <v>2.8288209697375808</v>
      </c>
      <c r="CB109" s="16">
        <f t="shared" si="395"/>
        <v>0.34785677273892057</v>
      </c>
      <c r="CC109" s="18">
        <f t="shared" si="376"/>
        <v>4.3072328903271373</v>
      </c>
      <c r="CD109" s="18">
        <f t="shared" si="376"/>
        <v>3.7762841432252729</v>
      </c>
      <c r="CE109" s="18">
        <f t="shared" si="376"/>
        <v>3.2004972920939494</v>
      </c>
      <c r="CF109" s="18">
        <f t="shared" si="376"/>
        <v>2.562551305197621</v>
      </c>
      <c r="CG109" s="18">
        <f t="shared" si="280"/>
        <v>1.8395177024764373</v>
      </c>
      <c r="CH109" s="18">
        <f t="shared" si="280"/>
        <v>0.99999999999999989</v>
      </c>
      <c r="CI109" s="18">
        <f t="shared" si="280"/>
        <v>0</v>
      </c>
      <c r="CJ109" s="18">
        <f t="shared" si="280"/>
        <v>-1.222665717226695</v>
      </c>
      <c r="CK109" s="18">
        <f t="shared" si="396"/>
        <v>-2.7565239166430513</v>
      </c>
      <c r="CL109" s="18">
        <f t="shared" si="396"/>
        <v>-4.7288542335358104</v>
      </c>
      <c r="CM109" s="18">
        <f t="shared" si="396"/>
        <v>-7.4187178776300398</v>
      </c>
      <c r="CN109" s="18">
        <f t="shared" si="396"/>
        <v>-11.449637036360789</v>
      </c>
      <c r="CO109" s="18">
        <f t="shared" si="397"/>
        <v>-17.982813211784489</v>
      </c>
      <c r="CP109" s="18">
        <f t="shared" si="397"/>
        <v>-29.533254594351646</v>
      </c>
      <c r="CQ109" s="18">
        <f t="shared" si="397"/>
        <v>-52.085079327820623</v>
      </c>
      <c r="CR109" s="18">
        <f t="shared" si="397"/>
        <v>-101.59561633976573</v>
      </c>
      <c r="CS109" s="18">
        <f t="shared" si="397"/>
        <v>-227.08049578133193</v>
      </c>
      <c r="CT109" s="18">
        <f t="shared" si="397"/>
        <v>-608.34516683467098</v>
      </c>
      <c r="CU109" s="18">
        <f t="shared" si="397"/>
        <v>-2080.5875114072874</v>
      </c>
      <c r="CV109" s="18">
        <f t="shared" si="397"/>
        <v>-10006.097107388341</v>
      </c>
      <c r="CW109" s="18">
        <f t="shared" si="397"/>
        <v>-81379.143262583093</v>
      </c>
      <c r="CX109" s="17">
        <f t="shared" si="302"/>
        <v>1612.0431613314265</v>
      </c>
      <c r="CY109" s="17">
        <f t="shared" si="381"/>
        <v>1542.0121813997755</v>
      </c>
      <c r="CZ109" s="17">
        <f t="shared" si="381"/>
        <v>1456.0445403286262</v>
      </c>
      <c r="DA109" s="17">
        <f t="shared" si="381"/>
        <v>1358.2684445642358</v>
      </c>
      <c r="DB109" s="17">
        <f t="shared" si="381"/>
        <v>1251.7717337497472</v>
      </c>
      <c r="DC109" s="17">
        <f t="shared" si="381"/>
        <v>1138.1811861976653</v>
      </c>
      <c r="DD109" s="17">
        <f t="shared" si="381"/>
        <v>1019.9631172690445</v>
      </c>
      <c r="DE109" s="17">
        <f t="shared" si="381"/>
        <v>899.21679150201351</v>
      </c>
      <c r="DF109" s="3" t="e">
        <f>#REF!+$AG$35*0.004*(1+$R$28)*#REF!-S109*#REF!</f>
        <v>#REF!</v>
      </c>
      <c r="DG109" s="19">
        <f t="shared" si="303"/>
        <v>2526.5659552023549</v>
      </c>
      <c r="DH109" s="19">
        <f t="shared" si="304"/>
        <v>2343.8025681857953</v>
      </c>
      <c r="DI109" s="19">
        <f t="shared" si="305"/>
        <v>2135.5823781630224</v>
      </c>
      <c r="DJ109" s="19">
        <f t="shared" si="306"/>
        <v>1902.3559454583262</v>
      </c>
      <c r="DK109" s="19">
        <f t="shared" si="307"/>
        <v>1642.3428757053455</v>
      </c>
      <c r="DL109" s="19">
        <f t="shared" si="308"/>
        <v>1350.5037647897577</v>
      </c>
      <c r="DM109" s="19">
        <f t="shared" si="309"/>
        <v>1019.9631172690445</v>
      </c>
      <c r="DN109" s="19">
        <f t="shared" si="310"/>
        <v>639.61725366429175</v>
      </c>
      <c r="DO109" s="25"/>
      <c r="DP109" s="25"/>
      <c r="DW109" s="26">
        <f t="shared" si="394"/>
        <v>0</v>
      </c>
      <c r="DX109" s="26">
        <f t="shared" si="394"/>
        <v>0</v>
      </c>
      <c r="DY109" s="26">
        <f t="shared" si="394"/>
        <v>0</v>
      </c>
      <c r="DZ109" s="26">
        <f t="shared" si="394"/>
        <v>0</v>
      </c>
      <c r="EA109" s="26">
        <f t="shared" si="394"/>
        <v>0</v>
      </c>
      <c r="EB109" s="26">
        <f t="shared" si="394"/>
        <v>0</v>
      </c>
      <c r="EC109" s="26">
        <f t="shared" si="394"/>
        <v>0</v>
      </c>
      <c r="ED109" s="26">
        <f t="shared" si="394"/>
        <v>0</v>
      </c>
      <c r="EE109" s="26">
        <f t="shared" si="394"/>
        <v>0</v>
      </c>
      <c r="EF109" s="26">
        <f t="shared" si="394"/>
        <v>0</v>
      </c>
      <c r="EG109" s="26">
        <f t="shared" si="394"/>
        <v>0</v>
      </c>
      <c r="EH109" s="26">
        <f t="shared" si="394"/>
        <v>0</v>
      </c>
      <c r="EI109" s="26">
        <f t="shared" si="394"/>
        <v>0</v>
      </c>
      <c r="ER109" s="26">
        <f t="shared" si="312"/>
        <v>-1.3242019441992046</v>
      </c>
      <c r="ES109" s="26">
        <f t="shared" si="312"/>
        <v>-1.6669554377491205</v>
      </c>
      <c r="ET109" s="26">
        <f t="shared" si="312"/>
        <v>-2.1586641242937303</v>
      </c>
      <c r="EU109" s="26">
        <f t="shared" si="312"/>
        <v>-2.9358295486122912</v>
      </c>
      <c r="EV109" s="26">
        <f t="shared" si="312"/>
        <v>-4.2406436621516956</v>
      </c>
      <c r="EW109" s="26">
        <f t="shared" si="312"/>
        <v>-6.5975473456432177</v>
      </c>
      <c r="EX109" s="26">
        <f t="shared" si="312"/>
        <v>-11.25441036116891</v>
      </c>
      <c r="EY109" s="26">
        <f t="shared" si="312"/>
        <v>-21.538985561699498</v>
      </c>
      <c r="EZ109" s="26">
        <f t="shared" si="312"/>
        <v>-47.673416218680131</v>
      </c>
      <c r="FA109" s="26">
        <f t="shared" si="312"/>
        <v>-127.15638943075921</v>
      </c>
      <c r="FB109" s="26">
        <f t="shared" si="312"/>
        <v>-434.17099247635497</v>
      </c>
      <c r="FC109" s="26">
        <f t="shared" si="312"/>
        <v>-2087.0403421052974</v>
      </c>
      <c r="FD109" s="26">
        <f t="shared" si="312"/>
        <v>-16972.110210620591</v>
      </c>
      <c r="FM109" s="26">
        <f t="shared" si="313"/>
        <v>-2.2401882547063678</v>
      </c>
      <c r="FN109" s="26">
        <f t="shared" si="313"/>
        <v>-3.8200336127906547</v>
      </c>
      <c r="FO109" s="26">
        <f t="shared" si="281"/>
        <v>-5.9468446047136716</v>
      </c>
      <c r="FP109" s="26">
        <f t="shared" si="401"/>
        <v>-9.0878363220291014</v>
      </c>
      <c r="FQ109" s="26">
        <f t="shared" si="402"/>
        <v>-14.126877723504411</v>
      </c>
      <c r="FR109" s="26">
        <f t="shared" si="403"/>
        <v>-22.978442909216731</v>
      </c>
      <c r="FS109" s="26">
        <f t="shared" si="398"/>
        <v>-40.19772188248001</v>
      </c>
      <c r="FT109" s="26">
        <f t="shared" si="398"/>
        <v>-77.931453843844281</v>
      </c>
      <c r="FU109" s="26">
        <f t="shared" si="398"/>
        <v>-173.48995431943183</v>
      </c>
      <c r="FV109" s="26">
        <f t="shared" si="398"/>
        <v>-463.73915199562049</v>
      </c>
      <c r="FW109" s="26">
        <f t="shared" si="398"/>
        <v>-1584.4209257861876</v>
      </c>
      <c r="GH109" s="26">
        <f t="shared" si="314"/>
        <v>1.5163356619366841</v>
      </c>
      <c r="GI109" s="26">
        <f t="shared" si="314"/>
        <v>1.9088206207451557</v>
      </c>
      <c r="GJ109" s="26">
        <f t="shared" si="282"/>
        <v>2.4718732729163686</v>
      </c>
      <c r="GK109" s="26">
        <f t="shared" si="404"/>
        <v>3.3618007143316873</v>
      </c>
      <c r="GL109" s="26">
        <f t="shared" si="405"/>
        <v>4.85593548828008</v>
      </c>
      <c r="GM109" s="26">
        <f t="shared" si="406"/>
        <v>7.5548116851349132</v>
      </c>
      <c r="GN109" s="26">
        <f t="shared" si="399"/>
        <v>12.887357445340614</v>
      </c>
      <c r="GO109" s="26">
        <f t="shared" si="399"/>
        <v>24.664162495921449</v>
      </c>
      <c r="GP109" s="26">
        <f t="shared" si="399"/>
        <v>54.590541461900095</v>
      </c>
      <c r="GQ109" s="26">
        <f t="shared" si="399"/>
        <v>145.6060148390506</v>
      </c>
      <c r="GR109" s="26">
        <f t="shared" si="399"/>
        <v>497.1665856210999</v>
      </c>
      <c r="GS109" s="26">
        <f t="shared" si="399"/>
        <v>2389.8573117928677</v>
      </c>
      <c r="GT109" s="26">
        <f t="shared" si="315"/>
        <v>19434.661067687011</v>
      </c>
      <c r="HC109" s="26">
        <f t="shared" si="316"/>
        <v>-2.7565239166430513</v>
      </c>
      <c r="HD109" s="26">
        <f t="shared" si="316"/>
        <v>-4.7288542335358104</v>
      </c>
      <c r="HE109" s="26">
        <f t="shared" si="283"/>
        <v>-7.4187178776300398</v>
      </c>
      <c r="HF109" s="26">
        <f t="shared" si="407"/>
        <v>-11.449637036360789</v>
      </c>
      <c r="HG109" s="26">
        <f t="shared" si="408"/>
        <v>-17.982813211784489</v>
      </c>
      <c r="HH109" s="26">
        <f t="shared" si="409"/>
        <v>-29.533254594351646</v>
      </c>
      <c r="HI109" s="26">
        <f t="shared" si="400"/>
        <v>-52.085079327820623</v>
      </c>
      <c r="HJ109" s="26">
        <f t="shared" si="400"/>
        <v>-101.59561633976573</v>
      </c>
      <c r="HK109" s="26">
        <f t="shared" si="400"/>
        <v>-227.08049578133193</v>
      </c>
      <c r="HL109" s="26">
        <f t="shared" si="400"/>
        <v>-608.34516683467098</v>
      </c>
      <c r="HM109" s="26">
        <f t="shared" si="400"/>
        <v>-2080.5875114072874</v>
      </c>
      <c r="HN109" s="26">
        <f t="shared" si="400"/>
        <v>-10006.097107388341</v>
      </c>
      <c r="HO109" s="26">
        <f t="shared" si="317"/>
        <v>-81379.143262583093</v>
      </c>
      <c r="HP109" s="26">
        <f t="shared" si="318"/>
        <v>1031889.3409120624</v>
      </c>
      <c r="HX109" s="26">
        <f t="shared" si="319"/>
        <v>675892.56183941895</v>
      </c>
      <c r="HY109" s="26">
        <f t="shared" si="320"/>
        <v>778950.32651220995</v>
      </c>
      <c r="HZ109" s="26">
        <f t="shared" si="321"/>
        <v>952105.75261442806</v>
      </c>
      <c r="IA109" s="26">
        <f t="shared" si="322"/>
        <v>1258885.507771302</v>
      </c>
      <c r="IB109" s="26">
        <f t="shared" si="323"/>
        <v>1818390.5984693114</v>
      </c>
      <c r="IC109" s="26">
        <f t="shared" si="324"/>
        <v>2888732.8033315483</v>
      </c>
      <c r="ID109" s="26">
        <f t="shared" si="325"/>
        <v>5084234.2416668218</v>
      </c>
      <c r="IE109" s="26">
        <f t="shared" si="326"/>
        <v>10043274.001092751</v>
      </c>
      <c r="IF109" s="26">
        <f t="shared" si="327"/>
        <v>22798683.831310436</v>
      </c>
      <c r="IG109" s="26">
        <f t="shared" si="328"/>
        <v>61812912.762510277</v>
      </c>
      <c r="IH109" s="26">
        <f t="shared" si="329"/>
        <v>212844682.00519541</v>
      </c>
      <c r="II109" s="26">
        <f t="shared" si="330"/>
        <v>153299203.67527294</v>
      </c>
      <c r="IR109" s="26">
        <f t="shared" si="331"/>
        <v>695008.67115958582</v>
      </c>
      <c r="IS109" s="26">
        <f t="shared" si="332"/>
        <v>800561.86425137217</v>
      </c>
      <c r="IT109" s="26">
        <f t="shared" si="333"/>
        <v>978286.29579821322</v>
      </c>
      <c r="IU109" s="26">
        <f t="shared" si="334"/>
        <v>1293561.67569622</v>
      </c>
      <c r="IV109" s="26">
        <f t="shared" si="335"/>
        <v>1869026.186196039</v>
      </c>
      <c r="IW109" s="26">
        <f t="shared" si="336"/>
        <v>2970529.9349261629</v>
      </c>
      <c r="IX109" s="26">
        <f t="shared" si="337"/>
        <v>5230992.4254037617</v>
      </c>
      <c r="IY109" s="26">
        <f t="shared" si="338"/>
        <v>10338897.566580469</v>
      </c>
      <c r="IZ109" s="26">
        <f t="shared" si="339"/>
        <v>23482644.346249748</v>
      </c>
      <c r="JA109" s="26">
        <f t="shared" si="340"/>
        <v>63701868.976571597</v>
      </c>
      <c r="JB109" s="26">
        <f t="shared" si="341"/>
        <v>219468529.8144955</v>
      </c>
      <c r="JC109" s="26">
        <f t="shared" si="342"/>
        <v>159633715.70472938</v>
      </c>
      <c r="JI109" s="26">
        <f t="shared" si="343"/>
        <v>0</v>
      </c>
      <c r="JJ109" s="26">
        <f t="shared" si="344"/>
        <v>0</v>
      </c>
      <c r="JK109" s="26">
        <f t="shared" si="345"/>
        <v>1121586.0741084898</v>
      </c>
      <c r="JL109" s="26">
        <f t="shared" si="346"/>
        <v>1532361.195171834</v>
      </c>
      <c r="JM109" s="26">
        <f t="shared" si="347"/>
        <v>2126347.2236729143</v>
      </c>
      <c r="JN109" s="26">
        <f t="shared" si="348"/>
        <v>3065415.1329397149</v>
      </c>
      <c r="JO109" s="26">
        <f t="shared" si="349"/>
        <v>4651901.2816315368</v>
      </c>
      <c r="JP109" s="26">
        <f t="shared" si="350"/>
        <v>7540858.1549800877</v>
      </c>
      <c r="JQ109" s="26">
        <f t="shared" si="351"/>
        <v>13291259.103266388</v>
      </c>
      <c r="JR109" s="26">
        <f t="shared" si="352"/>
        <v>26061015.523746185</v>
      </c>
      <c r="JS109" s="26">
        <f t="shared" si="353"/>
        <v>58623789.890423775</v>
      </c>
      <c r="JT109" s="26">
        <f t="shared" si="354"/>
        <v>157844459.14168194</v>
      </c>
      <c r="JU109" s="26">
        <f t="shared" si="355"/>
        <v>541443467.83893931</v>
      </c>
      <c r="JV109" s="26">
        <f t="shared" si="356"/>
        <v>1708096579.3690391</v>
      </c>
      <c r="JW109" s="26">
        <f t="shared" si="357"/>
        <v>12593579681.120811</v>
      </c>
      <c r="JY109" s="34">
        <f t="shared" si="358"/>
        <v>0.11839888576088271</v>
      </c>
      <c r="JZ109" s="4">
        <f t="shared" si="359"/>
        <v>0</v>
      </c>
      <c r="KA109" s="165"/>
    </row>
    <row r="110" spans="1:287" ht="15.75" x14ac:dyDescent="0.3">
      <c r="A110" s="34">
        <v>109</v>
      </c>
      <c r="B110" s="34">
        <v>82</v>
      </c>
      <c r="C110" s="2">
        <v>377577</v>
      </c>
      <c r="D110" s="1">
        <f t="shared" si="360"/>
        <v>28260</v>
      </c>
      <c r="E110" s="145">
        <f t="shared" si="361"/>
        <v>0.92515433937978209</v>
      </c>
      <c r="F110" s="146">
        <f t="shared" si="362"/>
        <v>7.4845660620217913E-2</v>
      </c>
      <c r="G110" s="158">
        <f t="shared" si="284"/>
        <v>9.3557075775272391E-2</v>
      </c>
      <c r="H110" s="43">
        <f t="shared" si="363"/>
        <v>27539.466545036255</v>
      </c>
      <c r="I110" s="43">
        <f t="shared" si="390"/>
        <v>294360.06113730068</v>
      </c>
      <c r="J110" s="43">
        <f t="shared" si="364"/>
        <v>363447</v>
      </c>
      <c r="K110" s="147">
        <f>SUM(J110:$J$138)</f>
        <v>2755644.5</v>
      </c>
      <c r="L110" s="147">
        <f t="shared" si="365"/>
        <v>7.2982318838276692</v>
      </c>
      <c r="M110" s="43">
        <f t="shared" si="285"/>
        <v>454308.75</v>
      </c>
      <c r="N110" s="148">
        <f t="shared" si="286"/>
        <v>3444555.625</v>
      </c>
      <c r="O110" s="147">
        <f t="shared" si="287"/>
        <v>9.1227898547845871</v>
      </c>
      <c r="P110" s="157">
        <f t="shared" si="288"/>
        <v>17529.527152151433</v>
      </c>
      <c r="Q110" s="43">
        <f t="shared" si="289"/>
        <v>471971.25</v>
      </c>
      <c r="R110" s="43">
        <f t="shared" si="290"/>
        <v>1612.0431613314265</v>
      </c>
      <c r="S110" s="43">
        <f>SUM(R110:$R$138)</f>
        <v>14262.184732007232</v>
      </c>
      <c r="T110" s="43">
        <f t="shared" si="366"/>
        <v>88450.115721972819</v>
      </c>
      <c r="U110" s="153">
        <f>SUM(P110:$P$138)</f>
        <v>103812.40402277096</v>
      </c>
      <c r="V110" s="129">
        <f t="shared" si="291"/>
        <v>21548.169642861361</v>
      </c>
      <c r="W110" s="43">
        <f t="shared" si="292"/>
        <v>5529.2942159323538</v>
      </c>
      <c r="X110" s="26">
        <f t="shared" si="367"/>
        <v>4.6928952313361831</v>
      </c>
      <c r="Y110" s="26">
        <f t="shared" si="368"/>
        <v>0.31542745950530288</v>
      </c>
      <c r="Z110" s="43">
        <f t="shared" si="293"/>
        <v>4883.9003671667151</v>
      </c>
      <c r="AA110" s="149">
        <f t="shared" si="369"/>
        <v>0.53499927770096767</v>
      </c>
      <c r="AB110" s="150">
        <f t="shared" si="370"/>
        <v>86282.876870619526</v>
      </c>
      <c r="AC110" s="150">
        <f t="shared" si="371"/>
        <v>16018.875426929008</v>
      </c>
      <c r="AD110" s="26">
        <f t="shared" si="372"/>
        <v>4.008322690841486</v>
      </c>
      <c r="AE110" s="26">
        <f t="shared" si="294"/>
        <v>732743.53162913478</v>
      </c>
      <c r="AF110" s="43">
        <f t="shared" si="295"/>
        <v>156138.90690257421</v>
      </c>
      <c r="AG110" s="43">
        <f t="shared" si="296"/>
        <v>758684.99320703535</v>
      </c>
      <c r="AH110" s="27">
        <f t="shared" si="297"/>
        <v>165509.52617185115</v>
      </c>
      <c r="AI110" s="28">
        <f t="shared" si="298"/>
        <v>815790.31527638214</v>
      </c>
      <c r="AJ110" s="20">
        <f t="shared" si="299"/>
        <v>177967.23244285071</v>
      </c>
      <c r="AK110" s="3">
        <f t="shared" si="300"/>
        <v>15423.826811713729</v>
      </c>
      <c r="AL110" s="3"/>
      <c r="AM110" s="46">
        <f t="shared" si="373"/>
        <v>86282.876870619526</v>
      </c>
      <c r="AN110" s="46">
        <f t="shared" si="374"/>
        <v>70930.687641563578</v>
      </c>
      <c r="AO110" s="46">
        <f t="shared" si="374"/>
        <v>57613.36985294702</v>
      </c>
      <c r="AP110" s="3">
        <f t="shared" si="393"/>
        <v>46177.609845970153</v>
      </c>
      <c r="AQ110" s="3">
        <f t="shared" si="393"/>
        <v>36463.671403968496</v>
      </c>
      <c r="AR110" s="16">
        <f t="shared" si="393"/>
        <v>28308.648121141709</v>
      </c>
      <c r="AS110" s="16">
        <f t="shared" si="393"/>
        <v>21548.169642861361</v>
      </c>
      <c r="AT110" s="16">
        <f t="shared" si="393"/>
        <v>16018.875426929008</v>
      </c>
      <c r="AU110" s="16">
        <f t="shared" si="393"/>
        <v>11560.444059796366</v>
      </c>
      <c r="AV110" s="16">
        <f t="shared" si="393"/>
        <v>8018.7396142307962</v>
      </c>
      <c r="AW110" s="16">
        <f t="shared" si="393"/>
        <v>5283.7780155303126</v>
      </c>
      <c r="AX110" s="16">
        <f t="shared" si="391"/>
        <v>3272.8085819586663</v>
      </c>
      <c r="AY110" s="16">
        <f t="shared" si="391"/>
        <v>1880.5992961069639</v>
      </c>
      <c r="AZ110" s="16">
        <f t="shared" si="391"/>
        <v>985.7419839674069</v>
      </c>
      <c r="BA110" s="16">
        <f t="shared" si="391"/>
        <v>461.1597717525529</v>
      </c>
      <c r="BB110" s="16">
        <f t="shared" si="391"/>
        <v>187.05849304915947</v>
      </c>
      <c r="BC110" s="16">
        <f t="shared" si="391"/>
        <v>63.21875273446355</v>
      </c>
      <c r="BD110" s="16">
        <f t="shared" si="391"/>
        <v>16.788813107634137</v>
      </c>
      <c r="BE110" s="16">
        <f t="shared" si="391"/>
        <v>3.1907985310217075</v>
      </c>
      <c r="BF110" s="16">
        <f t="shared" si="391"/>
        <v>0.36197756128412645</v>
      </c>
      <c r="BG110" s="16">
        <f t="shared" si="391"/>
        <v>1.4120788545205874E-2</v>
      </c>
      <c r="BH110" s="172">
        <f t="shared" si="375"/>
        <v>15352.18922905595</v>
      </c>
      <c r="BI110" s="16">
        <f t="shared" ref="BI110:BX129" si="410">BH111</f>
        <v>13317.317788616554</v>
      </c>
      <c r="BJ110" s="16">
        <f t="shared" si="410"/>
        <v>11435.760006976861</v>
      </c>
      <c r="BK110" s="16">
        <f t="shared" si="410"/>
        <v>9713.938442001665</v>
      </c>
      <c r="BL110" s="16">
        <f t="shared" si="410"/>
        <v>8155.0232828267881</v>
      </c>
      <c r="BM110" s="16">
        <f t="shared" si="410"/>
        <v>6760.4784782803481</v>
      </c>
      <c r="BN110" s="16">
        <f t="shared" si="410"/>
        <v>5529.2942159323538</v>
      </c>
      <c r="BO110" s="16">
        <f t="shared" si="410"/>
        <v>4458.4313671326408</v>
      </c>
      <c r="BP110" s="16">
        <f t="shared" si="410"/>
        <v>3541.7044455655696</v>
      </c>
      <c r="BQ110" s="16">
        <f t="shared" si="410"/>
        <v>2734.9615987004836</v>
      </c>
      <c r="BR110" s="16">
        <f t="shared" si="410"/>
        <v>2010.9694335716461</v>
      </c>
      <c r="BS110" s="16">
        <f t="shared" si="410"/>
        <v>1392.2092858517024</v>
      </c>
      <c r="BT110" s="16">
        <f t="shared" si="410"/>
        <v>894.85731213955728</v>
      </c>
      <c r="BU110" s="16">
        <f t="shared" si="410"/>
        <v>524.58221221485394</v>
      </c>
      <c r="BV110" s="16">
        <f t="shared" si="395"/>
        <v>274.1012787033934</v>
      </c>
      <c r="BW110" s="16">
        <f t="shared" si="395"/>
        <v>123.83974031469592</v>
      </c>
      <c r="BX110" s="16">
        <f t="shared" si="395"/>
        <v>46.429939626829416</v>
      </c>
      <c r="BY110" s="16">
        <f t="shared" si="395"/>
        <v>13.59801457661243</v>
      </c>
      <c r="BZ110" s="16">
        <f t="shared" si="395"/>
        <v>2.8288209697375808</v>
      </c>
      <c r="CA110" s="16">
        <f t="shared" si="395"/>
        <v>0.34785677273892057</v>
      </c>
      <c r="CB110" s="16">
        <f t="shared" si="395"/>
        <v>1.4678782389600017E-2</v>
      </c>
      <c r="CC110" s="18">
        <f t="shared" si="376"/>
        <v>4.2166433895460056</v>
      </c>
      <c r="CD110" s="18">
        <f t="shared" si="376"/>
        <v>3.7081429445885612</v>
      </c>
      <c r="CE110" s="18">
        <f t="shared" si="376"/>
        <v>3.1537213257433336</v>
      </c>
      <c r="CF110" s="18">
        <f t="shared" si="376"/>
        <v>2.5354741900169611</v>
      </c>
      <c r="CG110" s="18">
        <f t="shared" si="280"/>
        <v>1.8289956072249192</v>
      </c>
      <c r="CH110" s="18">
        <f t="shared" si="280"/>
        <v>0.99999999999999989</v>
      </c>
      <c r="CI110" s="18">
        <f t="shared" si="280"/>
        <v>0</v>
      </c>
      <c r="CJ110" s="18">
        <f t="shared" si="280"/>
        <v>-1.2401882547063674</v>
      </c>
      <c r="CK110" s="18">
        <f t="shared" si="396"/>
        <v>-2.8200336127906547</v>
      </c>
      <c r="CL110" s="18">
        <f t="shared" si="396"/>
        <v>-4.9468446047136716</v>
      </c>
      <c r="CM110" s="18">
        <f t="shared" si="396"/>
        <v>-8.0878363220291032</v>
      </c>
      <c r="CN110" s="18">
        <f t="shared" si="396"/>
        <v>-13.126877723504411</v>
      </c>
      <c r="CO110" s="18">
        <f t="shared" si="397"/>
        <v>-21.978442909216731</v>
      </c>
      <c r="CP110" s="18">
        <f t="shared" si="397"/>
        <v>-39.19772188248001</v>
      </c>
      <c r="CQ110" s="18">
        <f t="shared" si="397"/>
        <v>-76.931453843844281</v>
      </c>
      <c r="CR110" s="18">
        <f t="shared" si="397"/>
        <v>-172.48995431943183</v>
      </c>
      <c r="CS110" s="18">
        <f t="shared" si="397"/>
        <v>-462.73915199562043</v>
      </c>
      <c r="CT110" s="18">
        <f t="shared" si="397"/>
        <v>-1583.4209257861878</v>
      </c>
      <c r="CU110" s="18">
        <f t="shared" si="397"/>
        <v>-7616.239795595473</v>
      </c>
      <c r="CV110" s="18">
        <f t="shared" si="397"/>
        <v>-61944.482194896082</v>
      </c>
      <c r="CW110" s="18">
        <f t="shared" si="397"/>
        <v>-1467979.7649524242</v>
      </c>
      <c r="CX110" s="17">
        <f t="shared" si="302"/>
        <v>1542.0121813997755</v>
      </c>
      <c r="CY110" s="17">
        <f t="shared" si="381"/>
        <v>1456.0445403286262</v>
      </c>
      <c r="CZ110" s="17">
        <f t="shared" si="381"/>
        <v>1358.2684445642358</v>
      </c>
      <c r="DA110" s="17">
        <f t="shared" si="381"/>
        <v>1251.7717337497472</v>
      </c>
      <c r="DB110" s="17">
        <f t="shared" si="381"/>
        <v>1138.1811861976653</v>
      </c>
      <c r="DC110" s="17">
        <f t="shared" si="381"/>
        <v>1019.9631172690445</v>
      </c>
      <c r="DD110" s="17">
        <f t="shared" si="381"/>
        <v>899.21679150201351</v>
      </c>
      <c r="DE110" s="17">
        <f t="shared" si="381"/>
        <v>779.24770980348092</v>
      </c>
      <c r="DF110" s="3" t="e">
        <f>#REF!+$AG$35*0.004*(1+$R$28)*#REF!-S110*#REF!</f>
        <v>#REF!</v>
      </c>
      <c r="DG110" s="19">
        <f t="shared" si="303"/>
        <v>2439.7601868770107</v>
      </c>
      <c r="DH110" s="19">
        <f t="shared" si="304"/>
        <v>2245.5298311127931</v>
      </c>
      <c r="DI110" s="19">
        <f t="shared" si="305"/>
        <v>2029.7141345261589</v>
      </c>
      <c r="DJ110" s="19">
        <f t="shared" si="306"/>
        <v>1791.5889975643688</v>
      </c>
      <c r="DK110" s="19">
        <f t="shared" si="307"/>
        <v>1527.5850334576971</v>
      </c>
      <c r="DL110" s="19">
        <f t="shared" si="308"/>
        <v>1232.8689578964381</v>
      </c>
      <c r="DM110" s="19">
        <f t="shared" si="309"/>
        <v>899.21679150201351</v>
      </c>
      <c r="DN110" s="19">
        <f t="shared" si="310"/>
        <v>515.20438689900152</v>
      </c>
      <c r="DO110" s="25"/>
      <c r="DP110" s="25"/>
      <c r="DW110" s="26">
        <f t="shared" si="394"/>
        <v>0</v>
      </c>
      <c r="DX110" s="26">
        <f t="shared" si="394"/>
        <v>0</v>
      </c>
      <c r="DY110" s="26">
        <f t="shared" si="394"/>
        <v>0</v>
      </c>
      <c r="DZ110" s="26">
        <f t="shared" si="394"/>
        <v>0</v>
      </c>
      <c r="EA110" s="26">
        <f t="shared" si="394"/>
        <v>0</v>
      </c>
      <c r="EB110" s="26">
        <f t="shared" si="394"/>
        <v>0</v>
      </c>
      <c r="EC110" s="26">
        <f t="shared" si="394"/>
        <v>0</v>
      </c>
      <c r="ED110" s="26">
        <f t="shared" si="394"/>
        <v>0</v>
      </c>
      <c r="EE110" s="26">
        <f t="shared" si="394"/>
        <v>0</v>
      </c>
      <c r="EF110" s="26">
        <f t="shared" si="394"/>
        <v>0</v>
      </c>
      <c r="EG110" s="26">
        <f t="shared" si="394"/>
        <v>0</v>
      </c>
      <c r="EH110" s="26">
        <f t="shared" si="394"/>
        <v>0</v>
      </c>
      <c r="EI110" s="26">
        <f t="shared" si="394"/>
        <v>0</v>
      </c>
      <c r="ER110" s="26">
        <f t="shared" si="312"/>
        <v>-1.3789689236439977</v>
      </c>
      <c r="ES110" s="26">
        <f t="shared" si="312"/>
        <v>-1.7857290462459507</v>
      </c>
      <c r="ET110" s="26">
        <f t="shared" si="312"/>
        <v>-2.4286298367511776</v>
      </c>
      <c r="EU110" s="26">
        <f t="shared" si="312"/>
        <v>-3.508021686681198</v>
      </c>
      <c r="EV110" s="26">
        <f t="shared" si="312"/>
        <v>-5.4577420343021652</v>
      </c>
      <c r="EW110" s="26">
        <f t="shared" si="312"/>
        <v>-9.3100761967247347</v>
      </c>
      <c r="EX110" s="26">
        <f t="shared" si="312"/>
        <v>-17.817867870844967</v>
      </c>
      <c r="EY110" s="26">
        <f t="shared" si="312"/>
        <v>-39.437262665086102</v>
      </c>
      <c r="EZ110" s="26">
        <f t="shared" si="312"/>
        <v>-105.18860042507069</v>
      </c>
      <c r="FA110" s="26">
        <f t="shared" si="312"/>
        <v>-359.16275421315248</v>
      </c>
      <c r="FB110" s="26">
        <f t="shared" si="312"/>
        <v>-1726.4791301443784</v>
      </c>
      <c r="FC110" s="26">
        <f t="shared" si="312"/>
        <v>-14039.974926209827</v>
      </c>
      <c r="FD110" s="26">
        <f t="shared" si="312"/>
        <v>-332718.35752718704</v>
      </c>
      <c r="FM110" s="26">
        <f t="shared" si="313"/>
        <v>-2.2588377815418421</v>
      </c>
      <c r="FN110" s="26">
        <f t="shared" si="313"/>
        <v>-3.9251364320798783</v>
      </c>
      <c r="FO110" s="26">
        <f t="shared" si="281"/>
        <v>-6.338269807677924</v>
      </c>
      <c r="FP110" s="26">
        <f t="shared" si="401"/>
        <v>-10.155280728624623</v>
      </c>
      <c r="FQ110" s="26">
        <f t="shared" si="402"/>
        <v>-16.799475445999498</v>
      </c>
      <c r="FR110" s="26">
        <f t="shared" si="403"/>
        <v>-29.657345012690705</v>
      </c>
      <c r="FS110" s="26">
        <f t="shared" si="398"/>
        <v>-57.75900429494731</v>
      </c>
      <c r="FT110" s="26">
        <f t="shared" si="398"/>
        <v>-128.84116708940729</v>
      </c>
      <c r="FU110" s="26">
        <f t="shared" si="398"/>
        <v>-344.65017061048707</v>
      </c>
      <c r="FV110" s="26">
        <f t="shared" si="398"/>
        <v>-1177.7958126286883</v>
      </c>
      <c r="FW110" s="26">
        <f t="shared" si="398"/>
        <v>-5662.6112506701693</v>
      </c>
      <c r="GH110" s="26">
        <f t="shared" si="314"/>
        <v>1.5611958312488126</v>
      </c>
      <c r="GI110" s="26">
        <f t="shared" si="314"/>
        <v>2.0217081726337938</v>
      </c>
      <c r="GJ110" s="26">
        <f t="shared" si="282"/>
        <v>2.7495665143511783</v>
      </c>
      <c r="GK110" s="26">
        <f t="shared" si="404"/>
        <v>3.971596994879786</v>
      </c>
      <c r="GL110" s="26">
        <f t="shared" si="405"/>
        <v>6.1789674632172353</v>
      </c>
      <c r="GM110" s="26">
        <f t="shared" si="406"/>
        <v>10.540376869789311</v>
      </c>
      <c r="GN110" s="26">
        <f t="shared" si="399"/>
        <v>20.172449548896981</v>
      </c>
      <c r="GO110" s="26">
        <f t="shared" si="399"/>
        <v>44.648787230024567</v>
      </c>
      <c r="GP110" s="26">
        <f t="shared" si="399"/>
        <v>119.08898138513335</v>
      </c>
      <c r="GQ110" s="26">
        <f t="shared" si="399"/>
        <v>406.6251131574993</v>
      </c>
      <c r="GR110" s="26">
        <f t="shared" si="399"/>
        <v>1954.6285449253037</v>
      </c>
      <c r="GS110" s="26">
        <f t="shared" si="399"/>
        <v>15895.318559981853</v>
      </c>
      <c r="GT110" s="26">
        <f t="shared" si="315"/>
        <v>376686.16300558305</v>
      </c>
      <c r="HC110" s="26">
        <f t="shared" si="316"/>
        <v>-2.8200336127906547</v>
      </c>
      <c r="HD110" s="26">
        <f t="shared" si="316"/>
        <v>-4.9468446047136716</v>
      </c>
      <c r="HE110" s="26">
        <f t="shared" si="283"/>
        <v>-8.0878363220291032</v>
      </c>
      <c r="HF110" s="26">
        <f t="shared" si="407"/>
        <v>-13.126877723504411</v>
      </c>
      <c r="HG110" s="26">
        <f t="shared" si="408"/>
        <v>-21.978442909216731</v>
      </c>
      <c r="HH110" s="26">
        <f t="shared" si="409"/>
        <v>-39.19772188248001</v>
      </c>
      <c r="HI110" s="26">
        <f t="shared" si="400"/>
        <v>-76.931453843844281</v>
      </c>
      <c r="HJ110" s="26">
        <f t="shared" si="400"/>
        <v>-172.48995431943183</v>
      </c>
      <c r="HK110" s="26">
        <f t="shared" si="400"/>
        <v>-462.73915199562043</v>
      </c>
      <c r="HL110" s="26">
        <f t="shared" si="400"/>
        <v>-1583.4209257861878</v>
      </c>
      <c r="HM110" s="26">
        <f t="shared" si="400"/>
        <v>-7616.239795595473</v>
      </c>
      <c r="HN110" s="26">
        <f t="shared" si="400"/>
        <v>-61944.482194896082</v>
      </c>
      <c r="HO110" s="26">
        <f t="shared" si="317"/>
        <v>-1467979.7649524242</v>
      </c>
      <c r="HP110" s="26">
        <f t="shared" si="318"/>
        <v>1031889.3409120624</v>
      </c>
      <c r="HX110" s="26">
        <f t="shared" si="319"/>
        <v>680033.87561827758</v>
      </c>
      <c r="HY110" s="26">
        <f t="shared" si="320"/>
        <v>797131.78540579521</v>
      </c>
      <c r="HZ110" s="26">
        <f t="shared" si="321"/>
        <v>1013336.1803275704</v>
      </c>
      <c r="IA110" s="26">
        <f t="shared" si="322"/>
        <v>1418358.8360126242</v>
      </c>
      <c r="IB110" s="26">
        <f t="shared" si="323"/>
        <v>2206667.270165449</v>
      </c>
      <c r="IC110" s="26">
        <f t="shared" si="324"/>
        <v>3841140.4430216393</v>
      </c>
      <c r="ID110" s="26">
        <f t="shared" si="325"/>
        <v>7556289.1144058136</v>
      </c>
      <c r="IE110" s="26">
        <f t="shared" si="326"/>
        <v>17144338.112441715</v>
      </c>
      <c r="IF110" s="26">
        <f t="shared" si="327"/>
        <v>46516707.738353252</v>
      </c>
      <c r="IG110" s="26">
        <f t="shared" si="328"/>
        <v>160292367.16397306</v>
      </c>
      <c r="IH110" s="26">
        <f t="shared" si="329"/>
        <v>773350429.34608459</v>
      </c>
      <c r="II110" s="26">
        <f t="shared" si="330"/>
        <v>1016382530.0700989</v>
      </c>
      <c r="IR110" s="26">
        <f t="shared" si="331"/>
        <v>699247.48283071094</v>
      </c>
      <c r="IS110" s="26">
        <f t="shared" si="332"/>
        <v>819207.77414443356</v>
      </c>
      <c r="IT110" s="26">
        <f t="shared" si="333"/>
        <v>1041138.7392000868</v>
      </c>
      <c r="IU110" s="26">
        <f t="shared" si="334"/>
        <v>1457366.4959750648</v>
      </c>
      <c r="IV110" s="26">
        <f t="shared" si="335"/>
        <v>2268081.0268766442</v>
      </c>
      <c r="IW110" s="26">
        <f t="shared" si="336"/>
        <v>3949917.8286404833</v>
      </c>
      <c r="IX110" s="26">
        <f t="shared" si="337"/>
        <v>7774457.0075265216</v>
      </c>
      <c r="IY110" s="26">
        <f t="shared" si="338"/>
        <v>17649033.776114747</v>
      </c>
      <c r="IZ110" s="26">
        <f t="shared" si="339"/>
        <v>47912208.970503852</v>
      </c>
      <c r="JA110" s="26">
        <f t="shared" si="340"/>
        <v>165191115.07632485</v>
      </c>
      <c r="JB110" s="26">
        <f t="shared" si="341"/>
        <v>797424026.94611228</v>
      </c>
      <c r="JC110" s="26">
        <f t="shared" si="342"/>
        <v>1057618142.541294</v>
      </c>
      <c r="JI110" s="26">
        <f t="shared" si="343"/>
        <v>0</v>
      </c>
      <c r="JJ110" s="26">
        <f t="shared" si="344"/>
        <v>0</v>
      </c>
      <c r="JK110" s="26">
        <f t="shared" si="345"/>
        <v>1155153.075624973</v>
      </c>
      <c r="JL110" s="26">
        <f t="shared" si="346"/>
        <v>1618947.9303411129</v>
      </c>
      <c r="JM110" s="26">
        <f t="shared" si="347"/>
        <v>2348672.733154424</v>
      </c>
      <c r="JN110" s="26">
        <f t="shared" si="348"/>
        <v>3579545.8001252036</v>
      </c>
      <c r="JO110" s="26">
        <f t="shared" si="349"/>
        <v>5821263.8675966151</v>
      </c>
      <c r="JP110" s="26">
        <f t="shared" si="350"/>
        <v>10286885.072563644</v>
      </c>
      <c r="JQ110" s="26">
        <f t="shared" si="351"/>
        <v>20211713.042391352</v>
      </c>
      <c r="JR110" s="26">
        <f t="shared" si="352"/>
        <v>45534919.433071829</v>
      </c>
      <c r="JS110" s="26">
        <f t="shared" si="353"/>
        <v>122721731.2552081</v>
      </c>
      <c r="JT110" s="26">
        <f t="shared" si="354"/>
        <v>421177587.20174801</v>
      </c>
      <c r="JU110" s="26">
        <f t="shared" si="355"/>
        <v>2028716555.9163935</v>
      </c>
      <c r="JV110" s="26">
        <f t="shared" si="356"/>
        <v>11071979583.946629</v>
      </c>
      <c r="JW110" s="26">
        <f t="shared" si="357"/>
        <v>237323477959.65762</v>
      </c>
      <c r="JY110" s="34">
        <f t="shared" si="358"/>
        <v>0.12484566062021792</v>
      </c>
      <c r="JZ110" s="4">
        <f t="shared" si="359"/>
        <v>0</v>
      </c>
      <c r="KA110" s="165"/>
    </row>
    <row r="111" spans="1:287" ht="15.75" x14ac:dyDescent="0.3">
      <c r="A111" s="34">
        <v>110</v>
      </c>
      <c r="B111" s="34">
        <v>83</v>
      </c>
      <c r="C111" s="2">
        <v>349317</v>
      </c>
      <c r="D111" s="1">
        <f t="shared" si="360"/>
        <v>28556</v>
      </c>
      <c r="E111" s="145">
        <f t="shared" si="361"/>
        <v>0.9182519029992815</v>
      </c>
      <c r="F111" s="146">
        <f t="shared" si="362"/>
        <v>8.17480970007185E-2</v>
      </c>
      <c r="G111" s="158">
        <f t="shared" si="284"/>
        <v>0.10218512125089813</v>
      </c>
      <c r="H111" s="43">
        <f t="shared" si="363"/>
        <v>27265.094810647275</v>
      </c>
      <c r="I111" s="43">
        <f t="shared" si="390"/>
        <v>266820.59459226445</v>
      </c>
      <c r="J111" s="43">
        <f t="shared" si="364"/>
        <v>335039</v>
      </c>
      <c r="K111" s="147">
        <f>SUM(J111:$J$138)</f>
        <v>2392197.5</v>
      </c>
      <c r="L111" s="147">
        <f t="shared" si="365"/>
        <v>6.8482138000727133</v>
      </c>
      <c r="M111" s="43">
        <f t="shared" si="285"/>
        <v>418798.75</v>
      </c>
      <c r="N111" s="148">
        <f t="shared" si="286"/>
        <v>2990246.875</v>
      </c>
      <c r="O111" s="147">
        <f t="shared" si="287"/>
        <v>8.5602672500908916</v>
      </c>
      <c r="P111" s="157">
        <f t="shared" si="288"/>
        <v>15352.18922905595</v>
      </c>
      <c r="Q111" s="43">
        <f t="shared" si="289"/>
        <v>436646.25</v>
      </c>
      <c r="R111" s="43">
        <f t="shared" si="290"/>
        <v>1542.0121813997755</v>
      </c>
      <c r="S111" s="43">
        <f>SUM(R111:$R$138)</f>
        <v>12650.141570675805</v>
      </c>
      <c r="T111" s="43">
        <f t="shared" si="366"/>
        <v>74187.930989965578</v>
      </c>
      <c r="U111" s="153">
        <f>SUM(P111:$P$138)</f>
        <v>86282.876870619526</v>
      </c>
      <c r="V111" s="129">
        <f t="shared" si="291"/>
        <v>16018.875426929008</v>
      </c>
      <c r="W111" s="43">
        <f t="shared" si="292"/>
        <v>4458.4313671326408</v>
      </c>
      <c r="X111" s="26">
        <f t="shared" si="367"/>
        <v>4.5768066296829542</v>
      </c>
      <c r="Y111" s="26">
        <f t="shared" si="368"/>
        <v>0.2904101363403272</v>
      </c>
      <c r="Z111" s="43">
        <f t="shared" si="293"/>
        <v>3984.6835756647001</v>
      </c>
      <c r="AA111" s="149">
        <f t="shared" si="369"/>
        <v>0.56444444930437909</v>
      </c>
      <c r="AB111" s="150">
        <f t="shared" si="370"/>
        <v>70930.687641563578</v>
      </c>
      <c r="AC111" s="150">
        <f t="shared" si="371"/>
        <v>11560.444059796366</v>
      </c>
      <c r="AD111" s="26">
        <f t="shared" si="372"/>
        <v>3.8672167660232817</v>
      </c>
      <c r="AE111" s="26">
        <f t="shared" si="294"/>
        <v>747739.02179103601</v>
      </c>
      <c r="AF111" s="43">
        <f t="shared" si="295"/>
        <v>163375.70762582854</v>
      </c>
      <c r="AG111" s="43">
        <f t="shared" si="296"/>
        <v>774032.4100594027</v>
      </c>
      <c r="AH111" s="27">
        <f t="shared" si="297"/>
        <v>172963.4309168031</v>
      </c>
      <c r="AI111" s="28">
        <f t="shared" si="298"/>
        <v>832292.91404236853</v>
      </c>
      <c r="AJ111" s="20">
        <f t="shared" si="299"/>
        <v>185982.18378150873</v>
      </c>
      <c r="AK111" s="3">
        <f t="shared" si="300"/>
        <v>16118.455927730756</v>
      </c>
      <c r="AL111" s="3"/>
      <c r="AM111" s="46">
        <f t="shared" si="373"/>
        <v>70930.687641563578</v>
      </c>
      <c r="AN111" s="46">
        <f t="shared" si="374"/>
        <v>57613.36985294702</v>
      </c>
      <c r="AO111" s="46">
        <f t="shared" si="374"/>
        <v>46177.609845970153</v>
      </c>
      <c r="AP111" s="3">
        <f t="shared" si="393"/>
        <v>36463.671403968496</v>
      </c>
      <c r="AQ111" s="3">
        <f t="shared" si="393"/>
        <v>28308.648121141709</v>
      </c>
      <c r="AR111" s="16">
        <f t="shared" si="393"/>
        <v>21548.169642861361</v>
      </c>
      <c r="AS111" s="16">
        <f t="shared" si="393"/>
        <v>16018.875426929008</v>
      </c>
      <c r="AT111" s="16">
        <f t="shared" si="393"/>
        <v>11560.444059796366</v>
      </c>
      <c r="AU111" s="16">
        <f t="shared" si="393"/>
        <v>8018.7396142307962</v>
      </c>
      <c r="AV111" s="16">
        <f t="shared" si="393"/>
        <v>5283.7780155303126</v>
      </c>
      <c r="AW111" s="16">
        <f t="shared" si="393"/>
        <v>3272.8085819586663</v>
      </c>
      <c r="AX111" s="16">
        <f t="shared" si="391"/>
        <v>1880.5992961069639</v>
      </c>
      <c r="AY111" s="16">
        <f t="shared" si="391"/>
        <v>985.7419839674069</v>
      </c>
      <c r="AZ111" s="16">
        <f t="shared" si="391"/>
        <v>461.1597717525529</v>
      </c>
      <c r="BA111" s="16">
        <f t="shared" si="391"/>
        <v>187.05849304915947</v>
      </c>
      <c r="BB111" s="16">
        <f t="shared" si="391"/>
        <v>63.21875273446355</v>
      </c>
      <c r="BC111" s="16">
        <f t="shared" si="391"/>
        <v>16.788813107634137</v>
      </c>
      <c r="BD111" s="16">
        <f t="shared" si="391"/>
        <v>3.1907985310217075</v>
      </c>
      <c r="BE111" s="16">
        <f t="shared" si="391"/>
        <v>0.36197756128412645</v>
      </c>
      <c r="BF111" s="16">
        <f t="shared" si="391"/>
        <v>1.4120788545205874E-2</v>
      </c>
      <c r="BG111" s="16">
        <f t="shared" si="391"/>
        <v>-5.5799384439414316E-4</v>
      </c>
      <c r="BH111" s="172">
        <f t="shared" si="375"/>
        <v>13317.317788616554</v>
      </c>
      <c r="BI111" s="16">
        <f t="shared" si="410"/>
        <v>11435.760006976861</v>
      </c>
      <c r="BJ111" s="16">
        <f t="shared" si="410"/>
        <v>9713.938442001665</v>
      </c>
      <c r="BK111" s="16">
        <f t="shared" si="410"/>
        <v>8155.0232828267881</v>
      </c>
      <c r="BL111" s="16">
        <f t="shared" si="410"/>
        <v>6760.4784782803481</v>
      </c>
      <c r="BM111" s="16">
        <f t="shared" si="410"/>
        <v>5529.2942159323538</v>
      </c>
      <c r="BN111" s="16">
        <f t="shared" si="410"/>
        <v>4458.4313671326408</v>
      </c>
      <c r="BO111" s="16">
        <f t="shared" si="410"/>
        <v>3541.7044455655696</v>
      </c>
      <c r="BP111" s="16">
        <f t="shared" si="410"/>
        <v>2734.9615987004836</v>
      </c>
      <c r="BQ111" s="16">
        <f t="shared" si="410"/>
        <v>2010.9694335716461</v>
      </c>
      <c r="BR111" s="16">
        <f t="shared" si="410"/>
        <v>1392.2092858517024</v>
      </c>
      <c r="BS111" s="16">
        <f t="shared" si="410"/>
        <v>894.85731213955728</v>
      </c>
      <c r="BT111" s="16">
        <f t="shared" si="410"/>
        <v>524.58221221485394</v>
      </c>
      <c r="BU111" s="16">
        <f t="shared" si="410"/>
        <v>274.1012787033934</v>
      </c>
      <c r="BV111" s="16">
        <f t="shared" si="395"/>
        <v>123.83974031469592</v>
      </c>
      <c r="BW111" s="16">
        <f t="shared" si="395"/>
        <v>46.429939626829416</v>
      </c>
      <c r="BX111" s="16">
        <f t="shared" si="395"/>
        <v>13.59801457661243</v>
      </c>
      <c r="BY111" s="16">
        <f t="shared" si="395"/>
        <v>2.8288209697375808</v>
      </c>
      <c r="BZ111" s="16">
        <f t="shared" si="395"/>
        <v>0.34785677273892057</v>
      </c>
      <c r="CA111" s="16">
        <f t="shared" si="395"/>
        <v>1.4678782389600017E-2</v>
      </c>
      <c r="CB111" s="16">
        <f t="shared" si="395"/>
        <v>-5.9093326850241602E-4</v>
      </c>
      <c r="CC111" s="18">
        <f t="shared" si="376"/>
        <v>4.1233387297832884</v>
      </c>
      <c r="CD111" s="18">
        <f t="shared" si="376"/>
        <v>3.6372304421080504</v>
      </c>
      <c r="CE111" s="18">
        <f t="shared" si="376"/>
        <v>3.1046865902134133</v>
      </c>
      <c r="CF111" s="18">
        <f t="shared" si="376"/>
        <v>2.5070187132504027</v>
      </c>
      <c r="CG111" s="18">
        <f t="shared" si="280"/>
        <v>1.8178850407846916</v>
      </c>
      <c r="CH111" s="18">
        <f t="shared" si="280"/>
        <v>1</v>
      </c>
      <c r="CI111" s="18">
        <f t="shared" si="280"/>
        <v>0</v>
      </c>
      <c r="CJ111" s="18">
        <f t="shared" si="280"/>
        <v>-1.2588377815418421</v>
      </c>
      <c r="CK111" s="18">
        <f t="shared" si="396"/>
        <v>-2.9251364320798778</v>
      </c>
      <c r="CL111" s="18">
        <f t="shared" si="396"/>
        <v>-5.3382698076779249</v>
      </c>
      <c r="CM111" s="18">
        <f t="shared" si="396"/>
        <v>-9.1552807286246232</v>
      </c>
      <c r="CN111" s="18">
        <f t="shared" si="396"/>
        <v>-15.799475445999498</v>
      </c>
      <c r="CO111" s="18">
        <f t="shared" si="397"/>
        <v>-28.657345012690701</v>
      </c>
      <c r="CP111" s="18">
        <f t="shared" si="397"/>
        <v>-56.759004294947303</v>
      </c>
      <c r="CQ111" s="18">
        <f t="shared" si="397"/>
        <v>-127.84116708940729</v>
      </c>
      <c r="CR111" s="18">
        <f t="shared" si="397"/>
        <v>-343.65017061048712</v>
      </c>
      <c r="CS111" s="18">
        <f t="shared" si="397"/>
        <v>-1176.7958126286883</v>
      </c>
      <c r="CT111" s="18">
        <f t="shared" si="397"/>
        <v>-5661.6112506701693</v>
      </c>
      <c r="CU111" s="18">
        <f t="shared" si="397"/>
        <v>-46049.163634914228</v>
      </c>
      <c r="CV111" s="18">
        <f t="shared" si="397"/>
        <v>-1091293.6019468412</v>
      </c>
      <c r="CW111" s="18">
        <f t="shared" si="397"/>
        <v>27107757.912359539</v>
      </c>
      <c r="CX111" s="17">
        <f t="shared" si="302"/>
        <v>1456.0445403286262</v>
      </c>
      <c r="CY111" s="17">
        <f t="shared" si="381"/>
        <v>1358.2684445642358</v>
      </c>
      <c r="CZ111" s="17">
        <f t="shared" si="381"/>
        <v>1251.7717337497472</v>
      </c>
      <c r="DA111" s="17">
        <f t="shared" si="381"/>
        <v>1138.1811861976653</v>
      </c>
      <c r="DB111" s="17">
        <f t="shared" si="381"/>
        <v>1019.9631172690445</v>
      </c>
      <c r="DC111" s="17">
        <f t="shared" si="381"/>
        <v>899.21679150201351</v>
      </c>
      <c r="DD111" s="17">
        <f t="shared" si="381"/>
        <v>779.24770980348092</v>
      </c>
      <c r="DE111" s="17">
        <f t="shared" si="381"/>
        <v>698.89373581017753</v>
      </c>
      <c r="DF111" s="3" t="e">
        <f>#REF!+$AG$35*0.004*(1+$R$28)*#REF!-S111*#REF!</f>
        <v>#REF!</v>
      </c>
      <c r="DG111" s="19">
        <f t="shared" si="303"/>
        <v>2336.2469100269391</v>
      </c>
      <c r="DH111" s="19">
        <f t="shared" si="304"/>
        <v>2134.702073738963</v>
      </c>
      <c r="DI111" s="19">
        <f t="shared" si="305"/>
        <v>1914.5240985112152</v>
      </c>
      <c r="DJ111" s="19">
        <f t="shared" si="306"/>
        <v>1673.3503675074426</v>
      </c>
      <c r="DK111" s="19">
        <f t="shared" si="307"/>
        <v>1408.024061469449</v>
      </c>
      <c r="DL111" s="19">
        <f t="shared" si="308"/>
        <v>1112.6851547341009</v>
      </c>
      <c r="DM111" s="19">
        <f t="shared" si="309"/>
        <v>779.24770980348092</v>
      </c>
      <c r="DN111" s="19">
        <f t="shared" si="310"/>
        <v>430.17169500972841</v>
      </c>
      <c r="DO111" s="25"/>
      <c r="DP111" s="25"/>
      <c r="DW111" s="26">
        <f t="shared" si="394"/>
        <v>0</v>
      </c>
      <c r="DX111" s="26">
        <f t="shared" si="394"/>
        <v>0</v>
      </c>
      <c r="DY111" s="26">
        <f t="shared" si="394"/>
        <v>0</v>
      </c>
      <c r="DZ111" s="26">
        <f t="shared" si="394"/>
        <v>0</v>
      </c>
      <c r="EA111" s="26">
        <f t="shared" si="394"/>
        <v>0</v>
      </c>
      <c r="EB111" s="26">
        <f t="shared" si="394"/>
        <v>0</v>
      </c>
      <c r="EC111" s="26">
        <f t="shared" si="394"/>
        <v>0</v>
      </c>
      <c r="ED111" s="26">
        <f t="shared" si="394"/>
        <v>0</v>
      </c>
      <c r="EE111" s="26">
        <f t="shared" si="394"/>
        <v>0</v>
      </c>
      <c r="EF111" s="26">
        <f t="shared" si="394"/>
        <v>0</v>
      </c>
      <c r="EG111" s="26">
        <f t="shared" si="394"/>
        <v>0</v>
      </c>
      <c r="EH111" s="26">
        <f t="shared" si="394"/>
        <v>0</v>
      </c>
      <c r="EI111" s="26">
        <f t="shared" si="394"/>
        <v>0</v>
      </c>
      <c r="ER111" s="26">
        <f t="shared" si="312"/>
        <v>-1.4569431532632933</v>
      </c>
      <c r="ES111" s="26">
        <f t="shared" si="312"/>
        <v>-1.9814739643195751</v>
      </c>
      <c r="ET111" s="26">
        <f t="shared" si="312"/>
        <v>-2.8621297215576447</v>
      </c>
      <c r="EU111" s="26">
        <f t="shared" si="312"/>
        <v>-4.4528703309553661</v>
      </c>
      <c r="EV111" s="26">
        <f t="shared" si="312"/>
        <v>-7.5959182047764271</v>
      </c>
      <c r="EW111" s="26">
        <f t="shared" si="312"/>
        <v>-14.537267372534039</v>
      </c>
      <c r="EX111" s="26">
        <f t="shared" si="312"/>
        <v>-32.176129936472762</v>
      </c>
      <c r="EY111" s="26">
        <f t="shared" si="312"/>
        <v>-85.821424875645576</v>
      </c>
      <c r="EZ111" s="26">
        <f t="shared" si="312"/>
        <v>-293.0342185776193</v>
      </c>
      <c r="FA111" s="26">
        <f t="shared" si="312"/>
        <v>-1408.6022474707349</v>
      </c>
      <c r="FB111" s="26">
        <f t="shared" si="312"/>
        <v>-11454.954705324519</v>
      </c>
      <c r="FC111" s="26">
        <f t="shared" si="312"/>
        <v>-271458.72660990374</v>
      </c>
      <c r="FD111" s="26">
        <f t="shared" si="312"/>
        <v>6743034.76899001</v>
      </c>
      <c r="FM111" s="26">
        <f t="shared" si="313"/>
        <v>-2.2949741039319931</v>
      </c>
      <c r="FN111" s="26">
        <f t="shared" si="313"/>
        <v>-4.121214047056986</v>
      </c>
      <c r="FO111" s="26">
        <f t="shared" si="281"/>
        <v>-6.9528661114823906</v>
      </c>
      <c r="FP111" s="26">
        <f t="shared" si="401"/>
        <v>-11.81719357083354</v>
      </c>
      <c r="FQ111" s="26">
        <f t="shared" si="402"/>
        <v>-21.158331391339402</v>
      </c>
      <c r="FR111" s="26">
        <f t="shared" si="403"/>
        <v>-41.493369241281115</v>
      </c>
      <c r="FS111" s="26">
        <f t="shared" si="398"/>
        <v>-92.839546318860783</v>
      </c>
      <c r="FT111" s="26">
        <f t="shared" si="398"/>
        <v>-248.62524783509005</v>
      </c>
      <c r="FU111" s="26">
        <f t="shared" si="398"/>
        <v>-849.92211150758419</v>
      </c>
      <c r="FV111" s="26">
        <f t="shared" si="398"/>
        <v>-4086.5371848920745</v>
      </c>
      <c r="FW111" s="26">
        <f t="shared" si="398"/>
        <v>-33233.304178568782</v>
      </c>
      <c r="GH111" s="26">
        <f t="shared" si="314"/>
        <v>1.6301623281478845</v>
      </c>
      <c r="GI111" s="26">
        <f t="shared" si="314"/>
        <v>2.2170557606209371</v>
      </c>
      <c r="GJ111" s="26">
        <f t="shared" si="282"/>
        <v>3.202414617142233</v>
      </c>
      <c r="GK111" s="26">
        <f t="shared" si="404"/>
        <v>4.9822818751659561</v>
      </c>
      <c r="GL111" s="26">
        <f t="shared" si="405"/>
        <v>8.4990136213512972</v>
      </c>
      <c r="GM111" s="26">
        <f t="shared" si="406"/>
        <v>16.265635053666188</v>
      </c>
      <c r="GN111" s="26">
        <f t="shared" si="399"/>
        <v>36.001620770546495</v>
      </c>
      <c r="GO111" s="26">
        <f t="shared" si="399"/>
        <v>96.02492277539703</v>
      </c>
      <c r="GP111" s="26">
        <f t="shared" si="399"/>
        <v>327.87370112110409</v>
      </c>
      <c r="GQ111" s="26">
        <f t="shared" si="399"/>
        <v>1576.0740657780946</v>
      </c>
      <c r="GR111" s="26">
        <f t="shared" si="399"/>
        <v>12816.859456345441</v>
      </c>
      <c r="GS111" s="26">
        <f t="shared" si="399"/>
        <v>303733.05147513183</v>
      </c>
      <c r="GT111" s="26">
        <f t="shared" si="315"/>
        <v>-7544728.998642277</v>
      </c>
      <c r="HC111" s="26">
        <f t="shared" si="316"/>
        <v>-2.9251364320798778</v>
      </c>
      <c r="HD111" s="26">
        <f t="shared" si="316"/>
        <v>-5.3382698076779249</v>
      </c>
      <c r="HE111" s="26">
        <f t="shared" si="283"/>
        <v>-9.1552807286246232</v>
      </c>
      <c r="HF111" s="26">
        <f t="shared" si="407"/>
        <v>-15.799475445999498</v>
      </c>
      <c r="HG111" s="26">
        <f t="shared" si="408"/>
        <v>-28.657345012690701</v>
      </c>
      <c r="HH111" s="26">
        <f t="shared" si="409"/>
        <v>-56.759004294947303</v>
      </c>
      <c r="HI111" s="26">
        <f t="shared" si="400"/>
        <v>-127.84116708940729</v>
      </c>
      <c r="HJ111" s="26">
        <f t="shared" si="400"/>
        <v>-343.65017061048712</v>
      </c>
      <c r="HK111" s="26">
        <f t="shared" si="400"/>
        <v>-1176.7958126286883</v>
      </c>
      <c r="HL111" s="26">
        <f t="shared" si="400"/>
        <v>-5661.6112506701693</v>
      </c>
      <c r="HM111" s="26">
        <f t="shared" si="400"/>
        <v>-46049.163634914228</v>
      </c>
      <c r="HN111" s="26">
        <f t="shared" si="400"/>
        <v>-1091293.6019468412</v>
      </c>
      <c r="HO111" s="26">
        <f t="shared" si="317"/>
        <v>27107757.912359539</v>
      </c>
      <c r="HP111" s="26">
        <f t="shared" si="318"/>
        <v>1031889.3409120624</v>
      </c>
      <c r="HX111" s="26">
        <f t="shared" si="319"/>
        <v>687613.02397217671</v>
      </c>
      <c r="HY111" s="26">
        <f t="shared" si="320"/>
        <v>830783.09130101546</v>
      </c>
      <c r="HZ111" s="26">
        <f t="shared" si="321"/>
        <v>1110855.2130400748</v>
      </c>
      <c r="IA111" s="26">
        <f t="shared" si="322"/>
        <v>1670574.8675421253</v>
      </c>
      <c r="IB111" s="26">
        <f t="shared" si="323"/>
        <v>2849746.142525252</v>
      </c>
      <c r="IC111" s="26">
        <f t="shared" si="324"/>
        <v>5554662.7730450602</v>
      </c>
      <c r="ID111" s="26">
        <f t="shared" si="325"/>
        <v>12569327.586909609</v>
      </c>
      <c r="IE111" s="26">
        <f t="shared" si="326"/>
        <v>34106608.378641859</v>
      </c>
      <c r="IF111" s="26">
        <f t="shared" si="327"/>
        <v>117605513.29854645</v>
      </c>
      <c r="IG111" s="26">
        <f t="shared" si="328"/>
        <v>567643100.18280363</v>
      </c>
      <c r="IH111" s="26">
        <f t="shared" si="329"/>
        <v>4621483843.8529053</v>
      </c>
      <c r="II111" s="26">
        <f t="shared" si="330"/>
        <v>19258000539.953949</v>
      </c>
      <c r="IR111" s="26">
        <f t="shared" si="331"/>
        <v>707009.75082958187</v>
      </c>
      <c r="IS111" s="26">
        <f t="shared" si="332"/>
        <v>853723.18797466217</v>
      </c>
      <c r="IT111" s="26">
        <f t="shared" si="333"/>
        <v>1141240.5175618457</v>
      </c>
      <c r="IU111" s="26">
        <f t="shared" si="334"/>
        <v>1716427.641582547</v>
      </c>
      <c r="IV111" s="26">
        <f t="shared" si="335"/>
        <v>2928997.7960700523</v>
      </c>
      <c r="IW111" s="26">
        <f t="shared" si="336"/>
        <v>5711953.0539647676</v>
      </c>
      <c r="IX111" s="26">
        <f t="shared" si="337"/>
        <v>12932247.971985869</v>
      </c>
      <c r="IY111" s="26">
        <f t="shared" si="338"/>
        <v>35110611.943529159</v>
      </c>
      <c r="IZ111" s="26">
        <f t="shared" si="339"/>
        <v>121133678.69750285</v>
      </c>
      <c r="JA111" s="26">
        <f t="shared" si="340"/>
        <v>584994110.68393838</v>
      </c>
      <c r="JB111" s="26">
        <f t="shared" si="341"/>
        <v>4765407187.3305635</v>
      </c>
      <c r="JC111" s="26">
        <f t="shared" si="342"/>
        <v>20025023073.026356</v>
      </c>
      <c r="JI111" s="26">
        <f t="shared" si="343"/>
        <v>0</v>
      </c>
      <c r="JJ111" s="26">
        <f t="shared" si="344"/>
        <v>0</v>
      </c>
      <c r="JK111" s="26">
        <f t="shared" si="345"/>
        <v>1201710.6603220575</v>
      </c>
      <c r="JL111" s="26">
        <f t="shared" si="346"/>
        <v>1756534.728664665</v>
      </c>
      <c r="JM111" s="26">
        <f t="shared" si="347"/>
        <v>2689587.3411283502</v>
      </c>
      <c r="JN111" s="26">
        <f t="shared" si="348"/>
        <v>4388444.846292045</v>
      </c>
      <c r="JO111" s="26">
        <f t="shared" si="349"/>
        <v>7775545.9727434823</v>
      </c>
      <c r="JP111" s="26">
        <f t="shared" si="350"/>
        <v>15311071.487778392</v>
      </c>
      <c r="JQ111" s="26">
        <f t="shared" si="351"/>
        <v>34552826.395653166</v>
      </c>
      <c r="JR111" s="26">
        <f t="shared" si="352"/>
        <v>93228944.505328134</v>
      </c>
      <c r="JS111" s="26">
        <f t="shared" si="353"/>
        <v>320154125.20037282</v>
      </c>
      <c r="JT111" s="26">
        <f t="shared" si="354"/>
        <v>1542489359.1732175</v>
      </c>
      <c r="JU111" s="26">
        <f t="shared" si="355"/>
        <v>12553270646.185406</v>
      </c>
      <c r="JV111" s="26">
        <f t="shared" si="356"/>
        <v>204585282035.90808</v>
      </c>
      <c r="JW111" s="26">
        <f t="shared" si="357"/>
        <v>-4584481033594.375</v>
      </c>
      <c r="JY111" s="34">
        <f t="shared" si="358"/>
        <v>0.13174809700071849</v>
      </c>
      <c r="JZ111" s="4">
        <f t="shared" si="359"/>
        <v>0</v>
      </c>
      <c r="KA111" s="165"/>
    </row>
    <row r="112" spans="1:287" ht="15.75" x14ac:dyDescent="0.3">
      <c r="A112" s="34">
        <v>111</v>
      </c>
      <c r="B112" s="34">
        <v>84</v>
      </c>
      <c r="C112" s="2">
        <v>320761</v>
      </c>
      <c r="D112" s="1">
        <f t="shared" si="360"/>
        <v>28543</v>
      </c>
      <c r="E112" s="145">
        <f t="shared" si="361"/>
        <v>0.91101474306415053</v>
      </c>
      <c r="F112" s="146">
        <f t="shared" si="362"/>
        <v>8.8985256935849466E-2</v>
      </c>
      <c r="G112" s="158">
        <f t="shared" si="284"/>
        <v>0.11123157116981183</v>
      </c>
      <c r="H112" s="43">
        <f t="shared" si="363"/>
        <v>26646.134623078793</v>
      </c>
      <c r="I112" s="43">
        <f t="shared" si="390"/>
        <v>239555.49978161717</v>
      </c>
      <c r="J112" s="43">
        <f t="shared" si="364"/>
        <v>306489.5</v>
      </c>
      <c r="K112" s="147">
        <f>SUM(J112:$J$138)</f>
        <v>2057158.5</v>
      </c>
      <c r="L112" s="147">
        <f t="shared" si="365"/>
        <v>6.4133685204872162</v>
      </c>
      <c r="M112" s="43">
        <f t="shared" si="285"/>
        <v>383111.875</v>
      </c>
      <c r="N112" s="148">
        <f t="shared" si="286"/>
        <v>2571448.125</v>
      </c>
      <c r="O112" s="147">
        <f t="shared" si="287"/>
        <v>8.0167106506090207</v>
      </c>
      <c r="P112" s="157">
        <f t="shared" si="288"/>
        <v>13317.317788616554</v>
      </c>
      <c r="Q112" s="43">
        <f t="shared" si="289"/>
        <v>400951.25</v>
      </c>
      <c r="R112" s="43">
        <f t="shared" si="290"/>
        <v>1456.0445403286262</v>
      </c>
      <c r="S112" s="43">
        <f>SUM(R112:$R$138)</f>
        <v>11108.12938927603</v>
      </c>
      <c r="T112" s="43">
        <f t="shared" si="366"/>
        <v>61537.789419289766</v>
      </c>
      <c r="U112" s="153">
        <f>SUM(P112:$P$138)</f>
        <v>70930.687641563578</v>
      </c>
      <c r="V112" s="129">
        <f t="shared" si="291"/>
        <v>11560.444059796366</v>
      </c>
      <c r="W112" s="43">
        <f t="shared" si="292"/>
        <v>3541.7044455655696</v>
      </c>
      <c r="X112" s="26">
        <f t="shared" si="367"/>
        <v>4.4581232140090563</v>
      </c>
      <c r="Y112" s="26">
        <f t="shared" si="368"/>
        <v>0.26594728020930508</v>
      </c>
      <c r="Z112" s="43">
        <f t="shared" si="293"/>
        <v>3205.4358658612191</v>
      </c>
      <c r="AA112" s="149">
        <f t="shared" si="369"/>
        <v>0.59341480385561696</v>
      </c>
      <c r="AB112" s="150">
        <f t="shared" si="370"/>
        <v>57613.36985294702</v>
      </c>
      <c r="AC112" s="150">
        <f t="shared" si="371"/>
        <v>8018.7396142307962</v>
      </c>
      <c r="AD112" s="26">
        <f t="shared" si="372"/>
        <v>3.7240704942183611</v>
      </c>
      <c r="AE112" s="26">
        <f t="shared" si="294"/>
        <v>763004.75222511415</v>
      </c>
      <c r="AF112" s="43">
        <f t="shared" si="295"/>
        <v>171149.31902901959</v>
      </c>
      <c r="AG112" s="43">
        <f t="shared" si="296"/>
        <v>789655.98528026778</v>
      </c>
      <c r="AH112" s="27">
        <f t="shared" si="297"/>
        <v>180970.25066208988</v>
      </c>
      <c r="AI112" s="28">
        <f t="shared" si="298"/>
        <v>849092.45729061053</v>
      </c>
      <c r="AJ112" s="20">
        <f t="shared" si="299"/>
        <v>194591.66737859129</v>
      </c>
      <c r="AK112" s="3">
        <f t="shared" si="300"/>
        <v>16864.611172811245</v>
      </c>
      <c r="AL112" s="3"/>
      <c r="AM112" s="46">
        <f t="shared" si="373"/>
        <v>57613.36985294702</v>
      </c>
      <c r="AN112" s="46">
        <f t="shared" si="374"/>
        <v>46177.609845970153</v>
      </c>
      <c r="AO112" s="46">
        <f t="shared" si="374"/>
        <v>36463.671403968496</v>
      </c>
      <c r="AP112" s="3">
        <f t="shared" si="393"/>
        <v>28308.648121141709</v>
      </c>
      <c r="AQ112" s="3">
        <f t="shared" si="393"/>
        <v>21548.169642861361</v>
      </c>
      <c r="AR112" s="16">
        <f t="shared" si="393"/>
        <v>16018.875426929008</v>
      </c>
      <c r="AS112" s="16">
        <f t="shared" si="393"/>
        <v>11560.444059796366</v>
      </c>
      <c r="AT112" s="16">
        <f t="shared" si="393"/>
        <v>8018.7396142307962</v>
      </c>
      <c r="AU112" s="16">
        <f t="shared" si="393"/>
        <v>5283.7780155303126</v>
      </c>
      <c r="AV112" s="16">
        <f t="shared" si="393"/>
        <v>3272.8085819586663</v>
      </c>
      <c r="AW112" s="16">
        <f t="shared" si="393"/>
        <v>1880.5992961069639</v>
      </c>
      <c r="AX112" s="16">
        <f t="shared" si="391"/>
        <v>985.7419839674069</v>
      </c>
      <c r="AY112" s="16">
        <f t="shared" si="391"/>
        <v>461.1597717525529</v>
      </c>
      <c r="AZ112" s="16">
        <f t="shared" si="391"/>
        <v>187.05849304915947</v>
      </c>
      <c r="BA112" s="16">
        <f t="shared" si="391"/>
        <v>63.21875273446355</v>
      </c>
      <c r="BB112" s="16">
        <f t="shared" si="391"/>
        <v>16.788813107634137</v>
      </c>
      <c r="BC112" s="16">
        <f t="shared" si="391"/>
        <v>3.1907985310217075</v>
      </c>
      <c r="BD112" s="16">
        <f t="shared" si="391"/>
        <v>0.36197756128412645</v>
      </c>
      <c r="BE112" s="16">
        <f t="shared" si="391"/>
        <v>1.4120788545205874E-2</v>
      </c>
      <c r="BF112" s="16">
        <f t="shared" si="391"/>
        <v>-5.5799384439414316E-4</v>
      </c>
      <c r="BG112" s="16">
        <f t="shared" si="391"/>
        <v>3.2939424108272912E-5</v>
      </c>
      <c r="BH112" s="172">
        <f t="shared" si="375"/>
        <v>11435.760006976861</v>
      </c>
      <c r="BI112" s="16">
        <f t="shared" si="410"/>
        <v>9713.938442001665</v>
      </c>
      <c r="BJ112" s="16">
        <f t="shared" si="410"/>
        <v>8155.0232828267881</v>
      </c>
      <c r="BK112" s="16">
        <f t="shared" si="410"/>
        <v>6760.4784782803481</v>
      </c>
      <c r="BL112" s="16">
        <f t="shared" si="410"/>
        <v>5529.2942159323538</v>
      </c>
      <c r="BM112" s="16">
        <f t="shared" si="410"/>
        <v>4458.4313671326408</v>
      </c>
      <c r="BN112" s="16">
        <f t="shared" si="410"/>
        <v>3541.7044455655696</v>
      </c>
      <c r="BO112" s="16">
        <f t="shared" si="410"/>
        <v>2734.9615987004836</v>
      </c>
      <c r="BP112" s="16">
        <f t="shared" si="410"/>
        <v>2010.9694335716461</v>
      </c>
      <c r="BQ112" s="16">
        <f t="shared" si="410"/>
        <v>1392.2092858517024</v>
      </c>
      <c r="BR112" s="16">
        <f t="shared" si="410"/>
        <v>894.85731213955728</v>
      </c>
      <c r="BS112" s="16">
        <f t="shared" si="410"/>
        <v>524.58221221485394</v>
      </c>
      <c r="BT112" s="16">
        <f t="shared" si="410"/>
        <v>274.1012787033934</v>
      </c>
      <c r="BU112" s="16">
        <f t="shared" si="410"/>
        <v>123.83974031469592</v>
      </c>
      <c r="BV112" s="16">
        <f t="shared" si="395"/>
        <v>46.429939626829416</v>
      </c>
      <c r="BW112" s="16">
        <f t="shared" si="395"/>
        <v>13.59801457661243</v>
      </c>
      <c r="BX112" s="16">
        <f t="shared" si="395"/>
        <v>2.8288209697375808</v>
      </c>
      <c r="BY112" s="16">
        <f t="shared" si="395"/>
        <v>0.34785677273892057</v>
      </c>
      <c r="BZ112" s="16">
        <f t="shared" si="395"/>
        <v>1.4678782389600017E-2</v>
      </c>
      <c r="CA112" s="16">
        <f t="shared" si="395"/>
        <v>-5.9093326850241602E-4</v>
      </c>
      <c r="CB112" s="16">
        <f t="shared" si="395"/>
        <v>3.2939424108272912E-5</v>
      </c>
      <c r="CC112" s="18">
        <f t="shared" si="376"/>
        <v>4.0270979598255083</v>
      </c>
      <c r="CD112" s="18">
        <f t="shared" si="376"/>
        <v>3.563659167994536</v>
      </c>
      <c r="CE112" s="18">
        <f t="shared" si="376"/>
        <v>3.0537285401274645</v>
      </c>
      <c r="CF112" s="18">
        <f t="shared" si="376"/>
        <v>2.4773696292581877</v>
      </c>
      <c r="CG112" s="18">
        <f t="shared" si="280"/>
        <v>1.8063291973658988</v>
      </c>
      <c r="CH112" s="18">
        <f t="shared" si="280"/>
        <v>1.0000000000000002</v>
      </c>
      <c r="CI112" s="18">
        <f t="shared" si="280"/>
        <v>0</v>
      </c>
      <c r="CJ112" s="18">
        <f t="shared" si="280"/>
        <v>-1.2949741039319929</v>
      </c>
      <c r="CK112" s="18">
        <f t="shared" si="396"/>
        <v>-3.1212140470569865</v>
      </c>
      <c r="CL112" s="18">
        <f t="shared" si="396"/>
        <v>-5.9528661114823906</v>
      </c>
      <c r="CM112" s="18">
        <f t="shared" si="396"/>
        <v>-10.81719357083354</v>
      </c>
      <c r="CN112" s="18">
        <f t="shared" si="396"/>
        <v>-20.158331391339402</v>
      </c>
      <c r="CO112" s="18">
        <f t="shared" si="397"/>
        <v>-40.493369241281115</v>
      </c>
      <c r="CP112" s="18">
        <f t="shared" si="397"/>
        <v>-91.839546318860783</v>
      </c>
      <c r="CQ112" s="18">
        <f t="shared" si="397"/>
        <v>-247.62524783509005</v>
      </c>
      <c r="CR112" s="18">
        <f t="shared" si="397"/>
        <v>-848.92211150758408</v>
      </c>
      <c r="CS112" s="18">
        <f t="shared" si="397"/>
        <v>-4085.5371848920749</v>
      </c>
      <c r="CT112" s="18">
        <f t="shared" si="397"/>
        <v>-33232.304178568782</v>
      </c>
      <c r="CU112" s="18">
        <f t="shared" si="397"/>
        <v>-787560.55047170923</v>
      </c>
      <c r="CV112" s="18">
        <f t="shared" si="397"/>
        <v>19563028.913717262</v>
      </c>
      <c r="CW112" s="18">
        <f t="shared" si="397"/>
        <v>-350960720.77208763</v>
      </c>
      <c r="CX112" s="17">
        <f t="shared" si="302"/>
        <v>1358.2684445642358</v>
      </c>
      <c r="CY112" s="17">
        <f t="shared" si="381"/>
        <v>1251.7717337497472</v>
      </c>
      <c r="CZ112" s="17">
        <f t="shared" si="381"/>
        <v>1138.1811861976653</v>
      </c>
      <c r="DA112" s="17">
        <f t="shared" si="381"/>
        <v>1019.9631172690445</v>
      </c>
      <c r="DB112" s="17">
        <f t="shared" si="381"/>
        <v>899.21679150201351</v>
      </c>
      <c r="DC112" s="17">
        <f t="shared" si="381"/>
        <v>779.24770980348092</v>
      </c>
      <c r="DD112" s="17">
        <f t="shared" si="381"/>
        <v>698.89373581017753</v>
      </c>
      <c r="DE112" s="17">
        <f t="shared" si="381"/>
        <v>642.46184480361489</v>
      </c>
      <c r="DF112" s="3" t="e">
        <f>#REF!+$AG$35*0.004*(1+$R$28)*#REF!-S112*#REF!</f>
        <v>#REF!</v>
      </c>
      <c r="DG112" s="19">
        <f t="shared" si="303"/>
        <v>2220.1154102962887</v>
      </c>
      <c r="DH112" s="19">
        <f t="shared" si="304"/>
        <v>2014.4372739176308</v>
      </c>
      <c r="DI112" s="19">
        <f t="shared" si="305"/>
        <v>1791.7154937147993</v>
      </c>
      <c r="DJ112" s="19">
        <f t="shared" si="306"/>
        <v>1550.1497477590121</v>
      </c>
      <c r="DK112" s="19">
        <f t="shared" si="307"/>
        <v>1285.7927708781071</v>
      </c>
      <c r="DL112" s="19">
        <f t="shared" si="308"/>
        <v>993.25962963505026</v>
      </c>
      <c r="DM112" s="19">
        <f t="shared" si="309"/>
        <v>698.89373581017753</v>
      </c>
      <c r="DN112" s="19">
        <f t="shared" si="310"/>
        <v>365.32195068896294</v>
      </c>
      <c r="DO112" s="25"/>
      <c r="DP112" s="25"/>
      <c r="DW112" s="26">
        <f t="shared" si="394"/>
        <v>0</v>
      </c>
      <c r="DX112" s="26">
        <f t="shared" si="394"/>
        <v>0</v>
      </c>
      <c r="DY112" s="26">
        <f t="shared" si="394"/>
        <v>0</v>
      </c>
      <c r="DZ112" s="26">
        <f t="shared" si="394"/>
        <v>0</v>
      </c>
      <c r="EA112" s="26">
        <f t="shared" si="394"/>
        <v>0</v>
      </c>
      <c r="EB112" s="26">
        <f t="shared" si="394"/>
        <v>0</v>
      </c>
      <c r="EC112" s="26">
        <f t="shared" si="394"/>
        <v>0</v>
      </c>
      <c r="ED112" s="26">
        <f t="shared" si="394"/>
        <v>0</v>
      </c>
      <c r="EE112" s="26">
        <f t="shared" si="394"/>
        <v>0</v>
      </c>
      <c r="EF112" s="26">
        <f t="shared" si="394"/>
        <v>0</v>
      </c>
      <c r="EG112" s="26">
        <f t="shared" si="394"/>
        <v>0</v>
      </c>
      <c r="EH112" s="26">
        <f t="shared" si="394"/>
        <v>0</v>
      </c>
      <c r="EI112" s="26">
        <f t="shared" si="394"/>
        <v>0</v>
      </c>
      <c r="ER112" s="26">
        <f t="shared" si="312"/>
        <v>-1.5939754291382258</v>
      </c>
      <c r="ES112" s="26">
        <f t="shared" si="312"/>
        <v>-2.3024094857263155</v>
      </c>
      <c r="ET112" s="26">
        <f t="shared" si="312"/>
        <v>-3.5820636680022075</v>
      </c>
      <c r="EU112" s="26">
        <f t="shared" si="312"/>
        <v>-6.1104547413597086</v>
      </c>
      <c r="EV112" s="26">
        <f t="shared" si="312"/>
        <v>-11.694348457709458</v>
      </c>
      <c r="EW112" s="26">
        <f t="shared" si="312"/>
        <v>-25.883741824035734</v>
      </c>
      <c r="EX112" s="26">
        <f t="shared" si="312"/>
        <v>-69.038122634322065</v>
      </c>
      <c r="EY112" s="26">
        <f t="shared" si="312"/>
        <v>-235.72822692618152</v>
      </c>
      <c r="EZ112" s="26">
        <f t="shared" si="312"/>
        <v>-1133.1349350675152</v>
      </c>
      <c r="FA112" s="26">
        <f t="shared" si="312"/>
        <v>-9214.8151683883352</v>
      </c>
      <c r="FB112" s="26">
        <f t="shared" si="312"/>
        <v>-218372.05435597198</v>
      </c>
      <c r="FC112" s="26">
        <f t="shared" si="312"/>
        <v>5424361.8302023448</v>
      </c>
      <c r="FD112" s="26">
        <f t="shared" si="312"/>
        <v>-97313051.233830065</v>
      </c>
      <c r="FM112" s="26">
        <f t="shared" si="313"/>
        <v>-2.3600214667823014</v>
      </c>
      <c r="FN112" s="26">
        <f t="shared" si="313"/>
        <v>-4.4089206849160929</v>
      </c>
      <c r="FO112" s="26">
        <f t="shared" si="281"/>
        <v>-7.859350909753263</v>
      </c>
      <c r="FP112" s="26">
        <f t="shared" si="401"/>
        <v>-14.406854953333557</v>
      </c>
      <c r="FQ112" s="26">
        <f t="shared" si="402"/>
        <v>-28.572216657392339</v>
      </c>
      <c r="FR112" s="26">
        <f t="shared" si="403"/>
        <v>-64.2404517425515</v>
      </c>
      <c r="FS112" s="26">
        <f t="shared" si="398"/>
        <v>-172.34463075845258</v>
      </c>
      <c r="FT112" s="26">
        <f t="shared" si="398"/>
        <v>-589.46464357274044</v>
      </c>
      <c r="FU112" s="26">
        <f t="shared" si="398"/>
        <v>-2834.5299057272427</v>
      </c>
      <c r="FV112" s="26">
        <f t="shared" si="398"/>
        <v>-23051.802126217626</v>
      </c>
      <c r="FW112" s="26">
        <f t="shared" si="398"/>
        <v>-546281.01700764732</v>
      </c>
      <c r="GH112" s="26">
        <f t="shared" si="314"/>
        <v>1.7611925802746853</v>
      </c>
      <c r="GI112" s="26">
        <f t="shared" si="314"/>
        <v>2.5439454265662977</v>
      </c>
      <c r="GJ112" s="26">
        <f t="shared" si="282"/>
        <v>3.957842661080277</v>
      </c>
      <c r="GK112" s="26">
        <f t="shared" si="404"/>
        <v>6.751476438005847</v>
      </c>
      <c r="GL112" s="26">
        <f t="shared" si="405"/>
        <v>12.921152583888777</v>
      </c>
      <c r="GM112" s="26">
        <f t="shared" si="406"/>
        <v>28.59909457630928</v>
      </c>
      <c r="GN112" s="26">
        <f t="shared" si="399"/>
        <v>76.280617076637441</v>
      </c>
      <c r="GO112" s="26">
        <f t="shared" si="399"/>
        <v>260.45746793484375</v>
      </c>
      <c r="GP112" s="26">
        <f t="shared" si="399"/>
        <v>1252.0072791648317</v>
      </c>
      <c r="GQ112" s="26">
        <f t="shared" si="399"/>
        <v>10181.502052351156</v>
      </c>
      <c r="GR112" s="26">
        <f t="shared" si="399"/>
        <v>241280.53346406191</v>
      </c>
      <c r="GS112" s="26">
        <f t="shared" si="399"/>
        <v>-5993408.4512472991</v>
      </c>
      <c r="GT112" s="26">
        <f t="shared" si="315"/>
        <v>107521747.61537655</v>
      </c>
      <c r="HC112" s="26">
        <f t="shared" si="316"/>
        <v>-3.1212140470569865</v>
      </c>
      <c r="HD112" s="26">
        <f t="shared" si="316"/>
        <v>-5.9528661114823906</v>
      </c>
      <c r="HE112" s="26">
        <f t="shared" si="283"/>
        <v>-10.81719357083354</v>
      </c>
      <c r="HF112" s="26">
        <f t="shared" si="407"/>
        <v>-20.158331391339402</v>
      </c>
      <c r="HG112" s="26">
        <f t="shared" si="408"/>
        <v>-40.493369241281115</v>
      </c>
      <c r="HH112" s="26">
        <f t="shared" si="409"/>
        <v>-91.839546318860783</v>
      </c>
      <c r="HI112" s="26">
        <f t="shared" si="400"/>
        <v>-247.62524783509005</v>
      </c>
      <c r="HJ112" s="26">
        <f t="shared" si="400"/>
        <v>-848.92211150758408</v>
      </c>
      <c r="HK112" s="26">
        <f t="shared" si="400"/>
        <v>-4085.5371848920749</v>
      </c>
      <c r="HL112" s="26">
        <f t="shared" si="400"/>
        <v>-33232.304178568782</v>
      </c>
      <c r="HM112" s="26">
        <f t="shared" si="400"/>
        <v>-787560.55047170923</v>
      </c>
      <c r="HN112" s="26">
        <f t="shared" si="400"/>
        <v>19563028.913717262</v>
      </c>
      <c r="HO112" s="26">
        <f t="shared" si="317"/>
        <v>-350960720.77208763</v>
      </c>
      <c r="HP112" s="26">
        <f t="shared" si="318"/>
        <v>1031889.3409120624</v>
      </c>
      <c r="HX112" s="26">
        <f t="shared" si="319"/>
        <v>702235.98483050964</v>
      </c>
      <c r="HY112" s="26">
        <f t="shared" si="320"/>
        <v>882841.94217458565</v>
      </c>
      <c r="HZ112" s="26">
        <f t="shared" si="321"/>
        <v>1260103.2769829463</v>
      </c>
      <c r="IA112" s="26">
        <f t="shared" si="322"/>
        <v>2075242.366675992</v>
      </c>
      <c r="IB112" s="26">
        <f t="shared" si="323"/>
        <v>3971653.239789878</v>
      </c>
      <c r="IC112" s="26">
        <f t="shared" si="324"/>
        <v>8925757.8480805885</v>
      </c>
      <c r="ID112" s="26">
        <f t="shared" si="325"/>
        <v>24187899.434776437</v>
      </c>
      <c r="IE112" s="26">
        <f t="shared" si="326"/>
        <v>83436008.689718246</v>
      </c>
      <c r="IF112" s="26">
        <f t="shared" si="327"/>
        <v>402895650.50169855</v>
      </c>
      <c r="IG112" s="26">
        <f t="shared" si="328"/>
        <v>3280767771.9598942</v>
      </c>
      <c r="IH112" s="26">
        <f t="shared" si="329"/>
        <v>77764425409.725571</v>
      </c>
      <c r="II112" s="26">
        <f t="shared" si="330"/>
        <v>-376143294232.15186</v>
      </c>
      <c r="IR112" s="26">
        <f t="shared" si="331"/>
        <v>721988.83967656374</v>
      </c>
      <c r="IS112" s="26">
        <f t="shared" si="332"/>
        <v>907115.45550211158</v>
      </c>
      <c r="IT112" s="26">
        <f t="shared" si="333"/>
        <v>1294432.275886771</v>
      </c>
      <c r="IU112" s="26">
        <f t="shared" si="334"/>
        <v>2132058.6570694475</v>
      </c>
      <c r="IV112" s="26">
        <f t="shared" si="335"/>
        <v>4081984.5667037508</v>
      </c>
      <c r="IW112" s="26">
        <f t="shared" si="336"/>
        <v>9178402.3542392869</v>
      </c>
      <c r="IX112" s="26">
        <f t="shared" si="337"/>
        <v>24886109.92019162</v>
      </c>
      <c r="IY112" s="26">
        <f t="shared" si="338"/>
        <v>85891672.143543229</v>
      </c>
      <c r="IZ112" s="26">
        <f t="shared" si="339"/>
        <v>414982520.0167495</v>
      </c>
      <c r="JA112" s="26">
        <f t="shared" si="340"/>
        <v>3381079209.8857551</v>
      </c>
      <c r="JB112" s="26">
        <f t="shared" si="341"/>
        <v>80187639872.812759</v>
      </c>
      <c r="JC112" s="26">
        <f t="shared" si="342"/>
        <v>-390820758146.73083</v>
      </c>
      <c r="JI112" s="26">
        <f t="shared" si="343"/>
        <v>0</v>
      </c>
      <c r="JJ112" s="26">
        <f t="shared" si="344"/>
        <v>0</v>
      </c>
      <c r="JK112" s="26">
        <f t="shared" si="345"/>
        <v>1274841.5167525252</v>
      </c>
      <c r="JL112" s="26">
        <f t="shared" si="346"/>
        <v>1961531.4347941983</v>
      </c>
      <c r="JM112" s="26">
        <f t="shared" si="347"/>
        <v>3210454.1615767577</v>
      </c>
      <c r="JN112" s="26">
        <f t="shared" si="348"/>
        <v>5702652.4411114892</v>
      </c>
      <c r="JO112" s="26">
        <f t="shared" si="349"/>
        <v>11254471.698746614</v>
      </c>
      <c r="JP112" s="26">
        <f t="shared" si="350"/>
        <v>25445706.767949346</v>
      </c>
      <c r="JQ112" s="26">
        <f t="shared" si="351"/>
        <v>68747337.991464764</v>
      </c>
      <c r="JR112" s="26">
        <f t="shared" si="352"/>
        <v>236259078.83212939</v>
      </c>
      <c r="JS112" s="26">
        <f t="shared" si="353"/>
        <v>1138643293.0068989</v>
      </c>
      <c r="JT112" s="26">
        <f t="shared" si="354"/>
        <v>9267432421.6585999</v>
      </c>
      <c r="JU112" s="26">
        <f t="shared" si="355"/>
        <v>219686229884.04529</v>
      </c>
      <c r="JV112" s="26">
        <f t="shared" si="356"/>
        <v>-3855970133871.542</v>
      </c>
      <c r="JW112" s="26">
        <f t="shared" si="357"/>
        <v>62164776622836.695</v>
      </c>
      <c r="JY112" s="34">
        <f t="shared" si="358"/>
        <v>0.13898525693584945</v>
      </c>
      <c r="JZ112" s="4">
        <f t="shared" si="359"/>
        <v>0</v>
      </c>
      <c r="KA112" s="165"/>
    </row>
    <row r="113" spans="1:287" ht="15.75" x14ac:dyDescent="0.3">
      <c r="A113" s="34">
        <v>112</v>
      </c>
      <c r="B113" s="34">
        <v>85</v>
      </c>
      <c r="C113" s="2">
        <v>292218</v>
      </c>
      <c r="D113" s="1">
        <f t="shared" si="360"/>
        <v>28248</v>
      </c>
      <c r="E113" s="145">
        <f t="shared" si="361"/>
        <v>0.90333244358663733</v>
      </c>
      <c r="F113" s="146">
        <f t="shared" si="362"/>
        <v>9.6667556413362665E-2</v>
      </c>
      <c r="G113" s="158">
        <f t="shared" si="284"/>
        <v>0.12083444551670333</v>
      </c>
      <c r="H113" s="43">
        <f t="shared" si="363"/>
        <v>25726.785084245297</v>
      </c>
      <c r="I113" s="43">
        <f>I112-H112</f>
        <v>212909.36515853836</v>
      </c>
      <c r="J113" s="43">
        <f t="shared" si="364"/>
        <v>278094</v>
      </c>
      <c r="K113" s="147">
        <f>SUM(J113:$J$138)</f>
        <v>1750669</v>
      </c>
      <c r="L113" s="147">
        <f t="shared" si="365"/>
        <v>5.9909690710360071</v>
      </c>
      <c r="M113" s="43">
        <f t="shared" si="285"/>
        <v>347617.5</v>
      </c>
      <c r="N113" s="148">
        <f t="shared" si="286"/>
        <v>2188336.25</v>
      </c>
      <c r="O113" s="147">
        <f t="shared" si="287"/>
        <v>7.4887113387950084</v>
      </c>
      <c r="P113" s="157">
        <f t="shared" si="288"/>
        <v>11435.760006976861</v>
      </c>
      <c r="Q113" s="43">
        <f t="shared" si="289"/>
        <v>365272.5</v>
      </c>
      <c r="R113" s="43">
        <f t="shared" si="290"/>
        <v>1358.2684445642358</v>
      </c>
      <c r="S113" s="43">
        <f>SUM(R113:$R$138)</f>
        <v>9652.0848489474047</v>
      </c>
      <c r="T113" s="43">
        <f t="shared" si="366"/>
        <v>50429.660030013736</v>
      </c>
      <c r="U113" s="153">
        <f>SUM(P113:$P$138)</f>
        <v>57613.36985294702</v>
      </c>
      <c r="V113" s="129">
        <f t="shared" si="291"/>
        <v>8018.7396142307962</v>
      </c>
      <c r="W113" s="43">
        <f t="shared" si="292"/>
        <v>2734.9615987004836</v>
      </c>
      <c r="X113" s="26">
        <f t="shared" si="367"/>
        <v>4.3368022945968567</v>
      </c>
      <c r="Y113" s="26">
        <f t="shared" si="368"/>
        <v>0.23915870891238591</v>
      </c>
      <c r="Z113" s="43">
        <f t="shared" si="293"/>
        <v>2506.5421300510416</v>
      </c>
      <c r="AA113" s="149">
        <f t="shared" si="369"/>
        <v>0.62484196192792851</v>
      </c>
      <c r="AB113" s="150">
        <f t="shared" si="370"/>
        <v>46177.609845970153</v>
      </c>
      <c r="AC113" s="150">
        <f t="shared" si="371"/>
        <v>5283.7780155303126</v>
      </c>
      <c r="AD113" s="26">
        <f t="shared" si="372"/>
        <v>3.5759610035092426</v>
      </c>
      <c r="AE113" s="26">
        <f t="shared" si="294"/>
        <v>778713.64924916509</v>
      </c>
      <c r="AF113" s="43">
        <f t="shared" si="295"/>
        <v>179559.40722023466</v>
      </c>
      <c r="AG113" s="43">
        <f t="shared" si="296"/>
        <v>805733.79696182953</v>
      </c>
      <c r="AH113" s="27">
        <f t="shared" si="297"/>
        <v>189632.64149904141</v>
      </c>
      <c r="AI113" s="28">
        <f t="shared" si="298"/>
        <v>866380.42684067693</v>
      </c>
      <c r="AJ113" s="20">
        <f t="shared" si="299"/>
        <v>203906.06612800152</v>
      </c>
      <c r="AK113" s="3">
        <f t="shared" si="300"/>
        <v>17671.859064426801</v>
      </c>
      <c r="AL113" s="3"/>
      <c r="AM113" s="46">
        <f t="shared" si="373"/>
        <v>46177.609845970153</v>
      </c>
      <c r="AN113" s="46">
        <f t="shared" si="374"/>
        <v>36463.671403968496</v>
      </c>
      <c r="AO113" s="46">
        <f t="shared" si="374"/>
        <v>28308.648121141709</v>
      </c>
      <c r="AP113" s="3">
        <f t="shared" si="393"/>
        <v>21548.169642861361</v>
      </c>
      <c r="AQ113" s="3">
        <f t="shared" si="393"/>
        <v>16018.875426929008</v>
      </c>
      <c r="AR113" s="16">
        <f t="shared" si="393"/>
        <v>11560.444059796366</v>
      </c>
      <c r="AS113" s="16">
        <f t="shared" si="393"/>
        <v>8018.7396142307962</v>
      </c>
      <c r="AT113" s="16">
        <f t="shared" si="393"/>
        <v>5283.7780155303126</v>
      </c>
      <c r="AU113" s="16">
        <f t="shared" si="393"/>
        <v>3272.8085819586663</v>
      </c>
      <c r="AV113" s="16">
        <f t="shared" si="393"/>
        <v>1880.5992961069639</v>
      </c>
      <c r="AW113" s="16">
        <f t="shared" si="393"/>
        <v>985.7419839674069</v>
      </c>
      <c r="AX113" s="16">
        <f t="shared" si="391"/>
        <v>461.1597717525529</v>
      </c>
      <c r="AY113" s="16">
        <f t="shared" si="391"/>
        <v>187.05849304915947</v>
      </c>
      <c r="AZ113" s="16">
        <f t="shared" si="391"/>
        <v>63.21875273446355</v>
      </c>
      <c r="BA113" s="16">
        <f t="shared" si="391"/>
        <v>16.788813107634137</v>
      </c>
      <c r="BB113" s="16">
        <f t="shared" si="391"/>
        <v>3.1907985310217075</v>
      </c>
      <c r="BC113" s="16">
        <f t="shared" si="391"/>
        <v>0.36197756128412645</v>
      </c>
      <c r="BD113" s="16">
        <f t="shared" si="391"/>
        <v>1.4120788545205874E-2</v>
      </c>
      <c r="BE113" s="16">
        <f t="shared" si="391"/>
        <v>-5.5799384439414316E-4</v>
      </c>
      <c r="BF113" s="16">
        <f t="shared" si="391"/>
        <v>3.2939424108272912E-5</v>
      </c>
      <c r="BG113" s="16">
        <f t="shared" si="391"/>
        <v>0</v>
      </c>
      <c r="BH113" s="172">
        <f t="shared" si="375"/>
        <v>9713.938442001665</v>
      </c>
      <c r="BI113" s="16">
        <f t="shared" si="410"/>
        <v>8155.0232828267881</v>
      </c>
      <c r="BJ113" s="16">
        <f t="shared" si="410"/>
        <v>6760.4784782803481</v>
      </c>
      <c r="BK113" s="16">
        <f t="shared" si="410"/>
        <v>5529.2942159323538</v>
      </c>
      <c r="BL113" s="16">
        <f t="shared" si="410"/>
        <v>4458.4313671326408</v>
      </c>
      <c r="BM113" s="16">
        <f t="shared" si="410"/>
        <v>3541.7044455655696</v>
      </c>
      <c r="BN113" s="16">
        <f t="shared" si="410"/>
        <v>2734.9615987004836</v>
      </c>
      <c r="BO113" s="16">
        <f t="shared" si="410"/>
        <v>2010.9694335716461</v>
      </c>
      <c r="BP113" s="16">
        <f t="shared" si="410"/>
        <v>1392.2092858517024</v>
      </c>
      <c r="BQ113" s="16">
        <f t="shared" si="410"/>
        <v>894.85731213955728</v>
      </c>
      <c r="BR113" s="16">
        <f t="shared" si="410"/>
        <v>524.58221221485394</v>
      </c>
      <c r="BS113" s="16">
        <f t="shared" si="410"/>
        <v>274.1012787033934</v>
      </c>
      <c r="BT113" s="16">
        <f t="shared" si="410"/>
        <v>123.83974031469592</v>
      </c>
      <c r="BU113" s="16">
        <f t="shared" si="410"/>
        <v>46.429939626829416</v>
      </c>
      <c r="BV113" s="16">
        <f t="shared" si="395"/>
        <v>13.59801457661243</v>
      </c>
      <c r="BW113" s="16">
        <f t="shared" si="395"/>
        <v>2.8288209697375808</v>
      </c>
      <c r="BX113" s="16">
        <f t="shared" si="395"/>
        <v>0.34785677273892057</v>
      </c>
      <c r="BY113" s="16">
        <f t="shared" si="395"/>
        <v>1.4678782389600017E-2</v>
      </c>
      <c r="BZ113" s="16">
        <f t="shared" si="395"/>
        <v>-5.9093326850241602E-4</v>
      </c>
      <c r="CA113" s="16">
        <f t="shared" si="395"/>
        <v>3.2939424108272912E-5</v>
      </c>
      <c r="CB113" s="16">
        <f t="shared" si="395"/>
        <v>0</v>
      </c>
      <c r="CC113" s="18">
        <f t="shared" si="376"/>
        <v>3.928259424287261</v>
      </c>
      <c r="CD113" s="18">
        <f t="shared" si="376"/>
        <v>3.4880258220277933</v>
      </c>
      <c r="CE113" s="18">
        <f t="shared" si="376"/>
        <v>3.0012533243167758</v>
      </c>
      <c r="CF113" s="18">
        <f t="shared" si="376"/>
        <v>2.4468638311280788</v>
      </c>
      <c r="CG113" s="18">
        <f t="shared" si="280"/>
        <v>1.7943835295245003</v>
      </c>
      <c r="CH113" s="18">
        <f t="shared" si="280"/>
        <v>1</v>
      </c>
      <c r="CI113" s="18">
        <f t="shared" si="280"/>
        <v>0</v>
      </c>
      <c r="CJ113" s="18">
        <f t="shared" si="280"/>
        <v>-1.3600214667823012</v>
      </c>
      <c r="CK113" s="18">
        <f t="shared" si="396"/>
        <v>-3.4089206849160933</v>
      </c>
      <c r="CL113" s="18">
        <f t="shared" si="396"/>
        <v>-6.859350909753263</v>
      </c>
      <c r="CM113" s="18">
        <f t="shared" si="396"/>
        <v>-13.406854953333557</v>
      </c>
      <c r="CN113" s="18">
        <f t="shared" si="396"/>
        <v>-27.572216657392339</v>
      </c>
      <c r="CO113" s="18">
        <f t="shared" si="397"/>
        <v>-63.2404517425515</v>
      </c>
      <c r="CP113" s="18">
        <f t="shared" si="397"/>
        <v>-171.34463075845261</v>
      </c>
      <c r="CQ113" s="18">
        <f t="shared" si="397"/>
        <v>-588.46464357274044</v>
      </c>
      <c r="CR113" s="18">
        <f t="shared" si="397"/>
        <v>-2833.5299057272427</v>
      </c>
      <c r="CS113" s="18">
        <f t="shared" si="397"/>
        <v>-23050.802126217626</v>
      </c>
      <c r="CT113" s="18">
        <f t="shared" si="397"/>
        <v>-546280.01700764732</v>
      </c>
      <c r="CU113" s="18">
        <f t="shared" si="397"/>
        <v>13569620.462469961</v>
      </c>
      <c r="CV113" s="18">
        <f t="shared" si="397"/>
        <v>-243438973.1567111</v>
      </c>
      <c r="CW113" s="18" t="e">
        <f t="shared" si="397"/>
        <v>#DIV/0!</v>
      </c>
      <c r="CX113" s="17">
        <f t="shared" si="302"/>
        <v>1251.7717337497472</v>
      </c>
      <c r="CY113" s="17">
        <f t="shared" si="381"/>
        <v>1138.1811861976653</v>
      </c>
      <c r="CZ113" s="17">
        <f t="shared" si="381"/>
        <v>1019.9631172690445</v>
      </c>
      <c r="DA113" s="17">
        <f t="shared" si="381"/>
        <v>899.21679150201351</v>
      </c>
      <c r="DB113" s="17">
        <f t="shared" si="381"/>
        <v>779.24770980348092</v>
      </c>
      <c r="DC113" s="17">
        <f t="shared" si="381"/>
        <v>698.89373581017753</v>
      </c>
      <c r="DD113" s="17">
        <f t="shared" si="381"/>
        <v>642.46184480361489</v>
      </c>
      <c r="DE113" s="17">
        <f t="shared" si="381"/>
        <v>560.3116963574472</v>
      </c>
      <c r="DF113" s="3" t="e">
        <f>#REF!+$AG$35*0.004*(1+$R$28)*#REF!-S113*#REF!</f>
        <v>#REF!</v>
      </c>
      <c r="DG113" s="19">
        <f t="shared" si="303"/>
        <v>2094.54019301057</v>
      </c>
      <c r="DH113" s="19">
        <f t="shared" si="304"/>
        <v>1886.5019640255412</v>
      </c>
      <c r="DI113" s="19">
        <f t="shared" si="305"/>
        <v>1663.8517627967758</v>
      </c>
      <c r="DJ113" s="19">
        <f t="shared" si="306"/>
        <v>1424.1667599871005</v>
      </c>
      <c r="DK113" s="19">
        <f t="shared" si="307"/>
        <v>1164.2146071398859</v>
      </c>
      <c r="DL113" s="19">
        <f t="shared" si="308"/>
        <v>913.43365495356079</v>
      </c>
      <c r="DM113" s="19">
        <f t="shared" si="309"/>
        <v>642.46184480361489</v>
      </c>
      <c r="DN113" s="19">
        <f t="shared" si="310"/>
        <v>268.53280084070673</v>
      </c>
      <c r="DO113" s="25"/>
      <c r="DP113" s="25"/>
      <c r="DW113" s="26">
        <f t="shared" si="394"/>
        <v>0</v>
      </c>
      <c r="DX113" s="26">
        <f t="shared" si="394"/>
        <v>0</v>
      </c>
      <c r="DY113" s="26">
        <f t="shared" si="394"/>
        <v>0</v>
      </c>
      <c r="DZ113" s="26">
        <f t="shared" si="394"/>
        <v>0</v>
      </c>
      <c r="EA113" s="26">
        <f t="shared" si="394"/>
        <v>0</v>
      </c>
      <c r="EB113" s="26">
        <f t="shared" si="394"/>
        <v>0</v>
      </c>
      <c r="EC113" s="26">
        <f t="shared" si="394"/>
        <v>0</v>
      </c>
      <c r="ED113" s="26">
        <f t="shared" si="394"/>
        <v>0</v>
      </c>
      <c r="EE113" s="26">
        <f t="shared" si="394"/>
        <v>0</v>
      </c>
      <c r="EF113" s="26">
        <f t="shared" si="394"/>
        <v>0</v>
      </c>
      <c r="EG113" s="26">
        <f t="shared" si="394"/>
        <v>0</v>
      </c>
      <c r="EH113" s="26">
        <f t="shared" si="394"/>
        <v>0</v>
      </c>
      <c r="EI113" s="26">
        <f t="shared" si="394"/>
        <v>0</v>
      </c>
      <c r="ER113" s="26">
        <f t="shared" si="312"/>
        <v>-1.8004061282479031</v>
      </c>
      <c r="ES113" s="26">
        <f t="shared" si="312"/>
        <v>-2.8010522974417338</v>
      </c>
      <c r="ET113" s="26">
        <f t="shared" si="312"/>
        <v>-4.778168362720681</v>
      </c>
      <c r="EU113" s="26">
        <f t="shared" si="312"/>
        <v>-9.1445838629719987</v>
      </c>
      <c r="EV113" s="26">
        <f t="shared" si="312"/>
        <v>-20.240208221379749</v>
      </c>
      <c r="EW113" s="26">
        <f t="shared" si="312"/>
        <v>-53.985470370989731</v>
      </c>
      <c r="EX113" s="26">
        <f t="shared" si="312"/>
        <v>-184.33147838818374</v>
      </c>
      <c r="EY113" s="26">
        <f t="shared" si="312"/>
        <v>-886.07308729175747</v>
      </c>
      <c r="EZ113" s="26">
        <f t="shared" si="312"/>
        <v>-7205.6729277261893</v>
      </c>
      <c r="FA113" s="26">
        <f t="shared" si="312"/>
        <v>-170759.54009829438</v>
      </c>
      <c r="FB113" s="26">
        <f t="shared" si="312"/>
        <v>4241666.9760416336</v>
      </c>
      <c r="FC113" s="26">
        <f t="shared" si="312"/>
        <v>-76095505.550186902</v>
      </c>
      <c r="FD113" s="26" t="e">
        <f t="shared" si="312"/>
        <v>#DIV/0!</v>
      </c>
      <c r="FM113" s="26">
        <f t="shared" si="313"/>
        <v>-2.4444447785315617</v>
      </c>
      <c r="FN113" s="26">
        <f t="shared" si="313"/>
        <v>-4.8030406336922313</v>
      </c>
      <c r="FO113" s="26">
        <f t="shared" si="281"/>
        <v>-9.1932553782486099</v>
      </c>
      <c r="FP113" s="26">
        <f t="shared" si="401"/>
        <v>-18.594293126214648</v>
      </c>
      <c r="FQ113" s="26">
        <f t="shared" si="402"/>
        <v>-42.155767199847169</v>
      </c>
      <c r="FR113" s="26">
        <f t="shared" si="403"/>
        <v>-113.43950142418799</v>
      </c>
      <c r="FS113" s="26">
        <f t="shared" si="398"/>
        <v>-388.33516372908633</v>
      </c>
      <c r="FT113" s="26">
        <f t="shared" si="398"/>
        <v>-1867.7095844842918</v>
      </c>
      <c r="FU113" s="26">
        <f t="shared" si="398"/>
        <v>-15189.481156681197</v>
      </c>
      <c r="FV113" s="26">
        <f t="shared" si="398"/>
        <v>-359960.27690060571</v>
      </c>
      <c r="FW113" s="26">
        <f t="shared" si="398"/>
        <v>8941412.2782110479</v>
      </c>
      <c r="GH113" s="26">
        <f t="shared" si="314"/>
        <v>1.964475906384531</v>
      </c>
      <c r="GI113" s="26">
        <f t="shared" si="314"/>
        <v>3.0563102760610321</v>
      </c>
      <c r="GJ113" s="26">
        <f t="shared" si="282"/>
        <v>5.2135995750849462</v>
      </c>
      <c r="GK113" s="26">
        <f t="shared" si="404"/>
        <v>9.9779235311776908</v>
      </c>
      <c r="GL113" s="26">
        <f t="shared" si="405"/>
        <v>22.084684542704334</v>
      </c>
      <c r="GM113" s="26">
        <f t="shared" si="406"/>
        <v>58.905129334264593</v>
      </c>
      <c r="GN113" s="26">
        <f t="shared" si="399"/>
        <v>201.12947984365405</v>
      </c>
      <c r="GO113" s="26">
        <f t="shared" si="399"/>
        <v>966.82032124295085</v>
      </c>
      <c r="GP113" s="26">
        <f t="shared" si="399"/>
        <v>7862.3209695364303</v>
      </c>
      <c r="GQ113" s="26">
        <f t="shared" si="399"/>
        <v>186320.74010704158</v>
      </c>
      <c r="GR113" s="26">
        <f t="shared" si="399"/>
        <v>-4628207.1842589136</v>
      </c>
      <c r="GS113" s="26">
        <f t="shared" si="399"/>
        <v>83030036.885604918</v>
      </c>
      <c r="GT113" s="26" t="e">
        <f t="shared" si="315"/>
        <v>#DIV/0!</v>
      </c>
      <c r="HC113" s="26">
        <f t="shared" si="316"/>
        <v>-3.4089206849160933</v>
      </c>
      <c r="HD113" s="26">
        <f t="shared" si="316"/>
        <v>-6.859350909753263</v>
      </c>
      <c r="HE113" s="26">
        <f t="shared" si="283"/>
        <v>-13.406854953333557</v>
      </c>
      <c r="HF113" s="26">
        <f t="shared" si="407"/>
        <v>-27.572216657392339</v>
      </c>
      <c r="HG113" s="26">
        <f t="shared" si="408"/>
        <v>-63.2404517425515</v>
      </c>
      <c r="HH113" s="26">
        <f t="shared" si="409"/>
        <v>-171.34463075845261</v>
      </c>
      <c r="HI113" s="26">
        <f t="shared" si="400"/>
        <v>-588.46464357274044</v>
      </c>
      <c r="HJ113" s="26">
        <f t="shared" si="400"/>
        <v>-2833.5299057272427</v>
      </c>
      <c r="HK113" s="26">
        <f t="shared" si="400"/>
        <v>-23050.802126217626</v>
      </c>
      <c r="HL113" s="26">
        <f t="shared" si="400"/>
        <v>-546280.01700764732</v>
      </c>
      <c r="HM113" s="26">
        <f t="shared" si="400"/>
        <v>13569620.462469961</v>
      </c>
      <c r="HN113" s="26">
        <f t="shared" si="400"/>
        <v>-243438973.1567111</v>
      </c>
      <c r="HO113" s="26" t="e">
        <f t="shared" si="317"/>
        <v>#DIV/0!</v>
      </c>
      <c r="HP113" s="26">
        <f t="shared" si="318"/>
        <v>1031889.3409120624</v>
      </c>
      <c r="HX113" s="26">
        <f t="shared" si="319"/>
        <v>723385.07270708133</v>
      </c>
      <c r="HY113" s="26">
        <f t="shared" si="320"/>
        <v>958175.61490871769</v>
      </c>
      <c r="HZ113" s="26">
        <f t="shared" si="321"/>
        <v>1488410.6127228348</v>
      </c>
      <c r="IA113" s="26">
        <f t="shared" si="322"/>
        <v>2751222.1402139929</v>
      </c>
      <c r="IB113" s="26">
        <f t="shared" si="323"/>
        <v>6089430.6198755205</v>
      </c>
      <c r="IC113" s="26">
        <f t="shared" si="324"/>
        <v>16429077.202123094</v>
      </c>
      <c r="ID113" s="26">
        <f t="shared" si="325"/>
        <v>56651587.726463899</v>
      </c>
      <c r="IE113" s="26">
        <f t="shared" si="326"/>
        <v>273664743.40171403</v>
      </c>
      <c r="IF113" s="26">
        <f t="shared" si="327"/>
        <v>2228909974.1194382</v>
      </c>
      <c r="IG113" s="26">
        <f t="shared" si="328"/>
        <v>52834486301.201271</v>
      </c>
      <c r="IH113" s="26">
        <f t="shared" si="329"/>
        <v>-1312428068591.1443</v>
      </c>
      <c r="II113" s="26">
        <f t="shared" si="330"/>
        <v>5156525800493.3437</v>
      </c>
      <c r="IR113" s="26">
        <f t="shared" si="331"/>
        <v>743651.25785065012</v>
      </c>
      <c r="IS113" s="26">
        <f t="shared" si="332"/>
        <v>984372.34045806807</v>
      </c>
      <c r="IT113" s="26">
        <f t="shared" si="333"/>
        <v>1528757.1241944185</v>
      </c>
      <c r="IU113" s="26">
        <f t="shared" si="334"/>
        <v>2826316.7253510859</v>
      </c>
      <c r="IV113" s="26">
        <f t="shared" si="335"/>
        <v>6258341.6195988208</v>
      </c>
      <c r="IW113" s="26">
        <f t="shared" si="336"/>
        <v>16893724.848482426</v>
      </c>
      <c r="IX113" s="26">
        <f t="shared" si="337"/>
        <v>58285958.142718293</v>
      </c>
      <c r="IY113" s="26">
        <f t="shared" si="338"/>
        <v>281716418.01528233</v>
      </c>
      <c r="IZ113" s="26">
        <f t="shared" si="339"/>
        <v>2295777273.3430214</v>
      </c>
      <c r="JA113" s="26">
        <f t="shared" si="340"/>
        <v>54450562908.350952</v>
      </c>
      <c r="JB113" s="26">
        <f t="shared" si="341"/>
        <v>-1353356458871.509</v>
      </c>
      <c r="JC113" s="26">
        <f t="shared" si="342"/>
        <v>5353445538308.5996</v>
      </c>
      <c r="JI113" s="26">
        <f t="shared" si="343"/>
        <v>0</v>
      </c>
      <c r="JJ113" s="26">
        <f t="shared" si="344"/>
        <v>0</v>
      </c>
      <c r="JK113" s="26">
        <f t="shared" si="345"/>
        <v>1376994.0806076862</v>
      </c>
      <c r="JL113" s="26">
        <f t="shared" si="346"/>
        <v>2258770.0366811189</v>
      </c>
      <c r="JM113" s="26">
        <f t="shared" si="347"/>
        <v>4019614.5378063824</v>
      </c>
      <c r="JN113" s="26">
        <f t="shared" si="348"/>
        <v>7948954.3991259029</v>
      </c>
      <c r="JO113" s="26">
        <f t="shared" si="349"/>
        <v>18007774.921548329</v>
      </c>
      <c r="JP113" s="26">
        <f t="shared" si="350"/>
        <v>48727816.087097302</v>
      </c>
      <c r="JQ113" s="26">
        <f t="shared" si="351"/>
        <v>167616709.10509983</v>
      </c>
      <c r="JR113" s="26">
        <f t="shared" si="352"/>
        <v>808157480.95950329</v>
      </c>
      <c r="JS113" s="26">
        <f t="shared" si="353"/>
        <v>6578382072.5778551</v>
      </c>
      <c r="JT113" s="26">
        <f t="shared" si="354"/>
        <v>155943838923.33719</v>
      </c>
      <c r="JU113" s="26">
        <f t="shared" si="355"/>
        <v>-3874454050103.3501</v>
      </c>
      <c r="JV113" s="26">
        <f t="shared" si="356"/>
        <v>50581932991938.133</v>
      </c>
      <c r="JW113" s="26" t="e">
        <f t="shared" si="357"/>
        <v>#DIV/0!</v>
      </c>
      <c r="JY113" s="34">
        <f t="shared" si="358"/>
        <v>0.14666755641336265</v>
      </c>
      <c r="JZ113" s="4">
        <f t="shared" si="359"/>
        <v>0</v>
      </c>
      <c r="KA113" s="165"/>
    </row>
    <row r="114" spans="1:287" ht="15.75" x14ac:dyDescent="0.3">
      <c r="A114" s="34">
        <v>113</v>
      </c>
      <c r="B114" s="34">
        <v>86</v>
      </c>
      <c r="C114" s="2">
        <v>263970</v>
      </c>
      <c r="D114" s="1">
        <f t="shared" si="360"/>
        <v>27685</v>
      </c>
      <c r="E114" s="145">
        <f t="shared" si="361"/>
        <v>0.89512065765049054</v>
      </c>
      <c r="F114" s="146">
        <f t="shared" si="362"/>
        <v>0.10487934234950946</v>
      </c>
      <c r="G114" s="158">
        <f t="shared" si="284"/>
        <v>0.13109917793688683</v>
      </c>
      <c r="H114" s="43">
        <f t="shared" si="363"/>
        <v>24539.482371845315</v>
      </c>
      <c r="I114" s="43">
        <f t="shared" si="390"/>
        <v>187182.58007429307</v>
      </c>
      <c r="J114" s="43">
        <f t="shared" si="364"/>
        <v>250127.5</v>
      </c>
      <c r="K114" s="147">
        <f>SUM(J114:$J$138)</f>
        <v>1472575</v>
      </c>
      <c r="L114" s="147">
        <f t="shared" si="365"/>
        <v>5.5785695344167898</v>
      </c>
      <c r="M114" s="43">
        <f t="shared" si="285"/>
        <v>312659.375</v>
      </c>
      <c r="N114" s="148">
        <f t="shared" si="286"/>
        <v>1840718.75</v>
      </c>
      <c r="O114" s="147">
        <f t="shared" si="287"/>
        <v>6.9732119180209873</v>
      </c>
      <c r="P114" s="157">
        <f t="shared" si="288"/>
        <v>9713.938442001665</v>
      </c>
      <c r="Q114" s="43">
        <f t="shared" si="289"/>
        <v>329962.5</v>
      </c>
      <c r="R114" s="43">
        <f t="shared" si="290"/>
        <v>1251.7717337497472</v>
      </c>
      <c r="S114" s="43">
        <f>SUM(R114:$R$138)</f>
        <v>8293.8164043831694</v>
      </c>
      <c r="T114" s="43">
        <f t="shared" si="366"/>
        <v>40777.575181066342</v>
      </c>
      <c r="U114" s="153">
        <f>SUM(P114:$P$138)</f>
        <v>46177.609845970153</v>
      </c>
      <c r="V114" s="129">
        <f t="shared" si="291"/>
        <v>5283.7780155303126</v>
      </c>
      <c r="W114" s="43">
        <f t="shared" si="292"/>
        <v>2010.9694335716461</v>
      </c>
      <c r="X114" s="26">
        <f t="shared" si="367"/>
        <v>4.2098096538908285</v>
      </c>
      <c r="Y114" s="26">
        <f t="shared" si="368"/>
        <v>0.20701895997986822</v>
      </c>
      <c r="Z114" s="43">
        <f t="shared" si="293"/>
        <v>1864.0802852474267</v>
      </c>
      <c r="AA114" s="149">
        <f t="shared" si="369"/>
        <v>0.66190826280455861</v>
      </c>
      <c r="AB114" s="150">
        <f t="shared" si="370"/>
        <v>36463.671403968496</v>
      </c>
      <c r="AC114" s="150">
        <f t="shared" si="371"/>
        <v>3272.8085819586663</v>
      </c>
      <c r="AD114" s="26">
        <f t="shared" si="372"/>
        <v>3.4168286138706976</v>
      </c>
      <c r="AE114" s="26">
        <f t="shared" si="294"/>
        <v>795395.94234553876</v>
      </c>
      <c r="AF114" s="43">
        <f t="shared" si="295"/>
        <v>188938.69503349415</v>
      </c>
      <c r="AG114" s="43">
        <f t="shared" si="296"/>
        <v>822809.42165678018</v>
      </c>
      <c r="AH114" s="27">
        <f t="shared" si="297"/>
        <v>199293.30794669868</v>
      </c>
      <c r="AI114" s="28">
        <f t="shared" si="298"/>
        <v>884741.31360944116</v>
      </c>
      <c r="AJ114" s="20">
        <f t="shared" si="299"/>
        <v>214293.87951257924</v>
      </c>
      <c r="AK114" s="3">
        <f t="shared" si="300"/>
        <v>18572.136224423535</v>
      </c>
      <c r="AL114" s="3"/>
      <c r="AM114" s="46">
        <f t="shared" si="373"/>
        <v>36463.671403968496</v>
      </c>
      <c r="AN114" s="46">
        <f t="shared" si="374"/>
        <v>28308.648121141709</v>
      </c>
      <c r="AO114" s="46">
        <f t="shared" si="374"/>
        <v>21548.169642861361</v>
      </c>
      <c r="AP114" s="3">
        <f t="shared" si="393"/>
        <v>16018.875426929008</v>
      </c>
      <c r="AQ114" s="3">
        <f t="shared" si="393"/>
        <v>11560.444059796366</v>
      </c>
      <c r="AR114" s="16">
        <f t="shared" si="393"/>
        <v>8018.7396142307962</v>
      </c>
      <c r="AS114" s="16">
        <f t="shared" si="393"/>
        <v>5283.7780155303126</v>
      </c>
      <c r="AT114" s="16">
        <f t="shared" si="393"/>
        <v>3272.8085819586663</v>
      </c>
      <c r="AU114" s="16">
        <f t="shared" si="393"/>
        <v>1880.5992961069639</v>
      </c>
      <c r="AV114" s="16">
        <f t="shared" si="393"/>
        <v>985.7419839674069</v>
      </c>
      <c r="AW114" s="16">
        <f t="shared" si="393"/>
        <v>461.1597717525529</v>
      </c>
      <c r="AX114" s="16">
        <f t="shared" si="391"/>
        <v>187.05849304915947</v>
      </c>
      <c r="AY114" s="16">
        <f t="shared" si="391"/>
        <v>63.21875273446355</v>
      </c>
      <c r="AZ114" s="16">
        <f t="shared" si="391"/>
        <v>16.788813107634137</v>
      </c>
      <c r="BA114" s="16">
        <f t="shared" si="391"/>
        <v>3.1907985310217075</v>
      </c>
      <c r="BB114" s="16">
        <f t="shared" si="391"/>
        <v>0.36197756128412645</v>
      </c>
      <c r="BC114" s="16">
        <f t="shared" si="391"/>
        <v>1.4120788545205874E-2</v>
      </c>
      <c r="BD114" s="16">
        <f t="shared" si="391"/>
        <v>-5.5799384439414316E-4</v>
      </c>
      <c r="BE114" s="16">
        <f t="shared" si="391"/>
        <v>3.2939424108272912E-5</v>
      </c>
      <c r="BF114" s="16">
        <f t="shared" si="391"/>
        <v>0</v>
      </c>
      <c r="BG114" s="16">
        <f t="shared" si="391"/>
        <v>0</v>
      </c>
      <c r="BH114" s="172">
        <f t="shared" si="375"/>
        <v>8155.0232828267881</v>
      </c>
      <c r="BI114" s="16">
        <f t="shared" si="410"/>
        <v>6760.4784782803481</v>
      </c>
      <c r="BJ114" s="16">
        <f t="shared" si="410"/>
        <v>5529.2942159323538</v>
      </c>
      <c r="BK114" s="16">
        <f t="shared" si="410"/>
        <v>4458.4313671326408</v>
      </c>
      <c r="BL114" s="16">
        <f t="shared" si="410"/>
        <v>3541.7044455655696</v>
      </c>
      <c r="BM114" s="16">
        <f t="shared" si="410"/>
        <v>2734.9615987004836</v>
      </c>
      <c r="BN114" s="16">
        <f t="shared" si="410"/>
        <v>2010.9694335716461</v>
      </c>
      <c r="BO114" s="16">
        <f t="shared" si="410"/>
        <v>1392.2092858517024</v>
      </c>
      <c r="BP114" s="16">
        <f t="shared" si="410"/>
        <v>894.85731213955728</v>
      </c>
      <c r="BQ114" s="16">
        <f t="shared" si="410"/>
        <v>524.58221221485394</v>
      </c>
      <c r="BR114" s="16">
        <f t="shared" si="410"/>
        <v>274.1012787033934</v>
      </c>
      <c r="BS114" s="16">
        <f t="shared" si="410"/>
        <v>123.83974031469592</v>
      </c>
      <c r="BT114" s="16">
        <f t="shared" si="410"/>
        <v>46.429939626829416</v>
      </c>
      <c r="BU114" s="16">
        <f t="shared" si="410"/>
        <v>13.59801457661243</v>
      </c>
      <c r="BV114" s="16">
        <f t="shared" si="395"/>
        <v>2.8288209697375808</v>
      </c>
      <c r="BW114" s="16">
        <f t="shared" si="395"/>
        <v>0.34785677273892057</v>
      </c>
      <c r="BX114" s="16">
        <f t="shared" si="395"/>
        <v>1.4678782389600017E-2</v>
      </c>
      <c r="BY114" s="16">
        <f t="shared" si="395"/>
        <v>-5.9093326850241602E-4</v>
      </c>
      <c r="BZ114" s="16">
        <f t="shared" si="395"/>
        <v>3.2939424108272912E-5</v>
      </c>
      <c r="CA114" s="16">
        <f t="shared" si="395"/>
        <v>0</v>
      </c>
      <c r="CB114" s="16">
        <f t="shared" si="395"/>
        <v>0</v>
      </c>
      <c r="CC114" s="18">
        <f t="shared" si="376"/>
        <v>3.8233972248856967</v>
      </c>
      <c r="CD114" s="18">
        <f t="shared" si="376"/>
        <v>3.4058048079857501</v>
      </c>
      <c r="CE114" s="18">
        <f t="shared" si="376"/>
        <v>2.9414950610633288</v>
      </c>
      <c r="CF114" s="18">
        <f t="shared" si="376"/>
        <v>2.4078193713011622</v>
      </c>
      <c r="CG114" s="18">
        <f t="shared" si="280"/>
        <v>1.772216214180385</v>
      </c>
      <c r="CH114" s="18">
        <f t="shared" si="280"/>
        <v>1</v>
      </c>
      <c r="CI114" s="18">
        <f t="shared" si="280"/>
        <v>0</v>
      </c>
      <c r="CJ114" s="18">
        <f t="shared" si="280"/>
        <v>-1.4444447785315619</v>
      </c>
      <c r="CK114" s="18">
        <f t="shared" si="396"/>
        <v>-3.8030406336922309</v>
      </c>
      <c r="CL114" s="18">
        <f t="shared" si="396"/>
        <v>-8.1932553782486099</v>
      </c>
      <c r="CM114" s="18">
        <f t="shared" si="396"/>
        <v>-17.594293126214648</v>
      </c>
      <c r="CN114" s="18">
        <f t="shared" si="396"/>
        <v>-41.155767199847169</v>
      </c>
      <c r="CO114" s="18">
        <f t="shared" si="397"/>
        <v>-112.43950142418801</v>
      </c>
      <c r="CP114" s="18">
        <f t="shared" si="397"/>
        <v>-387.33516372908633</v>
      </c>
      <c r="CQ114" s="18">
        <f t="shared" si="397"/>
        <v>-1866.7095844842918</v>
      </c>
      <c r="CR114" s="18">
        <f t="shared" si="397"/>
        <v>-15188.481156681197</v>
      </c>
      <c r="CS114" s="18">
        <f t="shared" si="397"/>
        <v>-359959.27690060571</v>
      </c>
      <c r="CT114" s="18">
        <f t="shared" si="397"/>
        <v>8941413.2782110479</v>
      </c>
      <c r="CU114" s="18">
        <f t="shared" si="397"/>
        <v>-160408936.27110618</v>
      </c>
      <c r="CV114" s="18" t="e">
        <f t="shared" si="397"/>
        <v>#DIV/0!</v>
      </c>
      <c r="CW114" s="18" t="e">
        <f t="shared" ref="CW114:CW138" si="411">(BG114-$V114)/CB114</f>
        <v>#DIV/0!</v>
      </c>
      <c r="CX114" s="17">
        <f t="shared" si="302"/>
        <v>1138.1811861976653</v>
      </c>
      <c r="CY114" s="17">
        <f t="shared" si="381"/>
        <v>1019.9631172690445</v>
      </c>
      <c r="CZ114" s="17">
        <f t="shared" si="381"/>
        <v>899.21679150201351</v>
      </c>
      <c r="DA114" s="17">
        <f t="shared" si="381"/>
        <v>779.24770980348092</v>
      </c>
      <c r="DB114" s="17">
        <f t="shared" si="381"/>
        <v>698.89373581017753</v>
      </c>
      <c r="DC114" s="17">
        <f t="shared" si="381"/>
        <v>642.46184480361489</v>
      </c>
      <c r="DD114" s="17">
        <f t="shared" si="381"/>
        <v>560.3116963574472</v>
      </c>
      <c r="DE114" s="17">
        <f t="shared" si="381"/>
        <v>458.08443307513147</v>
      </c>
      <c r="DF114" s="3" t="e">
        <f>#REF!+$AG$35*0.004*(1+$R$28)*#REF!-S114*#REF!</f>
        <v>#REF!</v>
      </c>
      <c r="DG114" s="19">
        <f t="shared" si="303"/>
        <v>1960.4234767324963</v>
      </c>
      <c r="DH114" s="19">
        <f t="shared" si="304"/>
        <v>1752.3998957982394</v>
      </c>
      <c r="DI114" s="19">
        <f t="shared" si="305"/>
        <v>1531.8012430633892</v>
      </c>
      <c r="DJ114" s="19">
        <f t="shared" si="306"/>
        <v>1297.0623125255386</v>
      </c>
      <c r="DK114" s="19">
        <f t="shared" si="307"/>
        <v>1080.0184355369267</v>
      </c>
      <c r="DL114" s="19">
        <f t="shared" si="308"/>
        <v>857.51726336777222</v>
      </c>
      <c r="DM114" s="19">
        <f t="shared" si="309"/>
        <v>560.3116963574472</v>
      </c>
      <c r="DN114" s="19">
        <f t="shared" si="310"/>
        <v>147.44875663521486</v>
      </c>
      <c r="DO114" s="25"/>
      <c r="DP114" s="25"/>
      <c r="DW114" s="26">
        <f t="shared" si="394"/>
        <v>0</v>
      </c>
      <c r="DX114" s="26">
        <f t="shared" si="394"/>
        <v>0</v>
      </c>
      <c r="DY114" s="26">
        <f t="shared" si="394"/>
        <v>0</v>
      </c>
      <c r="DZ114" s="26">
        <f t="shared" si="394"/>
        <v>0</v>
      </c>
      <c r="EA114" s="26">
        <f t="shared" si="394"/>
        <v>0</v>
      </c>
      <c r="EB114" s="26">
        <f t="shared" si="394"/>
        <v>0</v>
      </c>
      <c r="EC114" s="26">
        <f t="shared" si="394"/>
        <v>0</v>
      </c>
      <c r="ED114" s="26">
        <f t="shared" si="394"/>
        <v>0</v>
      </c>
      <c r="EE114" s="26">
        <f t="shared" si="394"/>
        <v>0</v>
      </c>
      <c r="EF114" s="26">
        <f t="shared" si="394"/>
        <v>0</v>
      </c>
      <c r="EG114" s="26">
        <f t="shared" si="394"/>
        <v>0</v>
      </c>
      <c r="EH114" s="26">
        <f t="shared" si="394"/>
        <v>0</v>
      </c>
      <c r="EI114" s="26">
        <f t="shared" si="394"/>
        <v>0</v>
      </c>
      <c r="ER114" s="26">
        <f t="shared" si="312"/>
        <v>-2.0831033729729578</v>
      </c>
      <c r="ES114" s="26">
        <f t="shared" si="312"/>
        <v>-3.5534569069298758</v>
      </c>
      <c r="ET114" s="26">
        <f t="shared" si="312"/>
        <v>-6.8006989754489942</v>
      </c>
      <c r="EU114" s="26">
        <f t="shared" si="312"/>
        <v>-15.052359448675446</v>
      </c>
      <c r="EV114" s="26">
        <f t="shared" si="312"/>
        <v>-40.148238404563266</v>
      </c>
      <c r="EW114" s="26">
        <f t="shared" si="312"/>
        <v>-137.08473944817692</v>
      </c>
      <c r="EX114" s="26">
        <f t="shared" si="312"/>
        <v>-658.96014812855071</v>
      </c>
      <c r="EY114" s="26">
        <f t="shared" si="312"/>
        <v>-5358.7580617453959</v>
      </c>
      <c r="EZ114" s="26">
        <f t="shared" si="312"/>
        <v>-126991.47897772066</v>
      </c>
      <c r="FA114" s="26">
        <f t="shared" si="312"/>
        <v>3154468.3378065815</v>
      </c>
      <c r="FB114" s="26">
        <f t="shared" si="312"/>
        <v>-56591161.980250075</v>
      </c>
      <c r="FC114" s="26" t="e">
        <f t="shared" si="312"/>
        <v>#DIV/0!</v>
      </c>
      <c r="FD114" s="26" t="e">
        <f t="shared" si="312"/>
        <v>#DIV/0!</v>
      </c>
      <c r="FM114" s="26">
        <f t="shared" si="313"/>
        <v>-2.5557891375140041</v>
      </c>
      <c r="FN114" s="26">
        <f t="shared" si="313"/>
        <v>-5.3597867879182726</v>
      </c>
      <c r="FO114" s="26">
        <f t="shared" si="281"/>
        <v>-11.257700451111777</v>
      </c>
      <c r="FP114" s="26">
        <f t="shared" si="401"/>
        <v>-25.917284880185786</v>
      </c>
      <c r="FQ114" s="26">
        <f t="shared" si="402"/>
        <v>-70.127589977944965</v>
      </c>
      <c r="FR114" s="26">
        <f t="shared" si="403"/>
        <v>-240.44817462184099</v>
      </c>
      <c r="FS114" s="26">
        <f t="shared" si="398"/>
        <v>-1156.8235103619706</v>
      </c>
      <c r="FT114" s="26">
        <f t="shared" si="398"/>
        <v>-9408.4540467650313</v>
      </c>
      <c r="FU114" s="26">
        <f t="shared" si="398"/>
        <v>-222961.8951413375</v>
      </c>
      <c r="FV114" s="26">
        <f t="shared" si="398"/>
        <v>5538372.4753108248</v>
      </c>
      <c r="FW114" s="26">
        <f t="shared" si="398"/>
        <v>-99358403.207076192</v>
      </c>
      <c r="GH114" s="26">
        <f t="shared" si="314"/>
        <v>2.2472514961782259</v>
      </c>
      <c r="GI114" s="26">
        <f t="shared" si="314"/>
        <v>3.8334685903303374</v>
      </c>
      <c r="GJ114" s="26">
        <f t="shared" si="282"/>
        <v>7.3365926751028692</v>
      </c>
      <c r="GK114" s="26">
        <f t="shared" si="404"/>
        <v>16.238482319661379</v>
      </c>
      <c r="GL114" s="26">
        <f t="shared" si="405"/>
        <v>43.311911446243037</v>
      </c>
      <c r="GM114" s="26">
        <f t="shared" si="406"/>
        <v>147.88698910724537</v>
      </c>
      <c r="GN114" s="26">
        <f t="shared" si="399"/>
        <v>710.88607412232113</v>
      </c>
      <c r="GO114" s="26">
        <f t="shared" si="399"/>
        <v>5781.0271099161646</v>
      </c>
      <c r="GP114" s="26">
        <f t="shared" si="399"/>
        <v>136998.3817592682</v>
      </c>
      <c r="GQ114" s="26">
        <f t="shared" si="399"/>
        <v>-3403039.8029002226</v>
      </c>
      <c r="GR114" s="26">
        <f t="shared" si="399"/>
        <v>61050534.064029992</v>
      </c>
      <c r="GS114" s="26" t="e">
        <f t="shared" si="399"/>
        <v>#DIV/0!</v>
      </c>
      <c r="GT114" s="26" t="e">
        <f t="shared" si="315"/>
        <v>#DIV/0!</v>
      </c>
      <c r="HC114" s="26">
        <f t="shared" si="316"/>
        <v>-3.8030406336922309</v>
      </c>
      <c r="HD114" s="26">
        <f t="shared" si="316"/>
        <v>-8.1932553782486099</v>
      </c>
      <c r="HE114" s="26">
        <f t="shared" si="283"/>
        <v>-17.594293126214648</v>
      </c>
      <c r="HF114" s="26">
        <f t="shared" si="407"/>
        <v>-41.155767199847169</v>
      </c>
      <c r="HG114" s="26">
        <f t="shared" si="408"/>
        <v>-112.43950142418801</v>
      </c>
      <c r="HH114" s="26">
        <f t="shared" si="409"/>
        <v>-387.33516372908633</v>
      </c>
      <c r="HI114" s="26">
        <f t="shared" si="400"/>
        <v>-1866.7095844842918</v>
      </c>
      <c r="HJ114" s="26">
        <f t="shared" si="400"/>
        <v>-15188.481156681197</v>
      </c>
      <c r="HK114" s="26">
        <f t="shared" si="400"/>
        <v>-359959.27690060571</v>
      </c>
      <c r="HL114" s="26">
        <f t="shared" si="400"/>
        <v>8941413.2782110479</v>
      </c>
      <c r="HM114" s="26">
        <f t="shared" si="400"/>
        <v>-160408936.27110618</v>
      </c>
      <c r="HN114" s="26" t="e">
        <f t="shared" si="400"/>
        <v>#DIV/0!</v>
      </c>
      <c r="HO114" s="26" t="e">
        <f t="shared" si="317"/>
        <v>#DIV/0!</v>
      </c>
      <c r="HP114" s="26">
        <f t="shared" si="318"/>
        <v>1031889.3409120624</v>
      </c>
      <c r="HX114" s="26">
        <f t="shared" si="319"/>
        <v>752361.41649076482</v>
      </c>
      <c r="HY114" s="26">
        <f t="shared" si="320"/>
        <v>1067961.4341033588</v>
      </c>
      <c r="HZ114" s="26">
        <f t="shared" si="321"/>
        <v>1852509.9676710544</v>
      </c>
      <c r="IA114" s="26">
        <f t="shared" si="322"/>
        <v>3969749.4411829179</v>
      </c>
      <c r="IB114" s="26">
        <f t="shared" si="323"/>
        <v>10588270.065861221</v>
      </c>
      <c r="IC114" s="26">
        <f t="shared" si="324"/>
        <v>36426042.501226775</v>
      </c>
      <c r="ID114" s="26">
        <f t="shared" si="325"/>
        <v>175978267.39209068</v>
      </c>
      <c r="IE114" s="26">
        <f t="shared" si="326"/>
        <v>1433607567.2589726</v>
      </c>
      <c r="IF114" s="26">
        <f t="shared" si="327"/>
        <v>33984483497.160179</v>
      </c>
      <c r="IG114" s="26">
        <f t="shared" si="328"/>
        <v>-844190476058.47485</v>
      </c>
      <c r="IH114" s="26">
        <f t="shared" si="329"/>
        <v>15144762892651.543</v>
      </c>
      <c r="II114" s="26" t="e">
        <f t="shared" si="330"/>
        <v>#DIV/0!</v>
      </c>
      <c r="IR114" s="26">
        <f t="shared" si="331"/>
        <v>773330.94300516136</v>
      </c>
      <c r="IS114" s="26">
        <f t="shared" si="332"/>
        <v>1096956.1315389643</v>
      </c>
      <c r="IT114" s="26">
        <f t="shared" si="333"/>
        <v>1902434.602978419</v>
      </c>
      <c r="IU114" s="26">
        <f t="shared" si="334"/>
        <v>4077733.4786425033</v>
      </c>
      <c r="IV114" s="26">
        <f t="shared" si="335"/>
        <v>10881432.136364127</v>
      </c>
      <c r="IW114" s="26">
        <f t="shared" si="336"/>
        <v>37455020.160050184</v>
      </c>
      <c r="IX114" s="26">
        <f t="shared" si="337"/>
        <v>181050862.23969677</v>
      </c>
      <c r="IY114" s="26">
        <f t="shared" si="338"/>
        <v>1475767436.9682913</v>
      </c>
      <c r="IZ114" s="26">
        <f t="shared" si="339"/>
        <v>35004018002.074982</v>
      </c>
      <c r="JA114" s="26">
        <f t="shared" si="340"/>
        <v>-870024280521.64221</v>
      </c>
      <c r="JB114" s="26">
        <f t="shared" si="341"/>
        <v>15617494196144.783</v>
      </c>
      <c r="JC114" s="26" t="e">
        <f t="shared" si="342"/>
        <v>#DIV/0!</v>
      </c>
      <c r="JI114" s="26">
        <f t="shared" si="343"/>
        <v>0</v>
      </c>
      <c r="JJ114" s="26">
        <f t="shared" si="344"/>
        <v>0</v>
      </c>
      <c r="JK114" s="26">
        <f t="shared" si="345"/>
        <v>1516637.1543568936</v>
      </c>
      <c r="JL114" s="26">
        <f t="shared" si="346"/>
        <v>2698332.0305733453</v>
      </c>
      <c r="JM114" s="26">
        <f t="shared" si="347"/>
        <v>5341248.0748086013</v>
      </c>
      <c r="JN114" s="26">
        <f t="shared" si="348"/>
        <v>12121648.950271923</v>
      </c>
      <c r="JO114" s="26">
        <f t="shared" si="349"/>
        <v>32857789.440953083</v>
      </c>
      <c r="JP114" s="26">
        <f t="shared" si="350"/>
        <v>113159873.40934357</v>
      </c>
      <c r="JQ114" s="26">
        <f t="shared" si="351"/>
        <v>545900192.70553446</v>
      </c>
      <c r="JR114" s="26">
        <f t="shared" si="352"/>
        <v>4444363745.0753479</v>
      </c>
      <c r="JS114" s="26">
        <f t="shared" si="353"/>
        <v>105358240353.39767</v>
      </c>
      <c r="JT114" s="26">
        <f t="shared" si="354"/>
        <v>-2617628018719.0352</v>
      </c>
      <c r="JU114" s="26">
        <f t="shared" si="355"/>
        <v>46969501753023.961</v>
      </c>
      <c r="JV114" s="26" t="e">
        <f t="shared" si="356"/>
        <v>#DIV/0!</v>
      </c>
      <c r="JW114" s="26" t="e">
        <f t="shared" si="357"/>
        <v>#DIV/0!</v>
      </c>
      <c r="JY114" s="34">
        <f t="shared" si="358"/>
        <v>0.15487934234950945</v>
      </c>
      <c r="JZ114" s="4">
        <f t="shared" si="359"/>
        <v>0</v>
      </c>
      <c r="KA114" s="165"/>
    </row>
    <row r="115" spans="1:287" ht="15.75" x14ac:dyDescent="0.3">
      <c r="A115" s="34">
        <v>114</v>
      </c>
      <c r="B115" s="34">
        <v>87</v>
      </c>
      <c r="C115" s="2">
        <v>236285</v>
      </c>
      <c r="D115" s="1">
        <f t="shared" si="360"/>
        <v>26840</v>
      </c>
      <c r="E115" s="145">
        <f t="shared" si="361"/>
        <v>0.88640836278223334</v>
      </c>
      <c r="F115" s="146">
        <f t="shared" si="362"/>
        <v>0.11359163721776666</v>
      </c>
      <c r="G115" s="158">
        <f t="shared" si="284"/>
        <v>0.14198954652220833</v>
      </c>
      <c r="H115" s="43">
        <f t="shared" si="363"/>
        <v>23093.619687737781</v>
      </c>
      <c r="I115" s="43">
        <f t="shared" si="390"/>
        <v>162643.09770244776</v>
      </c>
      <c r="J115" s="43">
        <f t="shared" si="364"/>
        <v>222865</v>
      </c>
      <c r="K115" s="147">
        <f>SUM(J115:$J$138)</f>
        <v>1222447.5</v>
      </c>
      <c r="L115" s="147">
        <f t="shared" si="365"/>
        <v>5.1736144909748818</v>
      </c>
      <c r="M115" s="43">
        <f t="shared" si="285"/>
        <v>278581.25</v>
      </c>
      <c r="N115" s="148">
        <f t="shared" si="286"/>
        <v>1528059.375</v>
      </c>
      <c r="O115" s="147">
        <f t="shared" si="287"/>
        <v>6.467018113718602</v>
      </c>
      <c r="P115" s="157">
        <f t="shared" si="288"/>
        <v>8155.0232828267881</v>
      </c>
      <c r="Q115" s="43">
        <f t="shared" si="289"/>
        <v>295356.25</v>
      </c>
      <c r="R115" s="43">
        <f t="shared" si="290"/>
        <v>1138.1811861976653</v>
      </c>
      <c r="S115" s="43">
        <f>SUM(R115:$R$138)</f>
        <v>7042.0446706334251</v>
      </c>
      <c r="T115" s="43">
        <f t="shared" si="366"/>
        <v>32483.758776683164</v>
      </c>
      <c r="U115" s="153">
        <f>SUM(P115:$P$138)</f>
        <v>36463.671403968496</v>
      </c>
      <c r="V115" s="129">
        <f t="shared" si="291"/>
        <v>3272.8085819586663</v>
      </c>
      <c r="W115" s="43">
        <f t="shared" si="292"/>
        <v>1392.2092858517024</v>
      </c>
      <c r="X115" s="26">
        <f t="shared" si="367"/>
        <v>4.0699899523162166</v>
      </c>
      <c r="Y115" s="26">
        <f t="shared" si="368"/>
        <v>0.17071800258173128</v>
      </c>
      <c r="Z115" s="43">
        <f t="shared" si="293"/>
        <v>1303.7685888899796</v>
      </c>
      <c r="AA115" s="149">
        <f t="shared" si="369"/>
        <v>0.70364925797665878</v>
      </c>
      <c r="AB115" s="150">
        <f t="shared" si="370"/>
        <v>28308.648121141709</v>
      </c>
      <c r="AC115" s="150">
        <f t="shared" si="371"/>
        <v>1880.5992961069639</v>
      </c>
      <c r="AD115" s="26">
        <f t="shared" si="372"/>
        <v>3.2407079548979474</v>
      </c>
      <c r="AE115" s="26">
        <f t="shared" si="294"/>
        <v>813816.60152239841</v>
      </c>
      <c r="AF115" s="43">
        <f t="shared" si="295"/>
        <v>199955.43258264271</v>
      </c>
      <c r="AG115" s="43">
        <f t="shared" si="296"/>
        <v>841664.74187957915</v>
      </c>
      <c r="AH115" s="27">
        <f t="shared" si="297"/>
        <v>210640.5476223217</v>
      </c>
      <c r="AI115" s="28">
        <f t="shared" si="298"/>
        <v>905015.85148341849</v>
      </c>
      <c r="AJ115" s="20">
        <f t="shared" si="299"/>
        <v>226495.21249712011</v>
      </c>
      <c r="AK115" s="3">
        <f t="shared" si="300"/>
        <v>19629.585083083741</v>
      </c>
      <c r="AL115" s="3"/>
      <c r="AM115" s="46">
        <f t="shared" si="373"/>
        <v>28308.648121141709</v>
      </c>
      <c r="AN115" s="46">
        <f t="shared" si="374"/>
        <v>21548.169642861361</v>
      </c>
      <c r="AO115" s="46">
        <f t="shared" si="374"/>
        <v>16018.875426929008</v>
      </c>
      <c r="AP115" s="3">
        <f t="shared" si="393"/>
        <v>11560.444059796366</v>
      </c>
      <c r="AQ115" s="3">
        <f t="shared" si="393"/>
        <v>8018.7396142307962</v>
      </c>
      <c r="AR115" s="16">
        <f t="shared" si="393"/>
        <v>5283.7780155303126</v>
      </c>
      <c r="AS115" s="16">
        <f t="shared" si="393"/>
        <v>3272.8085819586663</v>
      </c>
      <c r="AT115" s="16">
        <f t="shared" si="393"/>
        <v>1880.5992961069639</v>
      </c>
      <c r="AU115" s="16">
        <f t="shared" si="393"/>
        <v>985.7419839674069</v>
      </c>
      <c r="AV115" s="16">
        <f t="shared" si="393"/>
        <v>461.1597717525529</v>
      </c>
      <c r="AW115" s="16">
        <f t="shared" si="393"/>
        <v>187.05849304915947</v>
      </c>
      <c r="AX115" s="16">
        <f t="shared" si="391"/>
        <v>63.21875273446355</v>
      </c>
      <c r="AY115" s="16">
        <f t="shared" si="391"/>
        <v>16.788813107634137</v>
      </c>
      <c r="AZ115" s="16">
        <f t="shared" si="391"/>
        <v>3.1907985310217075</v>
      </c>
      <c r="BA115" s="16">
        <f t="shared" si="391"/>
        <v>0.36197756128412645</v>
      </c>
      <c r="BB115" s="16">
        <f t="shared" si="391"/>
        <v>1.4120788545205874E-2</v>
      </c>
      <c r="BC115" s="16">
        <f t="shared" si="391"/>
        <v>-5.5799384439414316E-4</v>
      </c>
      <c r="BD115" s="16">
        <f t="shared" si="391"/>
        <v>3.2939424108272912E-5</v>
      </c>
      <c r="BE115" s="16">
        <f t="shared" si="391"/>
        <v>0</v>
      </c>
      <c r="BF115" s="16">
        <f t="shared" si="391"/>
        <v>0</v>
      </c>
      <c r="BG115" s="16">
        <f t="shared" si="391"/>
        <v>0</v>
      </c>
      <c r="BH115" s="172">
        <f t="shared" si="375"/>
        <v>6760.4784782803481</v>
      </c>
      <c r="BI115" s="16">
        <f t="shared" si="410"/>
        <v>5529.2942159323538</v>
      </c>
      <c r="BJ115" s="16">
        <f t="shared" si="410"/>
        <v>4458.4313671326408</v>
      </c>
      <c r="BK115" s="16">
        <f t="shared" si="410"/>
        <v>3541.7044455655696</v>
      </c>
      <c r="BL115" s="16">
        <f t="shared" si="410"/>
        <v>2734.9615987004836</v>
      </c>
      <c r="BM115" s="16">
        <f t="shared" si="410"/>
        <v>2010.9694335716461</v>
      </c>
      <c r="BN115" s="16">
        <f t="shared" si="410"/>
        <v>1392.2092858517024</v>
      </c>
      <c r="BO115" s="16">
        <f t="shared" si="410"/>
        <v>894.85731213955728</v>
      </c>
      <c r="BP115" s="16">
        <f t="shared" si="410"/>
        <v>524.58221221485394</v>
      </c>
      <c r="BQ115" s="16">
        <f t="shared" si="410"/>
        <v>274.1012787033934</v>
      </c>
      <c r="BR115" s="16">
        <f t="shared" si="410"/>
        <v>123.83974031469592</v>
      </c>
      <c r="BS115" s="16">
        <f t="shared" si="410"/>
        <v>46.429939626829416</v>
      </c>
      <c r="BT115" s="16">
        <f t="shared" si="410"/>
        <v>13.59801457661243</v>
      </c>
      <c r="BU115" s="16">
        <f t="shared" si="410"/>
        <v>2.8288209697375808</v>
      </c>
      <c r="BV115" s="16">
        <f t="shared" si="395"/>
        <v>0.34785677273892057</v>
      </c>
      <c r="BW115" s="16">
        <f t="shared" si="395"/>
        <v>1.4678782389600017E-2</v>
      </c>
      <c r="BX115" s="16">
        <f t="shared" si="395"/>
        <v>-5.9093326850241602E-4</v>
      </c>
      <c r="BY115" s="16">
        <f t="shared" si="395"/>
        <v>3.2939424108272912E-5</v>
      </c>
      <c r="BZ115" s="16">
        <f t="shared" si="395"/>
        <v>0</v>
      </c>
      <c r="CA115" s="16">
        <f t="shared" si="395"/>
        <v>0</v>
      </c>
      <c r="CB115" s="16">
        <f t="shared" si="395"/>
        <v>0</v>
      </c>
      <c r="CC115" s="18">
        <f t="shared" si="376"/>
        <v>3.7032644389915088</v>
      </c>
      <c r="CD115" s="18">
        <f t="shared" si="376"/>
        <v>3.3051887541529728</v>
      </c>
      <c r="CE115" s="18">
        <f t="shared" si="376"/>
        <v>2.8588680177817207</v>
      </c>
      <c r="CF115" s="18">
        <f t="shared" si="376"/>
        <v>2.3400132916834222</v>
      </c>
      <c r="CG115" s="18">
        <f t="shared" si="280"/>
        <v>1.7352825116547006</v>
      </c>
      <c r="CH115" s="18">
        <f t="shared" si="280"/>
        <v>1.0000000000000002</v>
      </c>
      <c r="CI115" s="18">
        <f t="shared" si="280"/>
        <v>0</v>
      </c>
      <c r="CJ115" s="18">
        <f t="shared" si="280"/>
        <v>-1.5557891375140047</v>
      </c>
      <c r="CK115" s="18">
        <f t="shared" si="396"/>
        <v>-4.3597867879182717</v>
      </c>
      <c r="CL115" s="18">
        <f t="shared" si="396"/>
        <v>-10.257700451111777</v>
      </c>
      <c r="CM115" s="18">
        <f t="shared" si="396"/>
        <v>-24.917284880185786</v>
      </c>
      <c r="CN115" s="18">
        <f t="shared" si="396"/>
        <v>-69.127589977944965</v>
      </c>
      <c r="CO115" s="18">
        <f t="shared" si="397"/>
        <v>-239.44817462184096</v>
      </c>
      <c r="CP115" s="18">
        <f t="shared" si="397"/>
        <v>-1155.8235103619706</v>
      </c>
      <c r="CQ115" s="18">
        <f t="shared" si="397"/>
        <v>-9407.4540467650313</v>
      </c>
      <c r="CR115" s="18">
        <f t="shared" si="397"/>
        <v>-222960.8951413375</v>
      </c>
      <c r="CS115" s="18">
        <f t="shared" si="397"/>
        <v>5538373.4753108248</v>
      </c>
      <c r="CT115" s="18">
        <f t="shared" si="397"/>
        <v>-99358402.207076192</v>
      </c>
      <c r="CU115" s="18" t="e">
        <f t="shared" si="397"/>
        <v>#DIV/0!</v>
      </c>
      <c r="CV115" s="18" t="e">
        <f t="shared" si="397"/>
        <v>#DIV/0!</v>
      </c>
      <c r="CW115" s="18" t="e">
        <f t="shared" si="411"/>
        <v>#DIV/0!</v>
      </c>
      <c r="CX115" s="17">
        <f t="shared" si="302"/>
        <v>1019.9631172690445</v>
      </c>
      <c r="CY115" s="17">
        <f t="shared" si="381"/>
        <v>899.21679150201351</v>
      </c>
      <c r="CZ115" s="17">
        <f t="shared" si="381"/>
        <v>779.24770980348092</v>
      </c>
      <c r="DA115" s="17">
        <f t="shared" si="381"/>
        <v>698.89373581017753</v>
      </c>
      <c r="DB115" s="17">
        <f t="shared" si="381"/>
        <v>642.46184480361489</v>
      </c>
      <c r="DC115" s="17">
        <f t="shared" si="381"/>
        <v>560.3116963574472</v>
      </c>
      <c r="DD115" s="17">
        <f t="shared" si="381"/>
        <v>458.08443307513147</v>
      </c>
      <c r="DE115" s="17">
        <f t="shared" si="381"/>
        <v>345.91330056461686</v>
      </c>
      <c r="DF115" s="3" t="e">
        <f>#REF!+$AG$35*0.004*(1+$R$28)*#REF!-S115*#REF!</f>
        <v>#REF!</v>
      </c>
      <c r="DG115" s="19">
        <f t="shared" si="303"/>
        <v>1818.2447707648337</v>
      </c>
      <c r="DH115" s="19">
        <f t="shared" si="304"/>
        <v>1611.6886085293288</v>
      </c>
      <c r="DI115" s="19">
        <f t="shared" si="305"/>
        <v>1395.509909265131</v>
      </c>
      <c r="DJ115" s="19">
        <f t="shared" si="306"/>
        <v>1203.3107739290829</v>
      </c>
      <c r="DK115" s="19">
        <f t="shared" si="307"/>
        <v>1016.5221409306927</v>
      </c>
      <c r="DL115" s="19">
        <f t="shared" si="308"/>
        <v>775.87330872590701</v>
      </c>
      <c r="DM115" s="19">
        <f t="shared" si="309"/>
        <v>458.08443307513147</v>
      </c>
      <c r="DN115" s="19">
        <f t="shared" si="310"/>
        <v>10.544885576762686</v>
      </c>
      <c r="DO115" s="25"/>
      <c r="DP115" s="25"/>
      <c r="DW115" s="26">
        <f t="shared" si="394"/>
        <v>0</v>
      </c>
      <c r="DX115" s="26">
        <f t="shared" si="394"/>
        <v>0</v>
      </c>
      <c r="DY115" s="26">
        <f t="shared" si="394"/>
        <v>0</v>
      </c>
      <c r="DZ115" s="26">
        <f t="shared" si="394"/>
        <v>0</v>
      </c>
      <c r="EA115" s="26">
        <f t="shared" si="394"/>
        <v>0</v>
      </c>
      <c r="EB115" s="26">
        <f t="shared" si="394"/>
        <v>0</v>
      </c>
      <c r="EC115" s="26">
        <f t="shared" si="394"/>
        <v>0</v>
      </c>
      <c r="ED115" s="26">
        <f t="shared" si="394"/>
        <v>0</v>
      </c>
      <c r="EE115" s="26">
        <f t="shared" si="394"/>
        <v>0</v>
      </c>
      <c r="EF115" s="26">
        <f t="shared" si="394"/>
        <v>0</v>
      </c>
      <c r="EG115" s="26">
        <f t="shared" si="394"/>
        <v>0</v>
      </c>
      <c r="EH115" s="26">
        <f t="shared" si="394"/>
        <v>0</v>
      </c>
      <c r="EI115" s="26">
        <f t="shared" si="394"/>
        <v>0</v>
      </c>
      <c r="ER115" s="26">
        <f t="shared" si="312"/>
        <v>-2.4853465453685515</v>
      </c>
      <c r="ES115" s="26">
        <f t="shared" si="312"/>
        <v>-4.7565213670556981</v>
      </c>
      <c r="ET115" s="26">
        <f t="shared" si="312"/>
        <v>-10.527869208841217</v>
      </c>
      <c r="EU115" s="26">
        <f t="shared" si="312"/>
        <v>-28.080342110473055</v>
      </c>
      <c r="EV115" s="26">
        <f t="shared" si="312"/>
        <v>-95.879334556117058</v>
      </c>
      <c r="EW115" s="26">
        <f t="shared" si="312"/>
        <v>-460.88762874623535</v>
      </c>
      <c r="EX115" s="26">
        <f t="shared" si="312"/>
        <v>-3748.0040380542091</v>
      </c>
      <c r="EY115" s="26">
        <f t="shared" si="312"/>
        <v>-88819.941210771372</v>
      </c>
      <c r="EZ115" s="26">
        <f t="shared" si="312"/>
        <v>2206287.3396755611</v>
      </c>
      <c r="FA115" s="26">
        <f t="shared" si="312"/>
        <v>-39580794.873779565</v>
      </c>
      <c r="FB115" s="26" t="e">
        <f t="shared" si="312"/>
        <v>#DIV/0!</v>
      </c>
      <c r="FC115" s="26" t="e">
        <f t="shared" si="312"/>
        <v>#DIV/0!</v>
      </c>
      <c r="FD115" s="26" t="e">
        <f t="shared" si="312"/>
        <v>#DIV/0!</v>
      </c>
      <c r="FM115" s="26">
        <f t="shared" si="313"/>
        <v>-2.7058476084451164</v>
      </c>
      <c r="FN115" s="26">
        <f t="shared" si="313"/>
        <v>-6.1785220815784472</v>
      </c>
      <c r="FO115" s="26">
        <f t="shared" si="281"/>
        <v>-14.675261259061555</v>
      </c>
      <c r="FP115" s="26">
        <f t="shared" si="401"/>
        <v>-40.142427450461987</v>
      </c>
      <c r="FQ115" s="26">
        <f t="shared" si="402"/>
        <v>-138.06489815100983</v>
      </c>
      <c r="FR115" s="26">
        <f t="shared" si="403"/>
        <v>-664.67172672298955</v>
      </c>
      <c r="FS115" s="26">
        <f t="shared" si="398"/>
        <v>-5406.2054348151723</v>
      </c>
      <c r="FT115" s="26">
        <f t="shared" si="398"/>
        <v>-128116.88355249559</v>
      </c>
      <c r="FU115" s="26">
        <f t="shared" si="398"/>
        <v>3182422.3874439914</v>
      </c>
      <c r="FV115" s="26">
        <f t="shared" si="398"/>
        <v>-57092658.630745202</v>
      </c>
      <c r="FW115" s="26" t="e">
        <f t="shared" si="398"/>
        <v>#DIV/0!</v>
      </c>
      <c r="GH115" s="26">
        <f t="shared" si="314"/>
        <v>2.6539391794731557</v>
      </c>
      <c r="GI115" s="26">
        <f t="shared" si="314"/>
        <v>5.079178369533329</v>
      </c>
      <c r="GJ115" s="26">
        <f t="shared" si="282"/>
        <v>11.242023621124233</v>
      </c>
      <c r="GK115" s="26">
        <f t="shared" si="404"/>
        <v>29.985162527482977</v>
      </c>
      <c r="GL115" s="26">
        <f t="shared" si="405"/>
        <v>102.38327647083115</v>
      </c>
      <c r="GM115" s="26">
        <f t="shared" si="406"/>
        <v>492.15178363898104</v>
      </c>
      <c r="GN115" s="26">
        <f t="shared" si="399"/>
        <v>4002.248611949859</v>
      </c>
      <c r="GO115" s="26">
        <f t="shared" si="399"/>
        <v>94845.011588841924</v>
      </c>
      <c r="GP115" s="26">
        <f t="shared" si="399"/>
        <v>-2355950.0878668339</v>
      </c>
      <c r="GQ115" s="26">
        <f t="shared" si="399"/>
        <v>42265744.576330997</v>
      </c>
      <c r="GR115" s="26" t="e">
        <f t="shared" si="399"/>
        <v>#DIV/0!</v>
      </c>
      <c r="GS115" s="26" t="e">
        <f t="shared" si="399"/>
        <v>#DIV/0!</v>
      </c>
      <c r="GT115" s="26" t="e">
        <f t="shared" si="315"/>
        <v>#DIV/0!</v>
      </c>
      <c r="HC115" s="26">
        <f t="shared" si="316"/>
        <v>-4.3597867879182717</v>
      </c>
      <c r="HD115" s="26">
        <f t="shared" si="316"/>
        <v>-10.257700451111777</v>
      </c>
      <c r="HE115" s="26">
        <f t="shared" si="283"/>
        <v>-24.917284880185786</v>
      </c>
      <c r="HF115" s="26">
        <f t="shared" si="407"/>
        <v>-69.127589977944965</v>
      </c>
      <c r="HG115" s="26">
        <f t="shared" si="408"/>
        <v>-239.44817462184096</v>
      </c>
      <c r="HH115" s="26">
        <f t="shared" si="409"/>
        <v>-1155.8235103619706</v>
      </c>
      <c r="HI115" s="26">
        <f t="shared" si="400"/>
        <v>-9407.4540467650313</v>
      </c>
      <c r="HJ115" s="26">
        <f t="shared" si="400"/>
        <v>-222960.8951413375</v>
      </c>
      <c r="HK115" s="26">
        <f t="shared" si="400"/>
        <v>5538373.4753108248</v>
      </c>
      <c r="HL115" s="26">
        <f t="shared" si="400"/>
        <v>-99358402.207076192</v>
      </c>
      <c r="HM115" s="26" t="e">
        <f t="shared" si="400"/>
        <v>#DIV/0!</v>
      </c>
      <c r="HN115" s="26" t="e">
        <f t="shared" si="400"/>
        <v>#DIV/0!</v>
      </c>
      <c r="HO115" s="26" t="e">
        <f t="shared" si="317"/>
        <v>#DIV/0!</v>
      </c>
      <c r="HP115" s="26">
        <f t="shared" si="318"/>
        <v>1031889.3409120624</v>
      </c>
      <c r="HX115" s="26">
        <f t="shared" si="319"/>
        <v>793128.30206800252</v>
      </c>
      <c r="HY115" s="26">
        <f t="shared" si="320"/>
        <v>1235661.8851789807</v>
      </c>
      <c r="HZ115" s="26">
        <f t="shared" si="321"/>
        <v>2478346.9477632949</v>
      </c>
      <c r="IA115" s="26">
        <f t="shared" si="322"/>
        <v>6429559.6961204819</v>
      </c>
      <c r="IB115" s="26">
        <f t="shared" si="323"/>
        <v>21953504.08223629</v>
      </c>
      <c r="IC115" s="26">
        <f t="shared" si="324"/>
        <v>105961898.70749137</v>
      </c>
      <c r="ID115" s="26">
        <f t="shared" si="325"/>
        <v>863352929.42539954</v>
      </c>
      <c r="IE115" s="26">
        <f t="shared" si="326"/>
        <v>20467748017.006355</v>
      </c>
      <c r="IF115" s="26">
        <f t="shared" si="327"/>
        <v>-508431362982.38269</v>
      </c>
      <c r="IG115" s="26">
        <f t="shared" si="328"/>
        <v>9121246987512</v>
      </c>
      <c r="IH115" s="26" t="e">
        <f t="shared" si="329"/>
        <v>#DIV/0!</v>
      </c>
      <c r="II115" s="26" t="e">
        <f t="shared" si="330"/>
        <v>#DIV/0!</v>
      </c>
      <c r="IR115" s="26">
        <f t="shared" si="331"/>
        <v>815086.4104880786</v>
      </c>
      <c r="IS115" s="26">
        <f t="shared" si="332"/>
        <v>1268920.566307181</v>
      </c>
      <c r="IT115" s="26">
        <f t="shared" si="333"/>
        <v>2544694.8069188641</v>
      </c>
      <c r="IU115" s="26">
        <f t="shared" si="334"/>
        <v>6603788.1035712231</v>
      </c>
      <c r="IV115" s="26">
        <f t="shared" si="335"/>
        <v>22559964.402692851</v>
      </c>
      <c r="IW115" s="26">
        <f t="shared" si="336"/>
        <v>108950363.14417596</v>
      </c>
      <c r="IX115" s="26">
        <f t="shared" si="337"/>
        <v>888211565.73676121</v>
      </c>
      <c r="IY115" s="26">
        <f t="shared" si="338"/>
        <v>21069326907.820526</v>
      </c>
      <c r="IZ115" s="26">
        <f t="shared" si="339"/>
        <v>-523684303871.85419</v>
      </c>
      <c r="JA115" s="26">
        <f t="shared" si="340"/>
        <v>9400530375802.2012</v>
      </c>
      <c r="JB115" s="26" t="e">
        <f t="shared" si="341"/>
        <v>#DIV/0!</v>
      </c>
      <c r="JC115" s="26" t="e">
        <f t="shared" si="342"/>
        <v>#DIV/0!</v>
      </c>
      <c r="JI115" s="26">
        <f t="shared" si="343"/>
        <v>0</v>
      </c>
      <c r="JJ115" s="26">
        <f t="shared" si="344"/>
        <v>0</v>
      </c>
      <c r="JK115" s="26">
        <f t="shared" si="345"/>
        <v>1716680.4843051268</v>
      </c>
      <c r="JL115" s="26">
        <f t="shared" si="346"/>
        <v>3390189.8823529659</v>
      </c>
      <c r="JM115" s="26">
        <f t="shared" si="347"/>
        <v>7697533.1167742535</v>
      </c>
      <c r="JN115" s="26">
        <f t="shared" si="348"/>
        <v>20899217.786986809</v>
      </c>
      <c r="JO115" s="26">
        <f t="shared" si="349"/>
        <v>72077306.815770626</v>
      </c>
      <c r="JP115" s="26">
        <f t="shared" si="350"/>
        <v>347972058.01433921</v>
      </c>
      <c r="JQ115" s="26">
        <f t="shared" si="351"/>
        <v>2833651843.1773558</v>
      </c>
      <c r="JR115" s="26">
        <f t="shared" si="352"/>
        <v>67177137112.997589</v>
      </c>
      <c r="JS115" s="26">
        <f t="shared" si="353"/>
        <v>-1669007446224.4236</v>
      </c>
      <c r="JT115" s="26">
        <f t="shared" si="354"/>
        <v>29947623839655.758</v>
      </c>
      <c r="JU115" s="26" t="e">
        <f t="shared" si="355"/>
        <v>#DIV/0!</v>
      </c>
      <c r="JV115" s="26" t="e">
        <f t="shared" si="356"/>
        <v>#DIV/0!</v>
      </c>
      <c r="JW115" s="26" t="e">
        <f t="shared" si="357"/>
        <v>#DIV/0!</v>
      </c>
      <c r="JY115" s="34">
        <f t="shared" si="358"/>
        <v>0.16359163721776665</v>
      </c>
      <c r="JZ115" s="4">
        <f t="shared" si="359"/>
        <v>0</v>
      </c>
      <c r="KA115" s="165"/>
    </row>
    <row r="116" spans="1:287" ht="15.75" x14ac:dyDescent="0.3">
      <c r="A116" s="34">
        <v>115</v>
      </c>
      <c r="B116" s="34">
        <v>88</v>
      </c>
      <c r="C116" s="2">
        <v>209445</v>
      </c>
      <c r="D116" s="1">
        <f t="shared" si="360"/>
        <v>25718</v>
      </c>
      <c r="E116" s="145">
        <f t="shared" si="361"/>
        <v>0.8772088137697247</v>
      </c>
      <c r="F116" s="146">
        <f t="shared" si="362"/>
        <v>0.1227911862302753</v>
      </c>
      <c r="G116" s="158">
        <f t="shared" si="284"/>
        <v>0.15348898278784412</v>
      </c>
      <c r="H116" s="43">
        <f t="shared" si="363"/>
        <v>21419.307429052453</v>
      </c>
      <c r="I116" s="43">
        <f t="shared" si="390"/>
        <v>139549.47801470998</v>
      </c>
      <c r="J116" s="43">
        <f t="shared" si="364"/>
        <v>196586</v>
      </c>
      <c r="K116" s="147">
        <f>SUM(J116:$J$138)</f>
        <v>999582.5</v>
      </c>
      <c r="L116" s="147">
        <f t="shared" si="365"/>
        <v>4.7725297810881138</v>
      </c>
      <c r="M116" s="43">
        <f t="shared" si="285"/>
        <v>245732.5</v>
      </c>
      <c r="N116" s="148">
        <f t="shared" si="286"/>
        <v>1249478.125</v>
      </c>
      <c r="O116" s="147">
        <f t="shared" si="287"/>
        <v>5.9656622263601422</v>
      </c>
      <c r="P116" s="157">
        <f t="shared" si="288"/>
        <v>6760.4784782803481</v>
      </c>
      <c r="Q116" s="43">
        <f t="shared" si="289"/>
        <v>261806.25</v>
      </c>
      <c r="R116" s="43">
        <f t="shared" si="290"/>
        <v>1019.9631172690445</v>
      </c>
      <c r="S116" s="43">
        <f>SUM(R116:$R$138)</f>
        <v>5903.8634844357603</v>
      </c>
      <c r="T116" s="43">
        <f t="shared" si="366"/>
        <v>25441.714106049738</v>
      </c>
      <c r="U116" s="153">
        <f>SUM(P116:$P$138)</f>
        <v>28308.648121141709</v>
      </c>
      <c r="V116" s="129">
        <f t="shared" si="291"/>
        <v>1880.5992961069639</v>
      </c>
      <c r="W116" s="43">
        <f t="shared" si="292"/>
        <v>894.85731213955728</v>
      </c>
      <c r="X116" s="26">
        <f t="shared" si="367"/>
        <v>3.9091979820572114</v>
      </c>
      <c r="Y116" s="26">
        <f t="shared" si="368"/>
        <v>0.13236597306159617</v>
      </c>
      <c r="Z116" s="43">
        <f t="shared" si="293"/>
        <v>845.68415581484874</v>
      </c>
      <c r="AA116" s="149">
        <f t="shared" si="369"/>
        <v>0.74819842188264052</v>
      </c>
      <c r="AB116" s="150">
        <f t="shared" si="370"/>
        <v>21548.169642861361</v>
      </c>
      <c r="AC116" s="150">
        <f t="shared" si="371"/>
        <v>985.7419839674069</v>
      </c>
      <c r="AD116" s="26">
        <f t="shared" si="372"/>
        <v>3.0415639551188076</v>
      </c>
      <c r="AE116" s="26">
        <f t="shared" si="294"/>
        <v>834802.3653250084</v>
      </c>
      <c r="AF116" s="43">
        <f t="shared" si="295"/>
        <v>213548.24420678089</v>
      </c>
      <c r="AG116" s="43">
        <f t="shared" si="296"/>
        <v>863144.42663670483</v>
      </c>
      <c r="AH116" s="27">
        <f t="shared" si="297"/>
        <v>224641.14359518402</v>
      </c>
      <c r="AI116" s="28">
        <f t="shared" si="298"/>
        <v>928112.28670613433</v>
      </c>
      <c r="AJ116" s="20">
        <f t="shared" si="299"/>
        <v>241549.61676901509</v>
      </c>
      <c r="AK116" s="3">
        <f t="shared" si="300"/>
        <v>20934.300119981312</v>
      </c>
      <c r="AL116" s="3"/>
      <c r="AM116" s="46">
        <f t="shared" si="373"/>
        <v>21548.169642861361</v>
      </c>
      <c r="AN116" s="46">
        <f t="shared" si="374"/>
        <v>16018.875426929008</v>
      </c>
      <c r="AO116" s="46">
        <f t="shared" si="374"/>
        <v>11560.444059796366</v>
      </c>
      <c r="AP116" s="3">
        <f t="shared" si="393"/>
        <v>8018.7396142307962</v>
      </c>
      <c r="AQ116" s="3">
        <f t="shared" si="393"/>
        <v>5283.7780155303126</v>
      </c>
      <c r="AR116" s="16">
        <f t="shared" si="393"/>
        <v>3272.8085819586663</v>
      </c>
      <c r="AS116" s="16">
        <f t="shared" si="393"/>
        <v>1880.5992961069639</v>
      </c>
      <c r="AT116" s="16">
        <f t="shared" si="393"/>
        <v>985.7419839674069</v>
      </c>
      <c r="AU116" s="16">
        <f t="shared" si="393"/>
        <v>461.1597717525529</v>
      </c>
      <c r="AV116" s="16">
        <f t="shared" si="393"/>
        <v>187.05849304915947</v>
      </c>
      <c r="AW116" s="16">
        <f t="shared" si="393"/>
        <v>63.21875273446355</v>
      </c>
      <c r="AX116" s="16">
        <f t="shared" si="391"/>
        <v>16.788813107634137</v>
      </c>
      <c r="AY116" s="16">
        <f t="shared" si="391"/>
        <v>3.1907985310217075</v>
      </c>
      <c r="AZ116" s="16">
        <f t="shared" si="391"/>
        <v>0.36197756128412645</v>
      </c>
      <c r="BA116" s="16">
        <f t="shared" si="391"/>
        <v>1.4120788545205874E-2</v>
      </c>
      <c r="BB116" s="16">
        <f t="shared" si="391"/>
        <v>-5.5799384439414316E-4</v>
      </c>
      <c r="BC116" s="16">
        <f t="shared" si="391"/>
        <v>3.2939424108272912E-5</v>
      </c>
      <c r="BD116" s="16">
        <f t="shared" si="391"/>
        <v>0</v>
      </c>
      <c r="BE116" s="16">
        <f t="shared" si="391"/>
        <v>0</v>
      </c>
      <c r="BF116" s="16">
        <f t="shared" si="391"/>
        <v>0</v>
      </c>
      <c r="BG116" s="16">
        <f t="shared" si="391"/>
        <v>0</v>
      </c>
      <c r="BH116" s="172">
        <f t="shared" si="375"/>
        <v>5529.2942159323538</v>
      </c>
      <c r="BI116" s="16">
        <f t="shared" si="410"/>
        <v>4458.4313671326408</v>
      </c>
      <c r="BJ116" s="16">
        <f t="shared" si="410"/>
        <v>3541.7044455655696</v>
      </c>
      <c r="BK116" s="16">
        <f t="shared" si="410"/>
        <v>2734.9615987004836</v>
      </c>
      <c r="BL116" s="16">
        <f t="shared" si="410"/>
        <v>2010.9694335716461</v>
      </c>
      <c r="BM116" s="16">
        <f t="shared" si="410"/>
        <v>1392.2092858517024</v>
      </c>
      <c r="BN116" s="16">
        <f t="shared" si="410"/>
        <v>894.85731213955728</v>
      </c>
      <c r="BO116" s="16">
        <f t="shared" si="410"/>
        <v>524.58221221485394</v>
      </c>
      <c r="BP116" s="16">
        <f t="shared" si="410"/>
        <v>274.1012787033934</v>
      </c>
      <c r="BQ116" s="16">
        <f t="shared" si="410"/>
        <v>123.83974031469592</v>
      </c>
      <c r="BR116" s="16">
        <f t="shared" si="410"/>
        <v>46.429939626829416</v>
      </c>
      <c r="BS116" s="16">
        <f t="shared" si="410"/>
        <v>13.59801457661243</v>
      </c>
      <c r="BT116" s="16">
        <f t="shared" si="410"/>
        <v>2.8288209697375808</v>
      </c>
      <c r="BU116" s="16">
        <f t="shared" si="410"/>
        <v>0.34785677273892057</v>
      </c>
      <c r="BV116" s="16">
        <f t="shared" si="395"/>
        <v>1.4678782389600017E-2</v>
      </c>
      <c r="BW116" s="16">
        <f t="shared" si="395"/>
        <v>-5.9093326850241602E-4</v>
      </c>
      <c r="BX116" s="16">
        <f t="shared" si="395"/>
        <v>3.2939424108272912E-5</v>
      </c>
      <c r="BY116" s="16">
        <f t="shared" si="395"/>
        <v>0</v>
      </c>
      <c r="BZ116" s="16">
        <f t="shared" si="395"/>
        <v>0</v>
      </c>
      <c r="CA116" s="16">
        <f t="shared" si="395"/>
        <v>0</v>
      </c>
      <c r="CB116" s="16">
        <f t="shared" si="395"/>
        <v>0</v>
      </c>
      <c r="CC116" s="18">
        <f t="shared" si="376"/>
        <v>3.5569766372864344</v>
      </c>
      <c r="CD116" s="18">
        <f t="shared" si="376"/>
        <v>3.1711323931212201</v>
      </c>
      <c r="CE116" s="18">
        <f t="shared" si="376"/>
        <v>2.7331034851903464</v>
      </c>
      <c r="CF116" s="18">
        <f t="shared" si="376"/>
        <v>2.2443241327557826</v>
      </c>
      <c r="CG116" s="18">
        <f t="shared" si="280"/>
        <v>1.6923075321831347</v>
      </c>
      <c r="CH116" s="18">
        <f t="shared" si="280"/>
        <v>1</v>
      </c>
      <c r="CI116" s="18">
        <f t="shared" si="280"/>
        <v>0</v>
      </c>
      <c r="CJ116" s="18">
        <f t="shared" si="280"/>
        <v>-1.7058476084451162</v>
      </c>
      <c r="CK116" s="18">
        <f t="shared" si="396"/>
        <v>-5.1785220815784481</v>
      </c>
      <c r="CL116" s="18">
        <f t="shared" si="396"/>
        <v>-13.675261259061553</v>
      </c>
      <c r="CM116" s="18">
        <f t="shared" si="396"/>
        <v>-39.142427450461987</v>
      </c>
      <c r="CN116" s="18">
        <f t="shared" si="396"/>
        <v>-137.06489815100983</v>
      </c>
      <c r="CO116" s="18">
        <f t="shared" si="397"/>
        <v>-663.67172672298966</v>
      </c>
      <c r="CP116" s="18">
        <f t="shared" si="397"/>
        <v>-5405.2054348151723</v>
      </c>
      <c r="CQ116" s="18">
        <f t="shared" si="397"/>
        <v>-128115.88355249559</v>
      </c>
      <c r="CR116" s="18">
        <f t="shared" si="397"/>
        <v>3182423.3874439914</v>
      </c>
      <c r="CS116" s="18">
        <f t="shared" si="397"/>
        <v>-57092657.630745202</v>
      </c>
      <c r="CT116" s="18" t="e">
        <f t="shared" si="397"/>
        <v>#DIV/0!</v>
      </c>
      <c r="CU116" s="18" t="e">
        <f t="shared" si="397"/>
        <v>#DIV/0!</v>
      </c>
      <c r="CV116" s="18" t="e">
        <f t="shared" si="397"/>
        <v>#DIV/0!</v>
      </c>
      <c r="CW116" s="18" t="e">
        <f t="shared" si="411"/>
        <v>#DIV/0!</v>
      </c>
      <c r="CX116" s="17">
        <f t="shared" si="302"/>
        <v>899.21679150201351</v>
      </c>
      <c r="CY116" s="17">
        <f t="shared" si="381"/>
        <v>779.24770980348092</v>
      </c>
      <c r="CZ116" s="17">
        <f t="shared" si="381"/>
        <v>698.89373581017753</v>
      </c>
      <c r="DA116" s="17">
        <f t="shared" si="381"/>
        <v>642.46184480361489</v>
      </c>
      <c r="DB116" s="17">
        <f t="shared" si="381"/>
        <v>560.3116963574472</v>
      </c>
      <c r="DC116" s="17">
        <f t="shared" si="381"/>
        <v>458.08443307513147</v>
      </c>
      <c r="DD116" s="17">
        <f t="shared" si="381"/>
        <v>345.91330056461686</v>
      </c>
      <c r="DE116" s="17">
        <f t="shared" si="381"/>
        <v>236.77938540902616</v>
      </c>
      <c r="DF116" s="3" t="e">
        <f>#REF!+$AG$35*0.004*(1+$R$28)*#REF!-S116*#REF!</f>
        <v>#REF!</v>
      </c>
      <c r="DG116" s="19">
        <f t="shared" si="303"/>
        <v>1667.7477217707192</v>
      </c>
      <c r="DH116" s="19">
        <f t="shared" si="304"/>
        <v>1464.4119873934278</v>
      </c>
      <c r="DI116" s="19">
        <f t="shared" si="305"/>
        <v>1289.4161873707255</v>
      </c>
      <c r="DJ116" s="19">
        <f t="shared" si="306"/>
        <v>1127.3771786549942</v>
      </c>
      <c r="DK116" s="19">
        <f t="shared" si="307"/>
        <v>925.95668496261385</v>
      </c>
      <c r="DL116" s="19">
        <f t="shared" si="308"/>
        <v>674.14740133094972</v>
      </c>
      <c r="DM116" s="19">
        <f t="shared" si="309"/>
        <v>345.91330056461686</v>
      </c>
      <c r="DN116" s="19">
        <f t="shared" si="310"/>
        <v>-131.79111226371433</v>
      </c>
      <c r="DO116" s="25"/>
      <c r="DP116" s="25"/>
      <c r="DW116" s="26">
        <f t="shared" si="394"/>
        <v>0</v>
      </c>
      <c r="DX116" s="26">
        <f t="shared" si="394"/>
        <v>0</v>
      </c>
      <c r="DY116" s="26">
        <f t="shared" si="394"/>
        <v>0</v>
      </c>
      <c r="DZ116" s="26">
        <f t="shared" si="394"/>
        <v>0</v>
      </c>
      <c r="EA116" s="26">
        <f t="shared" si="394"/>
        <v>0</v>
      </c>
      <c r="EB116" s="26">
        <f t="shared" si="394"/>
        <v>0</v>
      </c>
      <c r="EC116" s="26">
        <f t="shared" si="394"/>
        <v>0</v>
      </c>
      <c r="ED116" s="26">
        <f t="shared" si="394"/>
        <v>0</v>
      </c>
      <c r="EE116" s="26">
        <f t="shared" si="394"/>
        <v>0</v>
      </c>
      <c r="EF116" s="26">
        <f t="shared" si="394"/>
        <v>0</v>
      </c>
      <c r="EG116" s="26">
        <f t="shared" si="394"/>
        <v>0</v>
      </c>
      <c r="EH116" s="26">
        <f t="shared" si="394"/>
        <v>0</v>
      </c>
      <c r="EI116" s="26">
        <f t="shared" si="394"/>
        <v>0</v>
      </c>
      <c r="ER116" s="26">
        <f t="shared" si="312"/>
        <v>-3.0852981051940604</v>
      </c>
      <c r="ES116" s="26">
        <f t="shared" si="312"/>
        <v>-6.8288592471676264</v>
      </c>
      <c r="ET116" s="26">
        <f t="shared" si="312"/>
        <v>-18.214198911561205</v>
      </c>
      <c r="EU116" s="26">
        <f t="shared" si="312"/>
        <v>-62.191737701867325</v>
      </c>
      <c r="EV116" s="26">
        <f t="shared" si="312"/>
        <v>-298.95287289718436</v>
      </c>
      <c r="EW116" s="26">
        <f t="shared" si="312"/>
        <v>-2431.1274699531755</v>
      </c>
      <c r="EX116" s="26">
        <f t="shared" si="312"/>
        <v>-57612.691118986804</v>
      </c>
      <c r="EY116" s="26">
        <f t="shared" si="312"/>
        <v>1431099.2473956323</v>
      </c>
      <c r="EZ116" s="26">
        <f t="shared" si="312"/>
        <v>-25673920.498277646</v>
      </c>
      <c r="FA116" s="26" t="e">
        <f t="shared" si="312"/>
        <v>#DIV/0!</v>
      </c>
      <c r="FB116" s="26" t="e">
        <f t="shared" si="312"/>
        <v>#DIV/0!</v>
      </c>
      <c r="FC116" s="26" t="e">
        <f t="shared" si="312"/>
        <v>#DIV/0!</v>
      </c>
      <c r="FD116" s="26" t="e">
        <f t="shared" si="312"/>
        <v>#DIV/0!</v>
      </c>
      <c r="FM116" s="26">
        <f t="shared" si="313"/>
        <v>-2.9138262130564794</v>
      </c>
      <c r="FN116" s="26">
        <f t="shared" si="313"/>
        <v>-7.4493311184977395</v>
      </c>
      <c r="FO116" s="26">
        <f t="shared" si="281"/>
        <v>-20.869145612669843</v>
      </c>
      <c r="FP116" s="26">
        <f t="shared" si="401"/>
        <v>-72.256959271561584</v>
      </c>
      <c r="FQ116" s="26">
        <f t="shared" si="402"/>
        <v>-348.33593816915635</v>
      </c>
      <c r="FR116" s="26">
        <f t="shared" si="403"/>
        <v>-2833.7176114684621</v>
      </c>
      <c r="FS116" s="26">
        <f t="shared" si="398"/>
        <v>-67154.244527778705</v>
      </c>
      <c r="FT116" s="26">
        <f t="shared" si="398"/>
        <v>1668110.4340700232</v>
      </c>
      <c r="FU116" s="26">
        <f t="shared" si="398"/>
        <v>-29925902.187216215</v>
      </c>
      <c r="FV116" s="26" t="e">
        <f t="shared" si="398"/>
        <v>#DIV/0!</v>
      </c>
      <c r="FW116" s="26" t="e">
        <f t="shared" si="398"/>
        <v>#DIV/0!</v>
      </c>
      <c r="GH116" s="26">
        <f t="shared" si="314"/>
        <v>3.2646958685219691</v>
      </c>
      <c r="GI116" s="26">
        <f t="shared" si="314"/>
        <v>7.2259301405638174</v>
      </c>
      <c r="GJ116" s="26">
        <f t="shared" si="282"/>
        <v>19.273281837792148</v>
      </c>
      <c r="GK116" s="26">
        <f t="shared" si="404"/>
        <v>65.807938879448258</v>
      </c>
      <c r="GL116" s="26">
        <f t="shared" si="405"/>
        <v>316.33578855383337</v>
      </c>
      <c r="GM116" s="26">
        <f t="shared" si="406"/>
        <v>2572.4878233467111</v>
      </c>
      <c r="GN116" s="26">
        <f t="shared" si="399"/>
        <v>60962.639024716904</v>
      </c>
      <c r="GO116" s="26">
        <f t="shared" si="399"/>
        <v>-1514311.9533739684</v>
      </c>
      <c r="GP116" s="26">
        <f t="shared" si="399"/>
        <v>27166756.443528991</v>
      </c>
      <c r="GQ116" s="26" t="e">
        <f t="shared" si="399"/>
        <v>#DIV/0!</v>
      </c>
      <c r="GR116" s="26" t="e">
        <f t="shared" si="399"/>
        <v>#DIV/0!</v>
      </c>
      <c r="GS116" s="26" t="e">
        <f t="shared" si="399"/>
        <v>#DIV/0!</v>
      </c>
      <c r="GT116" s="26" t="e">
        <f t="shared" si="315"/>
        <v>#DIV/0!</v>
      </c>
      <c r="HC116" s="26">
        <f t="shared" si="316"/>
        <v>-5.1785220815784481</v>
      </c>
      <c r="HD116" s="26">
        <f t="shared" si="316"/>
        <v>-13.675261259061553</v>
      </c>
      <c r="HE116" s="26">
        <f t="shared" si="283"/>
        <v>-39.142427450461987</v>
      </c>
      <c r="HF116" s="26">
        <f t="shared" si="407"/>
        <v>-137.06489815100983</v>
      </c>
      <c r="HG116" s="26">
        <f t="shared" si="408"/>
        <v>-663.67172672298966</v>
      </c>
      <c r="HH116" s="26">
        <f t="shared" si="409"/>
        <v>-5405.2054348151723</v>
      </c>
      <c r="HI116" s="26">
        <f t="shared" si="400"/>
        <v>-128115.88355249559</v>
      </c>
      <c r="HJ116" s="26">
        <f t="shared" si="400"/>
        <v>3182423.3874439914</v>
      </c>
      <c r="HK116" s="26">
        <f t="shared" si="400"/>
        <v>-57092657.630745202</v>
      </c>
      <c r="HL116" s="26" t="e">
        <f t="shared" si="400"/>
        <v>#DIV/0!</v>
      </c>
      <c r="HM116" s="26" t="e">
        <f t="shared" si="400"/>
        <v>#DIV/0!</v>
      </c>
      <c r="HN116" s="26" t="e">
        <f t="shared" si="400"/>
        <v>#DIV/0!</v>
      </c>
      <c r="HO116" s="26" t="e">
        <f t="shared" si="317"/>
        <v>#DIV/0!</v>
      </c>
      <c r="HP116" s="26">
        <f t="shared" si="318"/>
        <v>1031889.3409120624</v>
      </c>
      <c r="HX116" s="26">
        <f t="shared" si="319"/>
        <v>852596.09940354829</v>
      </c>
      <c r="HY116" s="26">
        <f t="shared" si="320"/>
        <v>1508651.8260350381</v>
      </c>
      <c r="HZ116" s="26">
        <f t="shared" si="321"/>
        <v>3668480.9705029</v>
      </c>
      <c r="IA116" s="26">
        <f t="shared" si="322"/>
        <v>12262353.531879891</v>
      </c>
      <c r="IB116" s="26">
        <f t="shared" si="323"/>
        <v>58944579.333186209</v>
      </c>
      <c r="IC116" s="26">
        <f t="shared" si="324"/>
        <v>480159318.03341961</v>
      </c>
      <c r="ID116" s="26">
        <f t="shared" si="325"/>
        <v>11384069245.558865</v>
      </c>
      <c r="IE116" s="26">
        <f t="shared" si="326"/>
        <v>-282789493653.18115</v>
      </c>
      <c r="IF116" s="26">
        <f t="shared" si="327"/>
        <v>5073234347828.7793</v>
      </c>
      <c r="IG116" s="26" t="e">
        <f t="shared" si="328"/>
        <v>#DIV/0!</v>
      </c>
      <c r="IH116" s="26" t="e">
        <f t="shared" si="329"/>
        <v>#DIV/0!</v>
      </c>
      <c r="II116" s="26" t="e">
        <f t="shared" si="330"/>
        <v>#DIV/0!</v>
      </c>
      <c r="IR116" s="26">
        <f t="shared" si="331"/>
        <v>875993.50340516749</v>
      </c>
      <c r="IS116" s="26">
        <f t="shared" si="332"/>
        <v>1548830.4350506079</v>
      </c>
      <c r="IT116" s="26">
        <f t="shared" si="333"/>
        <v>3765964.2384335794</v>
      </c>
      <c r="IU116" s="26">
        <f t="shared" si="334"/>
        <v>12593228.642612092</v>
      </c>
      <c r="IV116" s="26">
        <f t="shared" si="335"/>
        <v>60568388.44169002</v>
      </c>
      <c r="IW116" s="26">
        <f t="shared" si="336"/>
        <v>493673727.46240538</v>
      </c>
      <c r="IX116" s="26">
        <f t="shared" si="337"/>
        <v>11711401453.32592</v>
      </c>
      <c r="IY116" s="26">
        <f t="shared" si="338"/>
        <v>-291095423221.05945</v>
      </c>
      <c r="IZ116" s="26">
        <f t="shared" si="339"/>
        <v>5225431378263.6426</v>
      </c>
      <c r="JA116" s="26" t="e">
        <f t="shared" si="340"/>
        <v>#DIV/0!</v>
      </c>
      <c r="JB116" s="26" t="e">
        <f t="shared" si="341"/>
        <v>#DIV/0!</v>
      </c>
      <c r="JC116" s="26" t="e">
        <f t="shared" si="342"/>
        <v>#DIV/0!</v>
      </c>
      <c r="JI116" s="26">
        <f t="shared" si="343"/>
        <v>0</v>
      </c>
      <c r="JJ116" s="26">
        <f t="shared" si="344"/>
        <v>0</v>
      </c>
      <c r="JK116" s="26">
        <f t="shared" si="345"/>
        <v>2019402.5846145335</v>
      </c>
      <c r="JL116" s="26">
        <f t="shared" si="346"/>
        <v>4568305.4252500366</v>
      </c>
      <c r="JM116" s="26">
        <f t="shared" si="347"/>
        <v>12408547.257756177</v>
      </c>
      <c r="JN116" s="26">
        <f t="shared" si="348"/>
        <v>42856930.678064615</v>
      </c>
      <c r="JO116" s="26">
        <f t="shared" si="349"/>
        <v>207106004.25613588</v>
      </c>
      <c r="JP116" s="26">
        <f t="shared" si="350"/>
        <v>1687134116.8571482</v>
      </c>
      <c r="JQ116" s="26">
        <f t="shared" si="351"/>
        <v>39999175917.432159</v>
      </c>
      <c r="JR116" s="26">
        <f t="shared" si="352"/>
        <v>-993769225540.23364</v>
      </c>
      <c r="JS116" s="26">
        <f t="shared" si="353"/>
        <v>17831395430747.398</v>
      </c>
      <c r="JT116" s="26" t="e">
        <f t="shared" si="354"/>
        <v>#DIV/0!</v>
      </c>
      <c r="JU116" s="26" t="e">
        <f t="shared" si="355"/>
        <v>#DIV/0!</v>
      </c>
      <c r="JV116" s="26" t="e">
        <f t="shared" si="356"/>
        <v>#DIV/0!</v>
      </c>
      <c r="JW116" s="26" t="e">
        <f t="shared" si="357"/>
        <v>#DIV/0!</v>
      </c>
      <c r="JY116" s="34">
        <f t="shared" si="358"/>
        <v>0.17279118623027528</v>
      </c>
      <c r="JZ116" s="4">
        <f t="shared" si="359"/>
        <v>0</v>
      </c>
      <c r="KA116" s="165"/>
    </row>
    <row r="117" spans="1:287" ht="15.75" x14ac:dyDescent="0.3">
      <c r="A117" s="34">
        <v>116</v>
      </c>
      <c r="B117" s="34">
        <v>89</v>
      </c>
      <c r="C117" s="2">
        <v>183727</v>
      </c>
      <c r="D117" s="1">
        <f t="shared" si="360"/>
        <v>24318</v>
      </c>
      <c r="E117" s="145">
        <f t="shared" si="361"/>
        <v>0.867640575418964</v>
      </c>
      <c r="F117" s="146">
        <f t="shared" si="362"/>
        <v>0.132359424581036</v>
      </c>
      <c r="G117" s="158">
        <f t="shared" si="284"/>
        <v>0.165449280726295</v>
      </c>
      <c r="H117" s="43">
        <f t="shared" si="363"/>
        <v>19544.55175547157</v>
      </c>
      <c r="I117" s="43">
        <f t="shared" si="390"/>
        <v>118130.17058565753</v>
      </c>
      <c r="J117" s="43">
        <f t="shared" si="364"/>
        <v>171568</v>
      </c>
      <c r="K117" s="147">
        <f>SUM(J117:$J$138)</f>
        <v>802996.5</v>
      </c>
      <c r="L117" s="147">
        <f t="shared" si="365"/>
        <v>4.3705960473964085</v>
      </c>
      <c r="M117" s="43">
        <f t="shared" si="285"/>
        <v>214460</v>
      </c>
      <c r="N117" s="148">
        <f t="shared" si="286"/>
        <v>1003745.625</v>
      </c>
      <c r="O117" s="147">
        <f t="shared" si="287"/>
        <v>5.4632450592455104</v>
      </c>
      <c r="P117" s="157">
        <f t="shared" si="288"/>
        <v>5529.2942159323538</v>
      </c>
      <c r="Q117" s="43">
        <f t="shared" si="289"/>
        <v>229658.75</v>
      </c>
      <c r="R117" s="43">
        <f t="shared" si="290"/>
        <v>899.21679150201351</v>
      </c>
      <c r="S117" s="43">
        <f>SUM(R117:$R$138)</f>
        <v>4883.9003671667151</v>
      </c>
      <c r="T117" s="43">
        <f t="shared" si="366"/>
        <v>19537.850621613979</v>
      </c>
      <c r="U117" s="153">
        <f>SUM(P117:$P$138)</f>
        <v>21548.169642861361</v>
      </c>
      <c r="V117" s="129">
        <f t="shared" si="291"/>
        <v>985.7419839674069</v>
      </c>
      <c r="W117" s="43">
        <f t="shared" si="292"/>
        <v>524.58221221485394</v>
      </c>
      <c r="X117" s="26">
        <f t="shared" si="367"/>
        <v>3.7188159746762004</v>
      </c>
      <c r="Y117" s="26">
        <f t="shared" si="368"/>
        <v>9.4873268039038228E-2</v>
      </c>
      <c r="Z117" s="43">
        <f t="shared" si="293"/>
        <v>499.77085525023159</v>
      </c>
      <c r="AA117" s="149">
        <f t="shared" si="369"/>
        <v>0.79289134213257417</v>
      </c>
      <c r="AB117" s="150">
        <f t="shared" si="370"/>
        <v>16018.875426929008</v>
      </c>
      <c r="AC117" s="150">
        <f t="shared" si="371"/>
        <v>461.1597717525529</v>
      </c>
      <c r="AD117" s="26">
        <f t="shared" si="372"/>
        <v>2.8136892427152387</v>
      </c>
      <c r="AE117" s="26">
        <f t="shared" si="294"/>
        <v>859188.41137891461</v>
      </c>
      <c r="AF117" s="43">
        <f t="shared" si="295"/>
        <v>231038.16301470113</v>
      </c>
      <c r="AG117" s="43">
        <f t="shared" si="296"/>
        <v>888101.4385121034</v>
      </c>
      <c r="AH117" s="27">
        <f t="shared" si="297"/>
        <v>242655.75996734187</v>
      </c>
      <c r="AI117" s="28">
        <f t="shared" si="298"/>
        <v>954947.78334634786</v>
      </c>
      <c r="AJ117" s="20">
        <f t="shared" si="299"/>
        <v>260920.17200789449</v>
      </c>
      <c r="AK117" s="3">
        <f t="shared" si="300"/>
        <v>22613.081574017524</v>
      </c>
      <c r="AL117" s="3"/>
      <c r="AM117" s="46">
        <f t="shared" si="373"/>
        <v>16018.875426929008</v>
      </c>
      <c r="AN117" s="46">
        <f t="shared" si="374"/>
        <v>11560.444059796366</v>
      </c>
      <c r="AO117" s="46">
        <f t="shared" si="374"/>
        <v>8018.7396142307962</v>
      </c>
      <c r="AP117" s="3">
        <f t="shared" si="393"/>
        <v>5283.7780155303126</v>
      </c>
      <c r="AQ117" s="3">
        <f t="shared" si="393"/>
        <v>3272.8085819586663</v>
      </c>
      <c r="AR117" s="16">
        <f t="shared" si="393"/>
        <v>1880.5992961069639</v>
      </c>
      <c r="AS117" s="16">
        <f t="shared" si="393"/>
        <v>985.7419839674069</v>
      </c>
      <c r="AT117" s="16">
        <f t="shared" si="393"/>
        <v>461.1597717525529</v>
      </c>
      <c r="AU117" s="16">
        <f t="shared" si="393"/>
        <v>187.05849304915947</v>
      </c>
      <c r="AV117" s="16">
        <f t="shared" si="393"/>
        <v>63.21875273446355</v>
      </c>
      <c r="AW117" s="16">
        <f t="shared" si="393"/>
        <v>16.788813107634137</v>
      </c>
      <c r="AX117" s="16">
        <f t="shared" si="391"/>
        <v>3.1907985310217075</v>
      </c>
      <c r="AY117" s="16">
        <f t="shared" si="391"/>
        <v>0.36197756128412645</v>
      </c>
      <c r="AZ117" s="16">
        <f t="shared" si="391"/>
        <v>1.4120788545205874E-2</v>
      </c>
      <c r="BA117" s="16">
        <f t="shared" si="391"/>
        <v>-5.5799384439414316E-4</v>
      </c>
      <c r="BB117" s="16">
        <f t="shared" si="391"/>
        <v>3.2939424108272912E-5</v>
      </c>
      <c r="BC117" s="16">
        <f t="shared" si="391"/>
        <v>0</v>
      </c>
      <c r="BD117" s="16">
        <f t="shared" si="391"/>
        <v>0</v>
      </c>
      <c r="BE117" s="16">
        <f t="shared" si="391"/>
        <v>0</v>
      </c>
      <c r="BF117" s="16">
        <f t="shared" si="391"/>
        <v>0</v>
      </c>
      <c r="BG117" s="16">
        <f t="shared" si="391"/>
        <v>0</v>
      </c>
      <c r="BH117" s="172">
        <f t="shared" si="375"/>
        <v>4458.4313671326408</v>
      </c>
      <c r="BI117" s="16">
        <f t="shared" si="410"/>
        <v>3541.7044455655696</v>
      </c>
      <c r="BJ117" s="16">
        <f t="shared" si="410"/>
        <v>2734.9615987004836</v>
      </c>
      <c r="BK117" s="16">
        <f t="shared" si="410"/>
        <v>2010.9694335716461</v>
      </c>
      <c r="BL117" s="16">
        <f t="shared" si="410"/>
        <v>1392.2092858517024</v>
      </c>
      <c r="BM117" s="16">
        <f t="shared" si="410"/>
        <v>894.85731213955728</v>
      </c>
      <c r="BN117" s="16">
        <f t="shared" si="410"/>
        <v>524.58221221485394</v>
      </c>
      <c r="BO117" s="16">
        <f t="shared" si="410"/>
        <v>274.1012787033934</v>
      </c>
      <c r="BP117" s="16">
        <f t="shared" si="410"/>
        <v>123.83974031469592</v>
      </c>
      <c r="BQ117" s="16">
        <f t="shared" si="410"/>
        <v>46.429939626829416</v>
      </c>
      <c r="BR117" s="16">
        <f t="shared" si="410"/>
        <v>13.59801457661243</v>
      </c>
      <c r="BS117" s="16">
        <f t="shared" si="410"/>
        <v>2.8288209697375808</v>
      </c>
      <c r="BT117" s="16">
        <f t="shared" si="410"/>
        <v>0.34785677273892057</v>
      </c>
      <c r="BU117" s="16">
        <f t="shared" si="410"/>
        <v>1.4678782389600017E-2</v>
      </c>
      <c r="BV117" s="16">
        <f t="shared" si="410"/>
        <v>-5.9093326850241602E-4</v>
      </c>
      <c r="BW117" s="16">
        <f t="shared" si="410"/>
        <v>3.2939424108272912E-5</v>
      </c>
      <c r="BX117" s="16">
        <f t="shared" si="410"/>
        <v>0</v>
      </c>
      <c r="BY117" s="16">
        <f t="shared" ref="BV117:CB132" si="412">BX118</f>
        <v>0</v>
      </c>
      <c r="BZ117" s="16">
        <f t="shared" si="412"/>
        <v>0</v>
      </c>
      <c r="CA117" s="16">
        <f t="shared" si="412"/>
        <v>0</v>
      </c>
      <c r="CB117" s="16">
        <f t="shared" si="412"/>
        <v>0</v>
      </c>
      <c r="CC117" s="18">
        <f t="shared" si="376"/>
        <v>3.3718436385014683</v>
      </c>
      <c r="CD117" s="18">
        <f t="shared" si="376"/>
        <v>2.9857663840553186</v>
      </c>
      <c r="CE117" s="18">
        <f t="shared" si="376"/>
        <v>2.5715160438103104</v>
      </c>
      <c r="CF117" s="18">
        <f t="shared" si="376"/>
        <v>2.1372955549748176</v>
      </c>
      <c r="CG117" s="18">
        <f t="shared" si="280"/>
        <v>1.6427606260305296</v>
      </c>
      <c r="CH117" s="18">
        <f t="shared" si="280"/>
        <v>0.99999999999999978</v>
      </c>
      <c r="CI117" s="18">
        <f t="shared" si="280"/>
        <v>0</v>
      </c>
      <c r="CJ117" s="18">
        <f t="shared" si="280"/>
        <v>-1.9138262130564796</v>
      </c>
      <c r="CK117" s="18">
        <f t="shared" si="396"/>
        <v>-6.4493311184977395</v>
      </c>
      <c r="CL117" s="18">
        <f t="shared" si="396"/>
        <v>-19.869145612669843</v>
      </c>
      <c r="CM117" s="18">
        <f t="shared" si="396"/>
        <v>-71.256959271561584</v>
      </c>
      <c r="CN117" s="18">
        <f t="shared" si="396"/>
        <v>-347.33593816915629</v>
      </c>
      <c r="CO117" s="18">
        <f t="shared" si="397"/>
        <v>-2832.7176114684621</v>
      </c>
      <c r="CP117" s="18">
        <f t="shared" si="397"/>
        <v>-67153.244527778705</v>
      </c>
      <c r="CQ117" s="18">
        <f t="shared" si="397"/>
        <v>1668111.4340700232</v>
      </c>
      <c r="CR117" s="18">
        <f t="shared" si="397"/>
        <v>-29925901.187216215</v>
      </c>
      <c r="CS117" s="18" t="e">
        <f t="shared" si="397"/>
        <v>#DIV/0!</v>
      </c>
      <c r="CT117" s="18" t="e">
        <f t="shared" si="397"/>
        <v>#DIV/0!</v>
      </c>
      <c r="CU117" s="18" t="e">
        <f t="shared" si="397"/>
        <v>#DIV/0!</v>
      </c>
      <c r="CV117" s="18" t="e">
        <f t="shared" si="397"/>
        <v>#DIV/0!</v>
      </c>
      <c r="CW117" s="18" t="e">
        <f t="shared" si="411"/>
        <v>#DIV/0!</v>
      </c>
      <c r="CX117" s="17">
        <f t="shared" si="302"/>
        <v>779.24770980348092</v>
      </c>
      <c r="CY117" s="17">
        <f t="shared" si="381"/>
        <v>698.89373581017753</v>
      </c>
      <c r="CZ117" s="17">
        <f t="shared" si="381"/>
        <v>642.46184480361489</v>
      </c>
      <c r="DA117" s="17">
        <f t="shared" si="381"/>
        <v>560.3116963574472</v>
      </c>
      <c r="DB117" s="17">
        <f t="shared" si="381"/>
        <v>458.08443307513147</v>
      </c>
      <c r="DC117" s="17">
        <f t="shared" si="381"/>
        <v>345.91330056461686</v>
      </c>
      <c r="DD117" s="17">
        <f t="shared" si="381"/>
        <v>236.77938540902616</v>
      </c>
      <c r="DE117" s="17">
        <f t="shared" si="381"/>
        <v>143.43856053475844</v>
      </c>
      <c r="DF117" s="3" t="e">
        <f>#REF!+$AG$35*0.004*(1+$R$28)*#REF!-S117*#REF!</f>
        <v>#REF!</v>
      </c>
      <c r="DG117" s="19">
        <f t="shared" si="303"/>
        <v>1509.4723269614158</v>
      </c>
      <c r="DH117" s="19">
        <f t="shared" si="304"/>
        <v>1345.507383555954</v>
      </c>
      <c r="DI117" s="19">
        <f t="shared" si="305"/>
        <v>1199.3632079526501</v>
      </c>
      <c r="DJ117" s="19">
        <f t="shared" si="306"/>
        <v>1023.1759319832897</v>
      </c>
      <c r="DK117" s="19">
        <f t="shared" si="307"/>
        <v>813.84952120905155</v>
      </c>
      <c r="DL117" s="19">
        <f t="shared" si="308"/>
        <v>562.47868598754962</v>
      </c>
      <c r="DM117" s="19">
        <f t="shared" si="309"/>
        <v>236.77938540902616</v>
      </c>
      <c r="DN117" s="19">
        <f t="shared" si="310"/>
        <v>-271.02995092832998</v>
      </c>
      <c r="DO117" s="25"/>
      <c r="DP117" s="25"/>
      <c r="DW117" s="26">
        <f t="shared" si="394"/>
        <v>0</v>
      </c>
      <c r="DX117" s="26">
        <f t="shared" si="394"/>
        <v>0</v>
      </c>
      <c r="DY117" s="26">
        <f t="shared" si="394"/>
        <v>0</v>
      </c>
      <c r="DZ117" s="26">
        <f t="shared" si="394"/>
        <v>0</v>
      </c>
      <c r="EA117" s="26">
        <f t="shared" si="394"/>
        <v>0</v>
      </c>
      <c r="EB117" s="26">
        <f t="shared" si="394"/>
        <v>0</v>
      </c>
      <c r="EC117" s="26">
        <f t="shared" si="394"/>
        <v>0</v>
      </c>
      <c r="ED117" s="26">
        <f t="shared" si="394"/>
        <v>0</v>
      </c>
      <c r="EE117" s="26">
        <f t="shared" si="394"/>
        <v>0</v>
      </c>
      <c r="EF117" s="26">
        <f t="shared" si="394"/>
        <v>0</v>
      </c>
      <c r="EG117" s="26">
        <f t="shared" si="394"/>
        <v>0</v>
      </c>
      <c r="EH117" s="26">
        <f t="shared" si="394"/>
        <v>0</v>
      </c>
      <c r="EI117" s="26">
        <f t="shared" si="394"/>
        <v>0</v>
      </c>
      <c r="ER117" s="26">
        <f t="shared" si="312"/>
        <v>-4.0356258336801787</v>
      </c>
      <c r="ES117" s="26">
        <f t="shared" si="312"/>
        <v>-10.763978141411158</v>
      </c>
      <c r="ET117" s="26">
        <f t="shared" si="312"/>
        <v>-36.753222496893052</v>
      </c>
      <c r="EU117" s="26">
        <f t="shared" si="312"/>
        <v>-176.67107978791373</v>
      </c>
      <c r="EV117" s="26">
        <f t="shared" si="312"/>
        <v>-1436.7144595609991</v>
      </c>
      <c r="EW117" s="26">
        <f t="shared" si="312"/>
        <v>-34047.160178920662</v>
      </c>
      <c r="EX117" s="26">
        <f t="shared" si="312"/>
        <v>845731.45884438942</v>
      </c>
      <c r="EY117" s="26">
        <f t="shared" si="312"/>
        <v>-15172422.371668346</v>
      </c>
      <c r="EZ117" s="26" t="e">
        <f t="shared" si="312"/>
        <v>#DIV/0!</v>
      </c>
      <c r="FA117" s="26" t="e">
        <f t="shared" si="312"/>
        <v>#DIV/0!</v>
      </c>
      <c r="FB117" s="26" t="e">
        <f t="shared" si="312"/>
        <v>#DIV/0!</v>
      </c>
      <c r="FC117" s="26" t="e">
        <f t="shared" si="312"/>
        <v>#DIV/0!</v>
      </c>
      <c r="FD117" s="26" t="e">
        <f t="shared" si="312"/>
        <v>#DIV/0!</v>
      </c>
      <c r="FM117" s="26">
        <f t="shared" si="313"/>
        <v>-3.2133547600056311</v>
      </c>
      <c r="FN117" s="26">
        <f t="shared" si="313"/>
        <v>-9.5707847612220487</v>
      </c>
      <c r="FO117" s="26">
        <f t="shared" si="281"/>
        <v>-33.679105919565906</v>
      </c>
      <c r="FP117" s="26">
        <f t="shared" si="401"/>
        <v>-162.89394030970269</v>
      </c>
      <c r="FQ117" s="26">
        <f t="shared" si="402"/>
        <v>-1325.6767931614045</v>
      </c>
      <c r="FR117" s="26">
        <f t="shared" si="403"/>
        <v>-31416.797218353167</v>
      </c>
      <c r="FS117" s="26">
        <f t="shared" si="398"/>
        <v>780392.24290389288</v>
      </c>
      <c r="FT117" s="26">
        <f t="shared" si="398"/>
        <v>-14000237.837695837</v>
      </c>
      <c r="FU117" s="26" t="e">
        <f t="shared" si="398"/>
        <v>#DIV/0!</v>
      </c>
      <c r="FV117" s="26" t="e">
        <f t="shared" si="398"/>
        <v>#DIV/0!</v>
      </c>
      <c r="FW117" s="26" t="e">
        <f t="shared" si="398"/>
        <v>#DIV/0!</v>
      </c>
      <c r="GH117" s="26">
        <f t="shared" si="314"/>
        <v>4.235976358492108</v>
      </c>
      <c r="GI117" s="26">
        <f t="shared" si="314"/>
        <v>11.298360851447791</v>
      </c>
      <c r="GJ117" s="26">
        <f t="shared" si="282"/>
        <v>38.577853351995678</v>
      </c>
      <c r="GK117" s="26">
        <f t="shared" si="404"/>
        <v>185.44199785945361</v>
      </c>
      <c r="GL117" s="26">
        <f t="shared" si="405"/>
        <v>1508.0408183070576</v>
      </c>
      <c r="GM117" s="26">
        <f t="shared" si="406"/>
        <v>35737.44730942553</v>
      </c>
      <c r="GN117" s="26">
        <f t="shared" si="399"/>
        <v>-887718.19116613024</v>
      </c>
      <c r="GO117" s="26">
        <f t="shared" si="399"/>
        <v>15925664.349520376</v>
      </c>
      <c r="GP117" s="26" t="e">
        <f t="shared" si="399"/>
        <v>#DIV/0!</v>
      </c>
      <c r="GQ117" s="26" t="e">
        <f t="shared" si="399"/>
        <v>#DIV/0!</v>
      </c>
      <c r="GR117" s="26" t="e">
        <f t="shared" si="399"/>
        <v>#DIV/0!</v>
      </c>
      <c r="GS117" s="26" t="e">
        <f t="shared" si="399"/>
        <v>#DIV/0!</v>
      </c>
      <c r="GT117" s="26" t="e">
        <f t="shared" si="315"/>
        <v>#DIV/0!</v>
      </c>
      <c r="HC117" s="26">
        <f t="shared" si="316"/>
        <v>-6.4493311184977395</v>
      </c>
      <c r="HD117" s="26">
        <f t="shared" si="316"/>
        <v>-19.869145612669843</v>
      </c>
      <c r="HE117" s="26">
        <f t="shared" si="283"/>
        <v>-71.256959271561584</v>
      </c>
      <c r="HF117" s="26">
        <f t="shared" si="407"/>
        <v>-347.33593816915629</v>
      </c>
      <c r="HG117" s="26">
        <f t="shared" si="408"/>
        <v>-2832.7176114684621</v>
      </c>
      <c r="HH117" s="26">
        <f t="shared" si="409"/>
        <v>-67153.244527778705</v>
      </c>
      <c r="HI117" s="26">
        <f t="shared" si="400"/>
        <v>1668111.4340700232</v>
      </c>
      <c r="HJ117" s="26">
        <f t="shared" si="400"/>
        <v>-29925901.187216215</v>
      </c>
      <c r="HK117" s="26" t="e">
        <f t="shared" si="400"/>
        <v>#DIV/0!</v>
      </c>
      <c r="HL117" s="26" t="e">
        <f t="shared" si="400"/>
        <v>#DIV/0!</v>
      </c>
      <c r="HM117" s="26" t="e">
        <f t="shared" si="400"/>
        <v>#DIV/0!</v>
      </c>
      <c r="HN117" s="26" t="e">
        <f t="shared" si="400"/>
        <v>#DIV/0!</v>
      </c>
      <c r="HO117" s="26" t="e">
        <f t="shared" si="317"/>
        <v>#DIV/0!</v>
      </c>
      <c r="HP117" s="26">
        <f t="shared" si="318"/>
        <v>1031889.3409120624</v>
      </c>
      <c r="HX117" s="26">
        <f t="shared" si="319"/>
        <v>943804.57775591407</v>
      </c>
      <c r="HY117" s="26">
        <f t="shared" si="320"/>
        <v>1993134.9561805408</v>
      </c>
      <c r="HZ117" s="26">
        <f t="shared" si="321"/>
        <v>6287311.0549162291</v>
      </c>
      <c r="IA117" s="26">
        <f t="shared" si="322"/>
        <v>29805045.656124294</v>
      </c>
      <c r="IB117" s="26">
        <f t="shared" si="323"/>
        <v>242378889.13926816</v>
      </c>
      <c r="IC117" s="26">
        <f t="shared" si="324"/>
        <v>5746476155.4195328</v>
      </c>
      <c r="ID117" s="26">
        <f t="shared" si="325"/>
        <v>-142748503857.94098</v>
      </c>
      <c r="IE117" s="26">
        <f t="shared" si="326"/>
        <v>2560901402576.2266</v>
      </c>
      <c r="IF117" s="26" t="e">
        <f t="shared" si="327"/>
        <v>#DIV/0!</v>
      </c>
      <c r="IG117" s="26" t="e">
        <f t="shared" si="328"/>
        <v>#DIV/0!</v>
      </c>
      <c r="IH117" s="26" t="e">
        <f t="shared" si="329"/>
        <v>#DIV/0!</v>
      </c>
      <c r="II117" s="26" t="e">
        <f t="shared" si="330"/>
        <v>#DIV/0!</v>
      </c>
      <c r="IR117" s="26">
        <f t="shared" si="331"/>
        <v>969403.14668499026</v>
      </c>
      <c r="IS117" s="26">
        <f t="shared" si="332"/>
        <v>2045546.7655542563</v>
      </c>
      <c r="IT117" s="26">
        <f t="shared" si="333"/>
        <v>6453045.175327206</v>
      </c>
      <c r="IU117" s="26">
        <f t="shared" si="334"/>
        <v>30605446.8008046</v>
      </c>
      <c r="IV117" s="26">
        <f t="shared" si="335"/>
        <v>249033372.85230008</v>
      </c>
      <c r="IW117" s="26">
        <f t="shared" si="336"/>
        <v>5907808651.1134014</v>
      </c>
      <c r="IX117" s="26">
        <f t="shared" si="337"/>
        <v>-146846202149.84991</v>
      </c>
      <c r="IY117" s="26">
        <f t="shared" si="338"/>
        <v>2636056924195.1968</v>
      </c>
      <c r="IZ117" s="26" t="e">
        <f t="shared" si="339"/>
        <v>#DIV/0!</v>
      </c>
      <c r="JA117" s="26" t="e">
        <f t="shared" si="340"/>
        <v>#DIV/0!</v>
      </c>
      <c r="JB117" s="26" t="e">
        <f t="shared" si="341"/>
        <v>#DIV/0!</v>
      </c>
      <c r="JC117" s="26" t="e">
        <f t="shared" si="342"/>
        <v>#DIV/0!</v>
      </c>
      <c r="JI117" s="26">
        <f t="shared" si="343"/>
        <v>0</v>
      </c>
      <c r="JJ117" s="26">
        <f t="shared" si="344"/>
        <v>0</v>
      </c>
      <c r="JK117" s="26">
        <f t="shared" si="345"/>
        <v>2509586.9801368257</v>
      </c>
      <c r="JL117" s="26">
        <f t="shared" si="346"/>
        <v>6790556.1773617249</v>
      </c>
      <c r="JM117" s="26">
        <f t="shared" si="347"/>
        <v>23470130.307802022</v>
      </c>
      <c r="JN117" s="26">
        <f t="shared" si="348"/>
        <v>113553769.17963308</v>
      </c>
      <c r="JO117" s="26">
        <f t="shared" si="349"/>
        <v>925523041.27768052</v>
      </c>
      <c r="JP117" s="26">
        <f t="shared" si="350"/>
        <v>21944873531.977287</v>
      </c>
      <c r="JQ117" s="26">
        <f t="shared" si="351"/>
        <v>-545212825904.35455</v>
      </c>
      <c r="JR117" s="26">
        <f t="shared" si="352"/>
        <v>9782749870046.5664</v>
      </c>
      <c r="JS117" s="26" t="e">
        <f t="shared" si="353"/>
        <v>#DIV/0!</v>
      </c>
      <c r="JT117" s="26" t="e">
        <f t="shared" si="354"/>
        <v>#DIV/0!</v>
      </c>
      <c r="JU117" s="26" t="e">
        <f t="shared" si="355"/>
        <v>#DIV/0!</v>
      </c>
      <c r="JV117" s="26" t="e">
        <f t="shared" si="356"/>
        <v>#DIV/0!</v>
      </c>
      <c r="JW117" s="26" t="e">
        <f t="shared" si="357"/>
        <v>#DIV/0!</v>
      </c>
      <c r="JY117" s="34">
        <f t="shared" si="358"/>
        <v>0.18235942458103599</v>
      </c>
      <c r="JZ117" s="4">
        <f t="shared" si="359"/>
        <v>0</v>
      </c>
      <c r="KA117" s="165"/>
    </row>
    <row r="118" spans="1:287" ht="15.75" x14ac:dyDescent="0.3">
      <c r="A118" s="34">
        <v>117</v>
      </c>
      <c r="B118" s="34">
        <v>90</v>
      </c>
      <c r="C118" s="2">
        <v>159409</v>
      </c>
      <c r="D118" s="1">
        <f t="shared" si="360"/>
        <v>22676</v>
      </c>
      <c r="E118" s="145">
        <f t="shared" si="361"/>
        <v>0.85774956244628597</v>
      </c>
      <c r="F118" s="146">
        <f t="shared" si="362"/>
        <v>0.14225043755371403</v>
      </c>
      <c r="G118" s="158">
        <f t="shared" si="284"/>
        <v>0.17781304694214253</v>
      </c>
      <c r="H118" s="43">
        <f t="shared" si="363"/>
        <v>17529.809268872028</v>
      </c>
      <c r="I118" s="43">
        <f t="shared" si="390"/>
        <v>98585.618830185966</v>
      </c>
      <c r="J118" s="43">
        <f t="shared" si="364"/>
        <v>148071</v>
      </c>
      <c r="K118" s="147">
        <f>SUM(J118:$J$138)</f>
        <v>631428.5</v>
      </c>
      <c r="L118" s="147">
        <f t="shared" si="365"/>
        <v>3.9610592877441047</v>
      </c>
      <c r="M118" s="43">
        <f t="shared" si="285"/>
        <v>185088.75</v>
      </c>
      <c r="N118" s="148">
        <f t="shared" si="286"/>
        <v>789285.625</v>
      </c>
      <c r="O118" s="147">
        <f t="shared" si="287"/>
        <v>4.9513241096801313</v>
      </c>
      <c r="P118" s="157">
        <f t="shared" si="288"/>
        <v>4458.4313671326408</v>
      </c>
      <c r="Q118" s="43">
        <f t="shared" si="289"/>
        <v>199261.25</v>
      </c>
      <c r="R118" s="43">
        <f t="shared" si="290"/>
        <v>779.24770980348092</v>
      </c>
      <c r="S118" s="43">
        <f>SUM(R118:$R$138)</f>
        <v>3984.6835756647001</v>
      </c>
      <c r="T118" s="43">
        <f t="shared" si="366"/>
        <v>14653.950254447265</v>
      </c>
      <c r="U118" s="153">
        <f>SUM(P118:$P$138)</f>
        <v>16018.875426929008</v>
      </c>
      <c r="V118" s="129">
        <f t="shared" si="291"/>
        <v>461.1597717525529</v>
      </c>
      <c r="W118" s="43">
        <f t="shared" si="292"/>
        <v>274.1012787033934</v>
      </c>
      <c r="X118" s="26">
        <f t="shared" si="367"/>
        <v>3.4895043512090926</v>
      </c>
      <c r="Y118" s="26">
        <f t="shared" si="368"/>
        <v>6.1479308782020493E-2</v>
      </c>
      <c r="Z118" s="43">
        <f t="shared" si="293"/>
        <v>262.99146984120546</v>
      </c>
      <c r="AA118" s="149">
        <f t="shared" si="369"/>
        <v>0.83475370581223807</v>
      </c>
      <c r="AB118" s="150">
        <f t="shared" si="370"/>
        <v>11560.444059796366</v>
      </c>
      <c r="AC118" s="150">
        <f t="shared" si="371"/>
        <v>187.05849304915947</v>
      </c>
      <c r="AD118" s="26">
        <f t="shared" si="372"/>
        <v>2.5509836599911133</v>
      </c>
      <c r="AE118" s="26">
        <f t="shared" si="294"/>
        <v>887874.8991180429</v>
      </c>
      <c r="AF118" s="43">
        <f t="shared" si="295"/>
        <v>254441.55093556468</v>
      </c>
      <c r="AG118" s="43">
        <f t="shared" si="296"/>
        <v>917455.06239773799</v>
      </c>
      <c r="AH118" s="27">
        <f t="shared" si="297"/>
        <v>266761.24952583137</v>
      </c>
      <c r="AI118" s="28">
        <f t="shared" si="298"/>
        <v>986510.81978251401</v>
      </c>
      <c r="AJ118" s="20">
        <f t="shared" si="299"/>
        <v>286840.05325358215</v>
      </c>
      <c r="AK118" s="3">
        <f t="shared" si="300"/>
        <v>24859.471281977119</v>
      </c>
      <c r="AL118" s="3"/>
      <c r="AM118" s="46">
        <f t="shared" si="373"/>
        <v>11560.444059796366</v>
      </c>
      <c r="AN118" s="46">
        <f t="shared" si="374"/>
        <v>8018.7396142307962</v>
      </c>
      <c r="AO118" s="46">
        <f t="shared" si="374"/>
        <v>5283.7780155303126</v>
      </c>
      <c r="AP118" s="3">
        <f t="shared" si="393"/>
        <v>3272.8085819586663</v>
      </c>
      <c r="AQ118" s="3">
        <f t="shared" si="393"/>
        <v>1880.5992961069639</v>
      </c>
      <c r="AR118" s="16">
        <f t="shared" si="393"/>
        <v>985.7419839674069</v>
      </c>
      <c r="AS118" s="16">
        <f t="shared" si="393"/>
        <v>461.1597717525529</v>
      </c>
      <c r="AT118" s="16">
        <f t="shared" si="393"/>
        <v>187.05849304915947</v>
      </c>
      <c r="AU118" s="16">
        <f t="shared" si="393"/>
        <v>63.21875273446355</v>
      </c>
      <c r="AV118" s="16">
        <f t="shared" si="393"/>
        <v>16.788813107634137</v>
      </c>
      <c r="AW118" s="16">
        <f t="shared" si="393"/>
        <v>3.1907985310217075</v>
      </c>
      <c r="AX118" s="16">
        <f t="shared" si="391"/>
        <v>0.36197756128412645</v>
      </c>
      <c r="AY118" s="16">
        <f t="shared" si="391"/>
        <v>1.4120788545205874E-2</v>
      </c>
      <c r="AZ118" s="16">
        <f t="shared" si="391"/>
        <v>-5.5799384439414316E-4</v>
      </c>
      <c r="BA118" s="16">
        <f t="shared" si="391"/>
        <v>3.2939424108272912E-5</v>
      </c>
      <c r="BB118" s="16">
        <f t="shared" si="391"/>
        <v>0</v>
      </c>
      <c r="BC118" s="16">
        <f t="shared" si="391"/>
        <v>0</v>
      </c>
      <c r="BD118" s="16">
        <f t="shared" si="391"/>
        <v>0</v>
      </c>
      <c r="BE118" s="16">
        <f t="shared" si="391"/>
        <v>0</v>
      </c>
      <c r="BF118" s="16">
        <f t="shared" si="391"/>
        <v>0</v>
      </c>
      <c r="BG118" s="16">
        <f t="shared" si="391"/>
        <v>0</v>
      </c>
      <c r="BH118" s="172">
        <f t="shared" si="375"/>
        <v>3541.7044455655696</v>
      </c>
      <c r="BI118" s="16">
        <f t="shared" si="410"/>
        <v>2734.9615987004836</v>
      </c>
      <c r="BJ118" s="16">
        <f t="shared" si="410"/>
        <v>2010.9694335716461</v>
      </c>
      <c r="BK118" s="16">
        <f t="shared" si="410"/>
        <v>1392.2092858517024</v>
      </c>
      <c r="BL118" s="16">
        <f t="shared" si="410"/>
        <v>894.85731213955728</v>
      </c>
      <c r="BM118" s="16">
        <f t="shared" si="410"/>
        <v>524.58221221485394</v>
      </c>
      <c r="BN118" s="16">
        <f t="shared" si="410"/>
        <v>274.1012787033934</v>
      </c>
      <c r="BO118" s="16">
        <f t="shared" si="410"/>
        <v>123.83974031469592</v>
      </c>
      <c r="BP118" s="16">
        <f t="shared" si="410"/>
        <v>46.429939626829416</v>
      </c>
      <c r="BQ118" s="16">
        <f t="shared" si="410"/>
        <v>13.59801457661243</v>
      </c>
      <c r="BR118" s="16">
        <f t="shared" si="410"/>
        <v>2.8288209697375808</v>
      </c>
      <c r="BS118" s="16">
        <f t="shared" si="410"/>
        <v>0.34785677273892057</v>
      </c>
      <c r="BT118" s="16">
        <f t="shared" si="410"/>
        <v>1.4678782389600017E-2</v>
      </c>
      <c r="BU118" s="16">
        <f t="shared" si="410"/>
        <v>-5.9093326850241602E-4</v>
      </c>
      <c r="BV118" s="16">
        <f t="shared" si="410"/>
        <v>3.2939424108272912E-5</v>
      </c>
      <c r="BW118" s="16">
        <f t="shared" si="410"/>
        <v>0</v>
      </c>
      <c r="BX118" s="16">
        <f t="shared" si="410"/>
        <v>0</v>
      </c>
      <c r="BY118" s="16">
        <f t="shared" si="412"/>
        <v>0</v>
      </c>
      <c r="BZ118" s="16">
        <f t="shared" si="412"/>
        <v>0</v>
      </c>
      <c r="CA118" s="16">
        <f t="shared" si="412"/>
        <v>0</v>
      </c>
      <c r="CB118" s="16">
        <f t="shared" si="412"/>
        <v>0</v>
      </c>
      <c r="CC118" s="18">
        <f t="shared" si="376"/>
        <v>3.1338821346148165</v>
      </c>
      <c r="CD118" s="18">
        <f t="shared" si="376"/>
        <v>2.7633221051693106</v>
      </c>
      <c r="CE118" s="18">
        <f t="shared" si="376"/>
        <v>2.3981559158820209</v>
      </c>
      <c r="CF118" s="18">
        <f t="shared" si="376"/>
        <v>2.0195590122687985</v>
      </c>
      <c r="CG118" s="18">
        <f t="shared" si="280"/>
        <v>1.5862188363423046</v>
      </c>
      <c r="CH118" s="18">
        <f t="shared" si="280"/>
        <v>1.0000000000000002</v>
      </c>
      <c r="CI118" s="18">
        <f t="shared" si="280"/>
        <v>0</v>
      </c>
      <c r="CJ118" s="18">
        <f t="shared" si="280"/>
        <v>-2.2133547600056307</v>
      </c>
      <c r="CK118" s="18">
        <f t="shared" si="396"/>
        <v>-8.5707847612220505</v>
      </c>
      <c r="CL118" s="18">
        <f t="shared" si="396"/>
        <v>-32.679105919565906</v>
      </c>
      <c r="CM118" s="18">
        <f t="shared" si="396"/>
        <v>-161.89394030970269</v>
      </c>
      <c r="CN118" s="18">
        <f t="shared" si="396"/>
        <v>-1324.6767931614045</v>
      </c>
      <c r="CO118" s="18">
        <f t="shared" si="397"/>
        <v>-31415.797218353171</v>
      </c>
      <c r="CP118" s="18">
        <f t="shared" si="397"/>
        <v>780393.24290389288</v>
      </c>
      <c r="CQ118" s="18">
        <f t="shared" si="397"/>
        <v>-14000236.837695837</v>
      </c>
      <c r="CR118" s="18" t="e">
        <f t="shared" si="397"/>
        <v>#DIV/0!</v>
      </c>
      <c r="CS118" s="18" t="e">
        <f t="shared" si="397"/>
        <v>#DIV/0!</v>
      </c>
      <c r="CT118" s="18" t="e">
        <f t="shared" si="397"/>
        <v>#DIV/0!</v>
      </c>
      <c r="CU118" s="18" t="e">
        <f t="shared" si="397"/>
        <v>#DIV/0!</v>
      </c>
      <c r="CV118" s="18" t="e">
        <f t="shared" si="397"/>
        <v>#DIV/0!</v>
      </c>
      <c r="CW118" s="18" t="e">
        <f t="shared" si="411"/>
        <v>#DIV/0!</v>
      </c>
      <c r="CX118" s="17">
        <f t="shared" si="302"/>
        <v>698.89373581017753</v>
      </c>
      <c r="CY118" s="17">
        <f t="shared" si="381"/>
        <v>642.46184480361489</v>
      </c>
      <c r="CZ118" s="17">
        <f t="shared" si="381"/>
        <v>560.3116963574472</v>
      </c>
      <c r="DA118" s="17">
        <f t="shared" si="381"/>
        <v>458.08443307513147</v>
      </c>
      <c r="DB118" s="17">
        <f t="shared" si="381"/>
        <v>345.91330056461686</v>
      </c>
      <c r="DC118" s="17">
        <f t="shared" si="381"/>
        <v>236.77938540902616</v>
      </c>
      <c r="DD118" s="17">
        <f t="shared" si="381"/>
        <v>143.43856053475844</v>
      </c>
      <c r="DE118" s="17">
        <f t="shared" si="381"/>
        <v>74.492347997893788</v>
      </c>
      <c r="DF118" s="3" t="e">
        <f>#REF!+$AG$35*0.004*(1+$R$28)*#REF!-S118*#REF!</f>
        <v>#REF!</v>
      </c>
      <c r="DG118" s="19">
        <f t="shared" si="303"/>
        <v>1379.1884280812567</v>
      </c>
      <c r="DH118" s="19">
        <f t="shared" si="304"/>
        <v>1242.3163640333501</v>
      </c>
      <c r="DI118" s="19">
        <f t="shared" si="305"/>
        <v>1080.8969228383876</v>
      </c>
      <c r="DJ118" s="19">
        <f t="shared" si="306"/>
        <v>896.48486351874533</v>
      </c>
      <c r="DK118" s="19">
        <f t="shared" si="307"/>
        <v>690.24541287512284</v>
      </c>
      <c r="DL118" s="19">
        <f t="shared" si="308"/>
        <v>453.85669178152443</v>
      </c>
      <c r="DM118" s="19">
        <f t="shared" si="309"/>
        <v>143.43856053475844</v>
      </c>
      <c r="DN118" s="19">
        <f t="shared" si="310"/>
        <v>-405.97674135087578</v>
      </c>
      <c r="DO118" s="25"/>
      <c r="DP118" s="25"/>
      <c r="DW118" s="26">
        <f t="shared" si="394"/>
        <v>0</v>
      </c>
      <c r="DX118" s="26">
        <f t="shared" si="394"/>
        <v>0</v>
      </c>
      <c r="DY118" s="26">
        <f t="shared" si="394"/>
        <v>0</v>
      </c>
      <c r="DZ118" s="26">
        <f t="shared" si="394"/>
        <v>0</v>
      </c>
      <c r="EA118" s="26">
        <f t="shared" si="394"/>
        <v>0</v>
      </c>
      <c r="EB118" s="26">
        <f t="shared" si="394"/>
        <v>0</v>
      </c>
      <c r="EC118" s="26">
        <f t="shared" si="394"/>
        <v>0</v>
      </c>
      <c r="ED118" s="26">
        <f t="shared" si="394"/>
        <v>0</v>
      </c>
      <c r="EE118" s="26">
        <f t="shared" si="394"/>
        <v>0</v>
      </c>
      <c r="EF118" s="26">
        <f t="shared" si="394"/>
        <v>0</v>
      </c>
      <c r="EG118" s="26">
        <f t="shared" si="394"/>
        <v>0</v>
      </c>
      <c r="EH118" s="26">
        <f t="shared" si="394"/>
        <v>0</v>
      </c>
      <c r="EI118" s="26">
        <f t="shared" si="394"/>
        <v>0</v>
      </c>
      <c r="ER118" s="26">
        <f t="shared" si="312"/>
        <v>-5.6642647385489289</v>
      </c>
      <c r="ES118" s="26">
        <f t="shared" ref="ES118:FD138" si="413">(DX118-$Z118)/BQ118</f>
        <v>-19.340431528403503</v>
      </c>
      <c r="ET118" s="26">
        <f t="shared" si="413"/>
        <v>-92.968580427909586</v>
      </c>
      <c r="EU118" s="26">
        <f t="shared" si="413"/>
        <v>-756.03377726553663</v>
      </c>
      <c r="EV118" s="26">
        <f t="shared" si="413"/>
        <v>-17916.436313378152</v>
      </c>
      <c r="EW118" s="26">
        <f t="shared" si="413"/>
        <v>445044.27802431339</v>
      </c>
      <c r="EX118" s="26">
        <f t="shared" si="413"/>
        <v>-7984094.3477561818</v>
      </c>
      <c r="EY118" s="26" t="e">
        <f t="shared" si="413"/>
        <v>#DIV/0!</v>
      </c>
      <c r="EZ118" s="26" t="e">
        <f t="shared" si="413"/>
        <v>#DIV/0!</v>
      </c>
      <c r="FA118" s="26" t="e">
        <f t="shared" si="413"/>
        <v>#DIV/0!</v>
      </c>
      <c r="FB118" s="26" t="e">
        <f t="shared" si="413"/>
        <v>#DIV/0!</v>
      </c>
      <c r="FC118" s="26" t="e">
        <f t="shared" si="413"/>
        <v>#DIV/0!</v>
      </c>
      <c r="FD118" s="26" t="e">
        <f t="shared" si="413"/>
        <v>#DIV/0!</v>
      </c>
      <c r="FM118" s="26">
        <f t="shared" si="313"/>
        <v>-3.6672388831437432</v>
      </c>
      <c r="FN118" s="26">
        <f t="shared" si="313"/>
        <v>-13.521657406837647</v>
      </c>
      <c r="FO118" s="26">
        <f t="shared" si="281"/>
        <v>-65.997996156396738</v>
      </c>
      <c r="FP118" s="26">
        <f t="shared" si="401"/>
        <v>-537.70513302898382</v>
      </c>
      <c r="FQ118" s="26">
        <f t="shared" si="402"/>
        <v>-12743.499159408209</v>
      </c>
      <c r="FR118" s="26">
        <f t="shared" si="403"/>
        <v>316547.51911970001</v>
      </c>
      <c r="FS118" s="26">
        <f t="shared" si="398"/>
        <v>-5678863.4930074178</v>
      </c>
      <c r="FT118" s="26" t="e">
        <f t="shared" si="398"/>
        <v>#DIV/0!</v>
      </c>
      <c r="FU118" s="26" t="e">
        <f t="shared" si="398"/>
        <v>#DIV/0!</v>
      </c>
      <c r="FV118" s="26" t="e">
        <f t="shared" si="398"/>
        <v>#DIV/0!</v>
      </c>
      <c r="FW118" s="26" t="e">
        <f t="shared" si="398"/>
        <v>#DIV/0!</v>
      </c>
      <c r="GH118" s="26">
        <f t="shared" si="314"/>
        <v>5.9035458780783063</v>
      </c>
      <c r="GI118" s="26">
        <f t="shared" si="314"/>
        <v>20.157448512728259</v>
      </c>
      <c r="GJ118" s="26">
        <f t="shared" si="282"/>
        <v>96.895944153305948</v>
      </c>
      <c r="GK118" s="26">
        <f t="shared" si="404"/>
        <v>787.97166013242065</v>
      </c>
      <c r="GL118" s="26">
        <f t="shared" si="405"/>
        <v>18673.298058944958</v>
      </c>
      <c r="GM118" s="26">
        <f t="shared" si="406"/>
        <v>-463844.72378419281</v>
      </c>
      <c r="GN118" s="26">
        <f t="shared" si="399"/>
        <v>8321374.3446884183</v>
      </c>
      <c r="GO118" s="26" t="e">
        <f t="shared" si="399"/>
        <v>#DIV/0!</v>
      </c>
      <c r="GP118" s="26" t="e">
        <f t="shared" si="399"/>
        <v>#DIV/0!</v>
      </c>
      <c r="GQ118" s="26" t="e">
        <f t="shared" si="399"/>
        <v>#DIV/0!</v>
      </c>
      <c r="GR118" s="26" t="e">
        <f t="shared" si="399"/>
        <v>#DIV/0!</v>
      </c>
      <c r="GS118" s="26" t="e">
        <f t="shared" si="399"/>
        <v>#DIV/0!</v>
      </c>
      <c r="GT118" s="26" t="e">
        <f t="shared" si="315"/>
        <v>#DIV/0!</v>
      </c>
      <c r="HC118" s="26">
        <f t="shared" si="316"/>
        <v>-8.5707847612220505</v>
      </c>
      <c r="HD118" s="26">
        <f t="shared" si="316"/>
        <v>-32.679105919565906</v>
      </c>
      <c r="HE118" s="26">
        <f t="shared" si="283"/>
        <v>-161.89394030970269</v>
      </c>
      <c r="HF118" s="26">
        <f t="shared" si="407"/>
        <v>-1324.6767931614045</v>
      </c>
      <c r="HG118" s="26">
        <f t="shared" si="408"/>
        <v>-31415.797218353171</v>
      </c>
      <c r="HH118" s="26">
        <f t="shared" si="409"/>
        <v>780393.24290389288</v>
      </c>
      <c r="HI118" s="26">
        <f t="shared" si="400"/>
        <v>-14000236.837695837</v>
      </c>
      <c r="HJ118" s="26" t="e">
        <f t="shared" si="400"/>
        <v>#DIV/0!</v>
      </c>
      <c r="HK118" s="26" t="e">
        <f t="shared" si="400"/>
        <v>#DIV/0!</v>
      </c>
      <c r="HL118" s="26" t="e">
        <f t="shared" si="400"/>
        <v>#DIV/0!</v>
      </c>
      <c r="HM118" s="26" t="e">
        <f t="shared" si="400"/>
        <v>#DIV/0!</v>
      </c>
      <c r="HN118" s="26" t="e">
        <f t="shared" si="400"/>
        <v>#DIV/0!</v>
      </c>
      <c r="HO118" s="26" t="e">
        <f t="shared" si="317"/>
        <v>#DIV/0!</v>
      </c>
      <c r="HP118" s="26">
        <f t="shared" si="318"/>
        <v>1031889.3409120624</v>
      </c>
      <c r="HX118" s="26">
        <f t="shared" si="319"/>
        <v>1093647.402915881</v>
      </c>
      <c r="HY118" s="26">
        <f t="shared" si="320"/>
        <v>2970020.611362787</v>
      </c>
      <c r="HZ118" s="26">
        <f t="shared" si="321"/>
        <v>13455333.548280925</v>
      </c>
      <c r="IA118" s="26">
        <f t="shared" si="322"/>
        <v>108634628.67106152</v>
      </c>
      <c r="IB118" s="26">
        <f t="shared" si="323"/>
        <v>2574415938.2034531</v>
      </c>
      <c r="IC118" s="26">
        <f t="shared" si="324"/>
        <v>-63951458075.646881</v>
      </c>
      <c r="ID118" s="26">
        <f t="shared" si="325"/>
        <v>1147284731361.7373</v>
      </c>
      <c r="IE118" s="26" t="e">
        <f t="shared" si="326"/>
        <v>#DIV/0!</v>
      </c>
      <c r="IF118" s="26" t="e">
        <f t="shared" si="327"/>
        <v>#DIV/0!</v>
      </c>
      <c r="IG118" s="26" t="e">
        <f t="shared" si="328"/>
        <v>#DIV/0!</v>
      </c>
      <c r="IH118" s="26" t="e">
        <f t="shared" si="329"/>
        <v>#DIV/0!</v>
      </c>
      <c r="II118" s="26" t="e">
        <f t="shared" si="330"/>
        <v>#DIV/0!</v>
      </c>
      <c r="IR118" s="26">
        <f t="shared" si="331"/>
        <v>1122847.993038615</v>
      </c>
      <c r="IS118" s="26">
        <f t="shared" si="332"/>
        <v>3046979.5410224614</v>
      </c>
      <c r="IT118" s="26">
        <f t="shared" si="333"/>
        <v>13806998.955748798</v>
      </c>
      <c r="IU118" s="26">
        <f t="shared" si="334"/>
        <v>111536121.03580245</v>
      </c>
      <c r="IV118" s="26">
        <f t="shared" si="335"/>
        <v>2644806975.4885397</v>
      </c>
      <c r="IW118" s="26">
        <f t="shared" si="336"/>
        <v>-65741451880.734253</v>
      </c>
      <c r="IX118" s="26">
        <f t="shared" si="337"/>
        <v>1180152633915.9392</v>
      </c>
      <c r="IY118" s="26" t="e">
        <f t="shared" si="338"/>
        <v>#DIV/0!</v>
      </c>
      <c r="IZ118" s="26" t="e">
        <f t="shared" si="339"/>
        <v>#DIV/0!</v>
      </c>
      <c r="JA118" s="26" t="e">
        <f t="shared" si="340"/>
        <v>#DIV/0!</v>
      </c>
      <c r="JB118" s="26" t="e">
        <f t="shared" si="341"/>
        <v>#DIV/0!</v>
      </c>
      <c r="JC118" s="26" t="e">
        <f t="shared" si="342"/>
        <v>#DIV/0!</v>
      </c>
      <c r="JI118" s="26">
        <f t="shared" si="343"/>
        <v>0</v>
      </c>
      <c r="JJ118" s="26">
        <f t="shared" si="344"/>
        <v>0</v>
      </c>
      <c r="JK118" s="26">
        <f t="shared" si="345"/>
        <v>3376265.4060818078</v>
      </c>
      <c r="JL118" s="26">
        <f t="shared" si="346"/>
        <v>11638919.296062222</v>
      </c>
      <c r="JM118" s="26">
        <f t="shared" si="347"/>
        <v>56371902.208323643</v>
      </c>
      <c r="JN118" s="26">
        <f t="shared" si="348"/>
        <v>459818085.35134393</v>
      </c>
      <c r="JO118" s="26">
        <f t="shared" si="349"/>
        <v>10904599569.600662</v>
      </c>
      <c r="JP118" s="26">
        <f t="shared" si="350"/>
        <v>-270921230812.68567</v>
      </c>
      <c r="JQ118" s="26">
        <f t="shared" si="351"/>
        <v>4861073151198.2207</v>
      </c>
      <c r="JR118" s="26" t="e">
        <f t="shared" si="352"/>
        <v>#DIV/0!</v>
      </c>
      <c r="JS118" s="26" t="e">
        <f t="shared" si="353"/>
        <v>#DIV/0!</v>
      </c>
      <c r="JT118" s="26" t="e">
        <f t="shared" si="354"/>
        <v>#DIV/0!</v>
      </c>
      <c r="JU118" s="26" t="e">
        <f t="shared" si="355"/>
        <v>#DIV/0!</v>
      </c>
      <c r="JV118" s="26" t="e">
        <f t="shared" si="356"/>
        <v>#DIV/0!</v>
      </c>
      <c r="JW118" s="26" t="e">
        <f t="shared" si="357"/>
        <v>#DIV/0!</v>
      </c>
      <c r="JY118" s="34">
        <f t="shared" si="358"/>
        <v>0.19225043755371402</v>
      </c>
      <c r="JZ118" s="4">
        <f t="shared" si="359"/>
        <v>0</v>
      </c>
      <c r="KA118" s="165"/>
    </row>
    <row r="119" spans="1:287" ht="15.75" x14ac:dyDescent="0.3">
      <c r="A119" s="34">
        <v>118</v>
      </c>
      <c r="B119" s="34">
        <v>91</v>
      </c>
      <c r="C119" s="2">
        <v>136733</v>
      </c>
      <c r="D119" s="1">
        <f t="shared" si="360"/>
        <v>21960</v>
      </c>
      <c r="E119" s="145">
        <f t="shared" si="361"/>
        <v>0.83939502534135868</v>
      </c>
      <c r="F119" s="146">
        <f t="shared" si="362"/>
        <v>0.16060497465864132</v>
      </c>
      <c r="G119" s="158">
        <f t="shared" si="284"/>
        <v>0.20075621832330165</v>
      </c>
      <c r="H119" s="43">
        <f t="shared" si="363"/>
        <v>16272.457800663104</v>
      </c>
      <c r="I119" s="43">
        <f t="shared" si="390"/>
        <v>81055.809561313945</v>
      </c>
      <c r="J119" s="43">
        <f t="shared" si="364"/>
        <v>125753</v>
      </c>
      <c r="K119" s="147">
        <f>SUM(J119:$J$138)</f>
        <v>483357.5</v>
      </c>
      <c r="L119" s="147">
        <f t="shared" si="365"/>
        <v>3.5350464043062026</v>
      </c>
      <c r="M119" s="43">
        <f t="shared" si="285"/>
        <v>157191.25</v>
      </c>
      <c r="N119" s="148">
        <f t="shared" si="286"/>
        <v>604196.875</v>
      </c>
      <c r="O119" s="147">
        <f t="shared" si="287"/>
        <v>4.4188080053827532</v>
      </c>
      <c r="P119" s="157">
        <f t="shared" si="288"/>
        <v>3541.7044455655696</v>
      </c>
      <c r="Q119" s="43">
        <f t="shared" si="289"/>
        <v>170916.25</v>
      </c>
      <c r="R119" s="43">
        <f t="shared" si="290"/>
        <v>698.89373581017753</v>
      </c>
      <c r="S119" s="43">
        <f>SUM(R119:$R$138)</f>
        <v>3205.4358658612191</v>
      </c>
      <c r="T119" s="43">
        <f t="shared" si="366"/>
        <v>10669.266678782564</v>
      </c>
      <c r="U119" s="153">
        <f>SUM(P119:$P$138)</f>
        <v>11560.444059796366</v>
      </c>
      <c r="V119" s="129">
        <f t="shared" si="291"/>
        <v>187.05849304915947</v>
      </c>
      <c r="W119" s="43">
        <f t="shared" si="292"/>
        <v>123.83974031469592</v>
      </c>
      <c r="X119" s="26">
        <f t="shared" si="367"/>
        <v>3.2112746112927013</v>
      </c>
      <c r="Y119" s="26">
        <f t="shared" si="368"/>
        <v>3.4966141929135518E-2</v>
      </c>
      <c r="Z119" s="43">
        <f t="shared" si="293"/>
        <v>119.55290930644705</v>
      </c>
      <c r="AA119" s="149">
        <f t="shared" si="369"/>
        <v>0.87129883477953285</v>
      </c>
      <c r="AB119" s="150">
        <f t="shared" si="370"/>
        <v>8018.7396142307962</v>
      </c>
      <c r="AC119" s="150">
        <f t="shared" si="371"/>
        <v>63.21875273446355</v>
      </c>
      <c r="AD119" s="26">
        <f t="shared" si="372"/>
        <v>2.2462407532218367</v>
      </c>
      <c r="AE119" s="26">
        <f t="shared" si="294"/>
        <v>921864.32674359356</v>
      </c>
      <c r="AF119" s="43">
        <f t="shared" si="295"/>
        <v>287071.15968898602</v>
      </c>
      <c r="AG119" s="43">
        <f t="shared" si="296"/>
        <v>952229.44465407683</v>
      </c>
      <c r="AH119" s="27">
        <f t="shared" si="297"/>
        <v>300369.74654185539</v>
      </c>
      <c r="AI119" s="28">
        <f t="shared" si="298"/>
        <v>1023902.6286602977</v>
      </c>
      <c r="AJ119" s="20">
        <f t="shared" si="299"/>
        <v>322978.22208801657</v>
      </c>
      <c r="AK119" s="3">
        <f t="shared" si="300"/>
        <v>27991.445914294771</v>
      </c>
      <c r="AL119" s="3"/>
      <c r="AM119" s="46">
        <f t="shared" si="373"/>
        <v>8018.7396142307962</v>
      </c>
      <c r="AN119" s="46">
        <f t="shared" si="374"/>
        <v>5283.7780155303126</v>
      </c>
      <c r="AO119" s="46">
        <f t="shared" si="374"/>
        <v>3272.8085819586663</v>
      </c>
      <c r="AP119" s="3">
        <f t="shared" ref="AP119:AW138" si="414">AO120</f>
        <v>1880.5992961069639</v>
      </c>
      <c r="AQ119" s="3">
        <f t="shared" si="414"/>
        <v>985.7419839674069</v>
      </c>
      <c r="AR119" s="16">
        <f t="shared" si="414"/>
        <v>461.1597717525529</v>
      </c>
      <c r="AS119" s="16">
        <f t="shared" si="414"/>
        <v>187.05849304915947</v>
      </c>
      <c r="AT119" s="16">
        <f t="shared" si="414"/>
        <v>63.21875273446355</v>
      </c>
      <c r="AU119" s="16">
        <f t="shared" si="414"/>
        <v>16.788813107634137</v>
      </c>
      <c r="AV119" s="16">
        <f t="shared" si="414"/>
        <v>3.1907985310217075</v>
      </c>
      <c r="AW119" s="16">
        <f t="shared" si="414"/>
        <v>0.36197756128412645</v>
      </c>
      <c r="AX119" s="16">
        <f t="shared" si="391"/>
        <v>1.4120788545205874E-2</v>
      </c>
      <c r="AY119" s="16">
        <f t="shared" si="391"/>
        <v>-5.5799384439414316E-4</v>
      </c>
      <c r="AZ119" s="16">
        <f t="shared" si="391"/>
        <v>3.2939424108272912E-5</v>
      </c>
      <c r="BA119" s="16">
        <f t="shared" si="391"/>
        <v>0</v>
      </c>
      <c r="BB119" s="16">
        <f t="shared" si="391"/>
        <v>0</v>
      </c>
      <c r="BC119" s="16">
        <f t="shared" si="391"/>
        <v>0</v>
      </c>
      <c r="BD119" s="16">
        <f t="shared" si="391"/>
        <v>0</v>
      </c>
      <c r="BE119" s="16">
        <f t="shared" si="391"/>
        <v>0</v>
      </c>
      <c r="BF119" s="16">
        <f t="shared" si="391"/>
        <v>0</v>
      </c>
      <c r="BG119" s="16">
        <f t="shared" si="391"/>
        <v>0</v>
      </c>
      <c r="BH119" s="172">
        <f t="shared" si="375"/>
        <v>2734.9615987004836</v>
      </c>
      <c r="BI119" s="16">
        <f t="shared" si="410"/>
        <v>2010.9694335716461</v>
      </c>
      <c r="BJ119" s="16">
        <f t="shared" si="410"/>
        <v>1392.2092858517024</v>
      </c>
      <c r="BK119" s="16">
        <f t="shared" si="410"/>
        <v>894.85731213955728</v>
      </c>
      <c r="BL119" s="16">
        <f t="shared" si="410"/>
        <v>524.58221221485394</v>
      </c>
      <c r="BM119" s="16">
        <f t="shared" si="410"/>
        <v>274.1012787033934</v>
      </c>
      <c r="BN119" s="16">
        <f t="shared" si="410"/>
        <v>123.83974031469592</v>
      </c>
      <c r="BO119" s="16">
        <f t="shared" si="410"/>
        <v>46.429939626829416</v>
      </c>
      <c r="BP119" s="16">
        <f t="shared" si="410"/>
        <v>13.59801457661243</v>
      </c>
      <c r="BQ119" s="16">
        <f t="shared" si="410"/>
        <v>2.8288209697375808</v>
      </c>
      <c r="BR119" s="16">
        <f t="shared" si="410"/>
        <v>0.34785677273892057</v>
      </c>
      <c r="BS119" s="16">
        <f t="shared" si="410"/>
        <v>1.4678782389600017E-2</v>
      </c>
      <c r="BT119" s="16">
        <f t="shared" si="410"/>
        <v>-5.9093326850241602E-4</v>
      </c>
      <c r="BU119" s="16">
        <f t="shared" si="410"/>
        <v>3.2939424108272912E-5</v>
      </c>
      <c r="BV119" s="16">
        <f t="shared" si="412"/>
        <v>0</v>
      </c>
      <c r="BW119" s="16">
        <f t="shared" si="412"/>
        <v>0</v>
      </c>
      <c r="BX119" s="16">
        <f t="shared" si="412"/>
        <v>0</v>
      </c>
      <c r="BY119" s="16">
        <f t="shared" si="412"/>
        <v>0</v>
      </c>
      <c r="BZ119" s="16">
        <f t="shared" si="412"/>
        <v>0</v>
      </c>
      <c r="CA119" s="16">
        <f t="shared" si="412"/>
        <v>0</v>
      </c>
      <c r="CB119" s="16">
        <f t="shared" si="412"/>
        <v>0</v>
      </c>
      <c r="CC119" s="18">
        <f t="shared" si="376"/>
        <v>2.8635433583063317</v>
      </c>
      <c r="CD119" s="18">
        <f t="shared" si="376"/>
        <v>2.5344589715761927</v>
      </c>
      <c r="CE119" s="18">
        <f t="shared" si="376"/>
        <v>2.2164412493641419</v>
      </c>
      <c r="CF119" s="18">
        <f t="shared" si="376"/>
        <v>1.8925260821846965</v>
      </c>
      <c r="CG119" s="18">
        <f t="shared" si="280"/>
        <v>1.5225134827696549</v>
      </c>
      <c r="CH119" s="18">
        <f t="shared" si="280"/>
        <v>1</v>
      </c>
      <c r="CI119" s="18">
        <f t="shared" si="280"/>
        <v>0</v>
      </c>
      <c r="CJ119" s="18">
        <f t="shared" si="280"/>
        <v>-2.6672388831437432</v>
      </c>
      <c r="CK119" s="18">
        <f t="shared" si="396"/>
        <v>-12.521657406837647</v>
      </c>
      <c r="CL119" s="18">
        <f t="shared" si="396"/>
        <v>-64.997996156396738</v>
      </c>
      <c r="CM119" s="18">
        <f t="shared" si="396"/>
        <v>-536.70513302898371</v>
      </c>
      <c r="CN119" s="18">
        <f t="shared" si="396"/>
        <v>-12742.499159408211</v>
      </c>
      <c r="CO119" s="18">
        <f t="shared" si="397"/>
        <v>316548.51911970001</v>
      </c>
      <c r="CP119" s="18">
        <f t="shared" si="397"/>
        <v>-5678862.4930074178</v>
      </c>
      <c r="CQ119" s="18" t="e">
        <f t="shared" si="397"/>
        <v>#DIV/0!</v>
      </c>
      <c r="CR119" s="18" t="e">
        <f t="shared" si="397"/>
        <v>#DIV/0!</v>
      </c>
      <c r="CS119" s="18" t="e">
        <f t="shared" si="397"/>
        <v>#DIV/0!</v>
      </c>
      <c r="CT119" s="18" t="e">
        <f t="shared" si="397"/>
        <v>#DIV/0!</v>
      </c>
      <c r="CU119" s="18" t="e">
        <f t="shared" si="397"/>
        <v>#DIV/0!</v>
      </c>
      <c r="CV119" s="18" t="e">
        <f t="shared" si="397"/>
        <v>#DIV/0!</v>
      </c>
      <c r="CW119" s="18" t="e">
        <f t="shared" si="411"/>
        <v>#DIV/0!</v>
      </c>
      <c r="CX119" s="17">
        <f t="shared" si="302"/>
        <v>642.46184480361489</v>
      </c>
      <c r="CY119" s="17">
        <f t="shared" si="381"/>
        <v>560.3116963574472</v>
      </c>
      <c r="CZ119" s="17">
        <f t="shared" si="381"/>
        <v>458.08443307513147</v>
      </c>
      <c r="DA119" s="17">
        <f t="shared" si="381"/>
        <v>345.91330056461686</v>
      </c>
      <c r="DB119" s="17">
        <f t="shared" si="381"/>
        <v>236.77938540902616</v>
      </c>
      <c r="DC119" s="17">
        <f t="shared" si="381"/>
        <v>143.43856053475844</v>
      </c>
      <c r="DD119" s="17">
        <f t="shared" si="381"/>
        <v>74.492347997893788</v>
      </c>
      <c r="DE119" s="17">
        <f t="shared" si="381"/>
        <v>31.804207522133421</v>
      </c>
      <c r="DF119" s="3" t="e">
        <f>#REF!+$AG$35*0.004*(1+$R$28)*#REF!-S119*#REF!</f>
        <v>#REF!</v>
      </c>
      <c r="DG119" s="19">
        <f t="shared" si="303"/>
        <v>1265.5970066592627</v>
      </c>
      <c r="DH119" s="19">
        <f t="shared" si="304"/>
        <v>1111.8348632368643</v>
      </c>
      <c r="DI119" s="19">
        <f t="shared" si="305"/>
        <v>940.40381987950934</v>
      </c>
      <c r="DJ119" s="19">
        <f t="shared" si="306"/>
        <v>757.74556534153407</v>
      </c>
      <c r="DK119" s="19">
        <f t="shared" si="307"/>
        <v>568.09327411305856</v>
      </c>
      <c r="DL119" s="19">
        <f t="shared" si="308"/>
        <v>361.04838301155405</v>
      </c>
      <c r="DM119" s="19">
        <f t="shared" si="309"/>
        <v>74.492347997893788</v>
      </c>
      <c r="DN119" s="19">
        <f t="shared" si="310"/>
        <v>-548.61317234198305</v>
      </c>
      <c r="DO119" s="25"/>
      <c r="DP119" s="25"/>
      <c r="DW119" s="26">
        <f t="shared" si="394"/>
        <v>0</v>
      </c>
      <c r="DX119" s="26">
        <f t="shared" si="394"/>
        <v>0</v>
      </c>
      <c r="DY119" s="26">
        <f t="shared" si="394"/>
        <v>0</v>
      </c>
      <c r="DZ119" s="26">
        <f t="shared" si="394"/>
        <v>0</v>
      </c>
      <c r="EA119" s="26">
        <f t="shared" si="394"/>
        <v>0</v>
      </c>
      <c r="EB119" s="26">
        <f t="shared" si="394"/>
        <v>0</v>
      </c>
      <c r="EC119" s="26">
        <f t="shared" si="394"/>
        <v>0</v>
      </c>
      <c r="ED119" s="26">
        <f t="shared" si="394"/>
        <v>0</v>
      </c>
      <c r="EE119" s="26">
        <f t="shared" si="394"/>
        <v>0</v>
      </c>
      <c r="EF119" s="26">
        <f t="shared" si="394"/>
        <v>0</v>
      </c>
      <c r="EG119" s="26">
        <f t="shared" si="394"/>
        <v>0</v>
      </c>
      <c r="EH119" s="26">
        <f t="shared" si="394"/>
        <v>0</v>
      </c>
      <c r="EI119" s="26">
        <f t="shared" si="394"/>
        <v>0</v>
      </c>
      <c r="ER119" s="26">
        <f t="shared" ref="ER119:ER138" si="415">(DW119-$Z119)/BP119</f>
        <v>-8.791938604924658</v>
      </c>
      <c r="ES119" s="26">
        <f t="shared" si="413"/>
        <v>-42.262451595704029</v>
      </c>
      <c r="ET119" s="26">
        <f t="shared" si="413"/>
        <v>-343.68429386935048</v>
      </c>
      <c r="EU119" s="26">
        <f t="shared" si="413"/>
        <v>-8144.6066937507585</v>
      </c>
      <c r="EV119" s="26">
        <f t="shared" si="413"/>
        <v>202312.03027276887</v>
      </c>
      <c r="EW119" s="26">
        <f t="shared" si="413"/>
        <v>-3629477.8230934734</v>
      </c>
      <c r="EX119" s="26" t="e">
        <f t="shared" si="413"/>
        <v>#DIV/0!</v>
      </c>
      <c r="EY119" s="26" t="e">
        <f t="shared" si="413"/>
        <v>#DIV/0!</v>
      </c>
      <c r="EZ119" s="26" t="e">
        <f t="shared" si="413"/>
        <v>#DIV/0!</v>
      </c>
      <c r="FA119" s="26" t="e">
        <f t="shared" si="413"/>
        <v>#DIV/0!</v>
      </c>
      <c r="FB119" s="26" t="e">
        <f t="shared" si="413"/>
        <v>#DIV/0!</v>
      </c>
      <c r="FC119" s="26" t="e">
        <f t="shared" si="413"/>
        <v>#DIV/0!</v>
      </c>
      <c r="FD119" s="26" t="e">
        <f t="shared" si="413"/>
        <v>#DIV/0!</v>
      </c>
      <c r="FM119" s="26">
        <f t="shared" si="313"/>
        <v>-4.4144646165246391</v>
      </c>
      <c r="FN119" s="26">
        <f t="shared" si="313"/>
        <v>-22.220131936808432</v>
      </c>
      <c r="FO119" s="26">
        <f t="shared" si="281"/>
        <v>-181.69728721468869</v>
      </c>
      <c r="FP119" s="26">
        <f t="shared" si="401"/>
        <v>-4306.8497815662904</v>
      </c>
      <c r="FQ119" s="26">
        <f t="shared" si="402"/>
        <v>106981.14857410667</v>
      </c>
      <c r="FR119" s="26">
        <f t="shared" si="403"/>
        <v>-1919242.8054194737</v>
      </c>
      <c r="FS119" s="26" t="e">
        <f t="shared" si="398"/>
        <v>#DIV/0!</v>
      </c>
      <c r="FT119" s="26" t="e">
        <f t="shared" si="398"/>
        <v>#DIV/0!</v>
      </c>
      <c r="FU119" s="26" t="e">
        <f t="shared" si="398"/>
        <v>#DIV/0!</v>
      </c>
      <c r="FV119" s="26" t="e">
        <f t="shared" si="398"/>
        <v>#DIV/0!</v>
      </c>
      <c r="FW119" s="26" t="e">
        <f t="shared" si="398"/>
        <v>#DIV/0!</v>
      </c>
      <c r="GH119" s="26">
        <f t="shared" si="314"/>
        <v>9.1071927903130092</v>
      </c>
      <c r="GI119" s="26">
        <f t="shared" si="314"/>
        <v>43.777864219588302</v>
      </c>
      <c r="GJ119" s="26">
        <f t="shared" si="282"/>
        <v>356.00784581429508</v>
      </c>
      <c r="GK119" s="26">
        <f t="shared" si="404"/>
        <v>8436.6493778419208</v>
      </c>
      <c r="GL119" s="26">
        <f t="shared" si="405"/>
        <v>-209566.37054559335</v>
      </c>
      <c r="GM119" s="26">
        <f t="shared" si="406"/>
        <v>3759620.6875879443</v>
      </c>
      <c r="GN119" s="26" t="e">
        <f t="shared" si="399"/>
        <v>#DIV/0!</v>
      </c>
      <c r="GO119" s="26" t="e">
        <f t="shared" si="399"/>
        <v>#DIV/0!</v>
      </c>
      <c r="GP119" s="26" t="e">
        <f t="shared" si="399"/>
        <v>#DIV/0!</v>
      </c>
      <c r="GQ119" s="26" t="e">
        <f t="shared" si="399"/>
        <v>#DIV/0!</v>
      </c>
      <c r="GR119" s="26" t="e">
        <f t="shared" si="399"/>
        <v>#DIV/0!</v>
      </c>
      <c r="GS119" s="26" t="e">
        <f t="shared" si="399"/>
        <v>#DIV/0!</v>
      </c>
      <c r="GT119" s="26" t="e">
        <f t="shared" si="315"/>
        <v>#DIV/0!</v>
      </c>
      <c r="HC119" s="26">
        <f t="shared" si="316"/>
        <v>-12.521657406837647</v>
      </c>
      <c r="HD119" s="26">
        <f t="shared" si="316"/>
        <v>-64.997996156396738</v>
      </c>
      <c r="HE119" s="26">
        <f t="shared" si="283"/>
        <v>-536.70513302898371</v>
      </c>
      <c r="HF119" s="26">
        <f t="shared" si="407"/>
        <v>-12742.499159408211</v>
      </c>
      <c r="HG119" s="26">
        <f t="shared" si="408"/>
        <v>316548.51911970001</v>
      </c>
      <c r="HH119" s="26">
        <f t="shared" si="409"/>
        <v>-5678862.4930074178</v>
      </c>
      <c r="HI119" s="26" t="e">
        <f t="shared" si="400"/>
        <v>#DIV/0!</v>
      </c>
      <c r="HJ119" s="26" t="e">
        <f t="shared" si="400"/>
        <v>#DIV/0!</v>
      </c>
      <c r="HK119" s="26" t="e">
        <f t="shared" si="400"/>
        <v>#DIV/0!</v>
      </c>
      <c r="HL119" s="26" t="e">
        <f t="shared" si="400"/>
        <v>#DIV/0!</v>
      </c>
      <c r="HM119" s="26" t="e">
        <f t="shared" si="400"/>
        <v>#DIV/0!</v>
      </c>
      <c r="HN119" s="26" t="e">
        <f t="shared" si="400"/>
        <v>#DIV/0!</v>
      </c>
      <c r="HO119" s="26" t="e">
        <f t="shared" si="317"/>
        <v>#DIV/0!</v>
      </c>
      <c r="HP119" s="26">
        <f t="shared" si="318"/>
        <v>1031889.3409120624</v>
      </c>
      <c r="HX119" s="26">
        <f t="shared" si="319"/>
        <v>1367284.3237193758</v>
      </c>
      <c r="HY119" s="26">
        <f t="shared" si="320"/>
        <v>5361055.6861927733</v>
      </c>
      <c r="HZ119" s="26">
        <f t="shared" si="321"/>
        <v>42051320.776885122</v>
      </c>
      <c r="IA119" s="26">
        <f t="shared" si="322"/>
        <v>994019196.8943882</v>
      </c>
      <c r="IB119" s="26">
        <f t="shared" si="323"/>
        <v>-24691436850.856613</v>
      </c>
      <c r="IC119" s="26">
        <f t="shared" si="324"/>
        <v>442962201912.54053</v>
      </c>
      <c r="ID119" s="26" t="e">
        <f t="shared" si="325"/>
        <v>#DIV/0!</v>
      </c>
      <c r="IE119" s="26" t="e">
        <f t="shared" si="326"/>
        <v>#DIV/0!</v>
      </c>
      <c r="IF119" s="26" t="e">
        <f t="shared" si="327"/>
        <v>#DIV/0!</v>
      </c>
      <c r="IG119" s="26" t="e">
        <f t="shared" si="328"/>
        <v>#DIV/0!</v>
      </c>
      <c r="IH119" s="26" t="e">
        <f t="shared" si="329"/>
        <v>#DIV/0!</v>
      </c>
      <c r="II119" s="26" t="e">
        <f t="shared" si="330"/>
        <v>#DIV/0!</v>
      </c>
      <c r="IR119" s="26">
        <f t="shared" si="331"/>
        <v>1403030.4590399789</v>
      </c>
      <c r="IS119" s="26">
        <f t="shared" si="332"/>
        <v>5497737.8149833838</v>
      </c>
      <c r="IT119" s="26">
        <f t="shared" si="333"/>
        <v>43140489.722763836</v>
      </c>
      <c r="IU119" s="26">
        <f t="shared" si="334"/>
        <v>1020400416.1668404</v>
      </c>
      <c r="IV119" s="26">
        <f t="shared" si="335"/>
        <v>-25363244956.638462</v>
      </c>
      <c r="IW119" s="26">
        <f t="shared" si="336"/>
        <v>455315619818.12976</v>
      </c>
      <c r="IX119" s="26" t="e">
        <f t="shared" si="337"/>
        <v>#DIV/0!</v>
      </c>
      <c r="IY119" s="26" t="e">
        <f t="shared" si="338"/>
        <v>#DIV/0!</v>
      </c>
      <c r="IZ119" s="26" t="e">
        <f t="shared" si="339"/>
        <v>#DIV/0!</v>
      </c>
      <c r="JA119" s="26" t="e">
        <f t="shared" si="340"/>
        <v>#DIV/0!</v>
      </c>
      <c r="JB119" s="26" t="e">
        <f t="shared" si="341"/>
        <v>#DIV/0!</v>
      </c>
      <c r="JC119" s="26" t="e">
        <f t="shared" si="342"/>
        <v>#DIV/0!</v>
      </c>
      <c r="JI119" s="26">
        <f t="shared" si="343"/>
        <v>0</v>
      </c>
      <c r="JJ119" s="26">
        <f t="shared" si="344"/>
        <v>0</v>
      </c>
      <c r="JK119" s="26">
        <f t="shared" si="345"/>
        <v>5116039.2552144714</v>
      </c>
      <c r="JL119" s="26">
        <f t="shared" si="346"/>
        <v>24771394.937292963</v>
      </c>
      <c r="JM119" s="26">
        <f t="shared" si="347"/>
        <v>202288022.2850605</v>
      </c>
      <c r="JN119" s="26">
        <f t="shared" si="348"/>
        <v>4798894742.1889496</v>
      </c>
      <c r="JO119" s="26">
        <f t="shared" si="349"/>
        <v>-119228409744.29977</v>
      </c>
      <c r="JP119" s="26">
        <f t="shared" si="350"/>
        <v>2139251356415.4102</v>
      </c>
      <c r="JQ119" s="26" t="e">
        <f t="shared" si="351"/>
        <v>#DIV/0!</v>
      </c>
      <c r="JR119" s="26" t="e">
        <f t="shared" si="352"/>
        <v>#DIV/0!</v>
      </c>
      <c r="JS119" s="26" t="e">
        <f t="shared" si="353"/>
        <v>#DIV/0!</v>
      </c>
      <c r="JT119" s="26" t="e">
        <f t="shared" si="354"/>
        <v>#DIV/0!</v>
      </c>
      <c r="JU119" s="26" t="e">
        <f t="shared" si="355"/>
        <v>#DIV/0!</v>
      </c>
      <c r="JV119" s="26" t="e">
        <f t="shared" si="356"/>
        <v>#DIV/0!</v>
      </c>
      <c r="JW119" s="26" t="e">
        <f t="shared" si="357"/>
        <v>#DIV/0!</v>
      </c>
      <c r="JY119" s="34">
        <f t="shared" si="358"/>
        <v>0.21060497465864131</v>
      </c>
      <c r="JZ119" s="4">
        <f t="shared" si="359"/>
        <v>0</v>
      </c>
      <c r="KA119" s="165"/>
    </row>
    <row r="120" spans="1:287" ht="15.75" x14ac:dyDescent="0.3">
      <c r="A120" s="34">
        <v>119</v>
      </c>
      <c r="B120" s="34">
        <v>92</v>
      </c>
      <c r="C120" s="2">
        <v>114773</v>
      </c>
      <c r="D120" s="1">
        <f t="shared" si="360"/>
        <v>21943</v>
      </c>
      <c r="E120" s="145">
        <f t="shared" si="361"/>
        <v>0.80881391965009197</v>
      </c>
      <c r="F120" s="146">
        <f t="shared" si="362"/>
        <v>0.19118608034990803</v>
      </c>
      <c r="G120" s="158">
        <f t="shared" si="284"/>
        <v>0.23898260043738503</v>
      </c>
      <c r="H120" s="43">
        <f t="shared" si="363"/>
        <v>15482.093868810183</v>
      </c>
      <c r="I120" s="43">
        <f t="shared" si="390"/>
        <v>64783.351760650839</v>
      </c>
      <c r="J120" s="43">
        <f t="shared" si="364"/>
        <v>103801.5</v>
      </c>
      <c r="K120" s="147">
        <f>SUM(J120:$J$138)</f>
        <v>357604.5</v>
      </c>
      <c r="L120" s="147">
        <f t="shared" si="365"/>
        <v>3.1157545764247687</v>
      </c>
      <c r="M120" s="43">
        <f t="shared" si="285"/>
        <v>129751.875</v>
      </c>
      <c r="N120" s="148">
        <f t="shared" si="286"/>
        <v>447005.625</v>
      </c>
      <c r="O120" s="147">
        <f t="shared" si="287"/>
        <v>3.8946932205309608</v>
      </c>
      <c r="P120" s="157">
        <f t="shared" si="288"/>
        <v>2734.9615987004836</v>
      </c>
      <c r="Q120" s="43">
        <f t="shared" si="289"/>
        <v>143466.25</v>
      </c>
      <c r="R120" s="43">
        <f t="shared" si="290"/>
        <v>642.46184480361489</v>
      </c>
      <c r="S120" s="43">
        <f>SUM(R120:$R$138)</f>
        <v>2506.5421300510416</v>
      </c>
      <c r="T120" s="43">
        <f t="shared" si="366"/>
        <v>7463.8308129213483</v>
      </c>
      <c r="U120" s="153">
        <f>SUM(P120:$P$138)</f>
        <v>8018.7396142307962</v>
      </c>
      <c r="V120" s="129">
        <f t="shared" si="291"/>
        <v>63.21875273446355</v>
      </c>
      <c r="W120" s="43">
        <f t="shared" si="292"/>
        <v>46.429939626829416</v>
      </c>
      <c r="X120" s="26">
        <f t="shared" si="367"/>
        <v>2.9088236066189732</v>
      </c>
      <c r="Y120" s="26">
        <f t="shared" si="368"/>
        <v>1.6976450290523491E-2</v>
      </c>
      <c r="Z120" s="43">
        <f t="shared" si="293"/>
        <v>45.060561308553233</v>
      </c>
      <c r="AA120" s="149">
        <f t="shared" si="369"/>
        <v>0.9000058976740517</v>
      </c>
      <c r="AB120" s="150">
        <f t="shared" si="370"/>
        <v>5283.7780155303126</v>
      </c>
      <c r="AC120" s="150">
        <f t="shared" si="371"/>
        <v>16.788813107634137</v>
      </c>
      <c r="AD120" s="26">
        <f t="shared" si="372"/>
        <v>1.9258000569094964</v>
      </c>
      <c r="AE120" s="26">
        <f t="shared" si="294"/>
        <v>958181.09289392456</v>
      </c>
      <c r="AF120" s="43">
        <f t="shared" si="295"/>
        <v>329405.01813640457</v>
      </c>
      <c r="AG120" s="43">
        <f t="shared" si="296"/>
        <v>989380.55134896748</v>
      </c>
      <c r="AH120" s="27">
        <f t="shared" si="297"/>
        <v>343973.62074269645</v>
      </c>
      <c r="AI120" s="28">
        <f t="shared" si="298"/>
        <v>1063850.0552139436</v>
      </c>
      <c r="AJ120" s="20">
        <f t="shared" si="299"/>
        <v>369864.10832548008</v>
      </c>
      <c r="AK120" s="3">
        <f t="shared" si="300"/>
        <v>32054.889388208274</v>
      </c>
      <c r="AL120" s="3"/>
      <c r="AM120" s="46">
        <f t="shared" si="373"/>
        <v>5283.7780155303126</v>
      </c>
      <c r="AN120" s="46">
        <f t="shared" si="374"/>
        <v>3272.8085819586663</v>
      </c>
      <c r="AO120" s="46">
        <f t="shared" si="374"/>
        <v>1880.5992961069639</v>
      </c>
      <c r="AP120" s="3">
        <f t="shared" si="414"/>
        <v>985.7419839674069</v>
      </c>
      <c r="AQ120" s="3">
        <f t="shared" si="414"/>
        <v>461.1597717525529</v>
      </c>
      <c r="AR120" s="16">
        <f t="shared" si="414"/>
        <v>187.05849304915947</v>
      </c>
      <c r="AS120" s="16">
        <f t="shared" si="414"/>
        <v>63.21875273446355</v>
      </c>
      <c r="AT120" s="16">
        <f t="shared" si="414"/>
        <v>16.788813107634137</v>
      </c>
      <c r="AU120" s="16">
        <f t="shared" si="414"/>
        <v>3.1907985310217075</v>
      </c>
      <c r="AV120" s="16">
        <f t="shared" si="414"/>
        <v>0.36197756128412645</v>
      </c>
      <c r="AW120" s="16">
        <f t="shared" si="414"/>
        <v>1.4120788545205874E-2</v>
      </c>
      <c r="AX120" s="16">
        <f t="shared" si="391"/>
        <v>-5.5799384439414316E-4</v>
      </c>
      <c r="AY120" s="16">
        <f t="shared" si="391"/>
        <v>3.2939424108272912E-5</v>
      </c>
      <c r="AZ120" s="16">
        <f t="shared" si="391"/>
        <v>0</v>
      </c>
      <c r="BA120" s="16">
        <f t="shared" si="391"/>
        <v>0</v>
      </c>
      <c r="BB120" s="16">
        <f t="shared" si="391"/>
        <v>0</v>
      </c>
      <c r="BC120" s="16">
        <f t="shared" si="391"/>
        <v>0</v>
      </c>
      <c r="BD120" s="16">
        <f t="shared" si="391"/>
        <v>0</v>
      </c>
      <c r="BE120" s="16">
        <f t="shared" si="391"/>
        <v>0</v>
      </c>
      <c r="BF120" s="16">
        <f t="shared" si="391"/>
        <v>0</v>
      </c>
      <c r="BG120" s="16">
        <f t="shared" si="391"/>
        <v>0</v>
      </c>
      <c r="BH120" s="172">
        <f t="shared" si="375"/>
        <v>2010.9694335716461</v>
      </c>
      <c r="BI120" s="16">
        <f t="shared" si="410"/>
        <v>1392.2092858517024</v>
      </c>
      <c r="BJ120" s="16">
        <f t="shared" si="410"/>
        <v>894.85731213955728</v>
      </c>
      <c r="BK120" s="16">
        <f t="shared" si="410"/>
        <v>524.58221221485394</v>
      </c>
      <c r="BL120" s="16">
        <f t="shared" si="410"/>
        <v>274.1012787033934</v>
      </c>
      <c r="BM120" s="16">
        <f t="shared" si="410"/>
        <v>123.83974031469592</v>
      </c>
      <c r="BN120" s="16">
        <f t="shared" si="410"/>
        <v>46.429939626829416</v>
      </c>
      <c r="BO120" s="16">
        <f t="shared" si="410"/>
        <v>13.59801457661243</v>
      </c>
      <c r="BP120" s="16">
        <f t="shared" si="410"/>
        <v>2.8288209697375808</v>
      </c>
      <c r="BQ120" s="16">
        <f t="shared" si="410"/>
        <v>0.34785677273892057</v>
      </c>
      <c r="BR120" s="16">
        <f t="shared" si="410"/>
        <v>1.4678782389600017E-2</v>
      </c>
      <c r="BS120" s="16">
        <f t="shared" si="410"/>
        <v>-5.9093326850241602E-4</v>
      </c>
      <c r="BT120" s="16">
        <f t="shared" si="410"/>
        <v>3.2939424108272912E-5</v>
      </c>
      <c r="BU120" s="16">
        <f t="shared" si="410"/>
        <v>0</v>
      </c>
      <c r="BV120" s="16">
        <f t="shared" si="412"/>
        <v>0</v>
      </c>
      <c r="BW120" s="16">
        <f t="shared" si="412"/>
        <v>0</v>
      </c>
      <c r="BX120" s="16">
        <f t="shared" si="412"/>
        <v>0</v>
      </c>
      <c r="BY120" s="16">
        <f t="shared" si="412"/>
        <v>0</v>
      </c>
      <c r="BZ120" s="16">
        <f t="shared" si="412"/>
        <v>0</v>
      </c>
      <c r="CA120" s="16">
        <f t="shared" si="412"/>
        <v>0</v>
      </c>
      <c r="CB120" s="16">
        <f t="shared" si="412"/>
        <v>0</v>
      </c>
      <c r="CC120" s="18">
        <f t="shared" si="376"/>
        <v>2.596041081302618</v>
      </c>
      <c r="CD120" s="18">
        <f t="shared" si="376"/>
        <v>2.305393206209434</v>
      </c>
      <c r="CE120" s="18">
        <f t="shared" si="376"/>
        <v>2.0309165704052168</v>
      </c>
      <c r="CF120" s="18">
        <f t="shared" si="376"/>
        <v>1.7585865661321816</v>
      </c>
      <c r="CG120" s="18">
        <f t="shared" si="280"/>
        <v>1.4518028551362714</v>
      </c>
      <c r="CH120" s="18">
        <f t="shared" si="280"/>
        <v>1</v>
      </c>
      <c r="CI120" s="18">
        <f t="shared" si="280"/>
        <v>0</v>
      </c>
      <c r="CJ120" s="18">
        <f t="shared" si="280"/>
        <v>-3.4144646165246386</v>
      </c>
      <c r="CK120" s="18">
        <f t="shared" si="396"/>
        <v>-21.220131936808436</v>
      </c>
      <c r="CL120" s="18">
        <f t="shared" si="396"/>
        <v>-180.69728721468869</v>
      </c>
      <c r="CM120" s="18">
        <f t="shared" si="396"/>
        <v>-4305.8497815662904</v>
      </c>
      <c r="CN120" s="18">
        <f t="shared" si="396"/>
        <v>106982.14857410669</v>
      </c>
      <c r="CO120" s="18">
        <f t="shared" si="397"/>
        <v>-1919241.8054194737</v>
      </c>
      <c r="CP120" s="18" t="e">
        <f t="shared" si="397"/>
        <v>#DIV/0!</v>
      </c>
      <c r="CQ120" s="18" t="e">
        <f t="shared" si="397"/>
        <v>#DIV/0!</v>
      </c>
      <c r="CR120" s="18" t="e">
        <f t="shared" si="397"/>
        <v>#DIV/0!</v>
      </c>
      <c r="CS120" s="18" t="e">
        <f t="shared" si="397"/>
        <v>#DIV/0!</v>
      </c>
      <c r="CT120" s="18" t="e">
        <f t="shared" si="397"/>
        <v>#DIV/0!</v>
      </c>
      <c r="CU120" s="18" t="e">
        <f t="shared" si="397"/>
        <v>#DIV/0!</v>
      </c>
      <c r="CV120" s="18" t="e">
        <f t="shared" si="397"/>
        <v>#DIV/0!</v>
      </c>
      <c r="CW120" s="18" t="e">
        <f t="shared" si="411"/>
        <v>#DIV/0!</v>
      </c>
      <c r="CX120" s="17">
        <f t="shared" si="302"/>
        <v>560.3116963574472</v>
      </c>
      <c r="CY120" s="17">
        <f t="shared" si="381"/>
        <v>458.08443307513147</v>
      </c>
      <c r="CZ120" s="17">
        <f t="shared" si="381"/>
        <v>345.91330056461686</v>
      </c>
      <c r="DA120" s="17">
        <f t="shared" si="381"/>
        <v>236.77938540902616</v>
      </c>
      <c r="DB120" s="17">
        <f t="shared" si="381"/>
        <v>143.43856053475844</v>
      </c>
      <c r="DC120" s="17">
        <f t="shared" si="381"/>
        <v>74.492347997893788</v>
      </c>
      <c r="DD120" s="17">
        <f t="shared" si="381"/>
        <v>31.804207522133421</v>
      </c>
      <c r="DE120" s="17">
        <f t="shared" si="381"/>
        <v>10.488219534665243</v>
      </c>
      <c r="DF120" s="3" t="e">
        <f>#REF!+$AG$35*0.004*(1+$R$28)*#REF!-S120*#REF!</f>
        <v>#REF!</v>
      </c>
      <c r="DG120" s="19">
        <f t="shared" si="303"/>
        <v>1126.5963587149715</v>
      </c>
      <c r="DH120" s="19">
        <f t="shared" si="304"/>
        <v>960.96893008184827</v>
      </c>
      <c r="DI120" s="19">
        <f t="shared" si="305"/>
        <v>788.92512831702845</v>
      </c>
      <c r="DJ120" s="19">
        <f t="shared" si="306"/>
        <v>620.3867970948794</v>
      </c>
      <c r="DK120" s="19">
        <f t="shared" si="307"/>
        <v>460.12603345333434</v>
      </c>
      <c r="DL120" s="19">
        <f t="shared" si="308"/>
        <v>292.62628525954119</v>
      </c>
      <c r="DM120" s="19">
        <f t="shared" si="309"/>
        <v>31.804207522133421</v>
      </c>
      <c r="DN120" s="19">
        <f t="shared" si="310"/>
        <v>-734.32239090843507</v>
      </c>
      <c r="DO120" s="25"/>
      <c r="DP120" s="25"/>
      <c r="DW120" s="26">
        <f t="shared" si="394"/>
        <v>0</v>
      </c>
      <c r="DX120" s="26">
        <f t="shared" si="394"/>
        <v>0</v>
      </c>
      <c r="DY120" s="26">
        <f t="shared" si="394"/>
        <v>0</v>
      </c>
      <c r="DZ120" s="26">
        <f t="shared" si="394"/>
        <v>0</v>
      </c>
      <c r="EA120" s="26">
        <f t="shared" si="394"/>
        <v>0</v>
      </c>
      <c r="EB120" s="26">
        <f t="shared" si="394"/>
        <v>0</v>
      </c>
      <c r="EC120" s="26">
        <f t="shared" si="394"/>
        <v>0</v>
      </c>
      <c r="ED120" s="26">
        <f t="shared" si="394"/>
        <v>0</v>
      </c>
      <c r="EE120" s="26">
        <f t="shared" si="394"/>
        <v>0</v>
      </c>
      <c r="EF120" s="26">
        <f t="shared" si="394"/>
        <v>0</v>
      </c>
      <c r="EG120" s="26">
        <f t="shared" si="394"/>
        <v>0</v>
      </c>
      <c r="EH120" s="26">
        <f t="shared" si="394"/>
        <v>0</v>
      </c>
      <c r="EI120" s="26">
        <f t="shared" si="394"/>
        <v>0</v>
      </c>
      <c r="ER120" s="26">
        <f t="shared" si="415"/>
        <v>-15.929096181980485</v>
      </c>
      <c r="ES120" s="26">
        <f t="shared" si="413"/>
        <v>-129.53768573703425</v>
      </c>
      <c r="ET120" s="26">
        <f t="shared" si="413"/>
        <v>-3069.7751429627324</v>
      </c>
      <c r="EU120" s="26">
        <f t="shared" si="413"/>
        <v>76253.214551194294</v>
      </c>
      <c r="EV120" s="26">
        <f t="shared" si="413"/>
        <v>-1367982.6690484255</v>
      </c>
      <c r="EW120" s="26" t="e">
        <f t="shared" si="413"/>
        <v>#DIV/0!</v>
      </c>
      <c r="EX120" s="26" t="e">
        <f t="shared" si="413"/>
        <v>#DIV/0!</v>
      </c>
      <c r="EY120" s="26" t="e">
        <f t="shared" si="413"/>
        <v>#DIV/0!</v>
      </c>
      <c r="EZ120" s="26" t="e">
        <f t="shared" si="413"/>
        <v>#DIV/0!</v>
      </c>
      <c r="FA120" s="26" t="e">
        <f t="shared" si="413"/>
        <v>#DIV/0!</v>
      </c>
      <c r="FB120" s="26" t="e">
        <f t="shared" si="413"/>
        <v>#DIV/0!</v>
      </c>
      <c r="FC120" s="26" t="e">
        <f t="shared" si="413"/>
        <v>#DIV/0!</v>
      </c>
      <c r="FD120" s="26" t="e">
        <f t="shared" si="413"/>
        <v>#DIV/0!</v>
      </c>
      <c r="FM120" s="26">
        <f t="shared" si="313"/>
        <v>-5.8069548133595266</v>
      </c>
      <c r="FN120" s="26">
        <f t="shared" si="313"/>
        <v>-48.222986107213039</v>
      </c>
      <c r="FO120" s="26">
        <f t="shared" si="281"/>
        <v>-1143.7849990455529</v>
      </c>
      <c r="FP120" s="26">
        <f t="shared" si="401"/>
        <v>28410.619376291535</v>
      </c>
      <c r="FQ120" s="26">
        <f t="shared" si="402"/>
        <v>-509687.51161067013</v>
      </c>
      <c r="FR120" s="26" t="e">
        <f t="shared" si="403"/>
        <v>#DIV/0!</v>
      </c>
      <c r="FS120" s="26" t="e">
        <f t="shared" si="398"/>
        <v>#DIV/0!</v>
      </c>
      <c r="FT120" s="26" t="e">
        <f t="shared" si="398"/>
        <v>#DIV/0!</v>
      </c>
      <c r="FU120" s="26" t="e">
        <f t="shared" si="398"/>
        <v>#DIV/0!</v>
      </c>
      <c r="FV120" s="26" t="e">
        <f t="shared" si="398"/>
        <v>#DIV/0!</v>
      </c>
      <c r="FW120" s="26" t="e">
        <f t="shared" si="398"/>
        <v>#DIV/0!</v>
      </c>
      <c r="GH120" s="26">
        <f t="shared" si="314"/>
        <v>16.413177123448907</v>
      </c>
      <c r="GI120" s="26">
        <f t="shared" si="314"/>
        <v>133.47430110747567</v>
      </c>
      <c r="GJ120" s="26">
        <f t="shared" si="282"/>
        <v>3163.0647825207379</v>
      </c>
      <c r="GK120" s="26">
        <f t="shared" si="404"/>
        <v>-78570.529197815151</v>
      </c>
      <c r="GL120" s="26">
        <f t="shared" si="405"/>
        <v>1409555.2938088037</v>
      </c>
      <c r="GM120" s="26" t="e">
        <f t="shared" si="406"/>
        <v>#DIV/0!</v>
      </c>
      <c r="GN120" s="26" t="e">
        <f t="shared" si="399"/>
        <v>#DIV/0!</v>
      </c>
      <c r="GO120" s="26" t="e">
        <f t="shared" si="399"/>
        <v>#DIV/0!</v>
      </c>
      <c r="GP120" s="26" t="e">
        <f t="shared" si="399"/>
        <v>#DIV/0!</v>
      </c>
      <c r="GQ120" s="26" t="e">
        <f t="shared" si="399"/>
        <v>#DIV/0!</v>
      </c>
      <c r="GR120" s="26" t="e">
        <f t="shared" si="399"/>
        <v>#DIV/0!</v>
      </c>
      <c r="GS120" s="26" t="e">
        <f t="shared" si="399"/>
        <v>#DIV/0!</v>
      </c>
      <c r="GT120" s="26" t="e">
        <f t="shared" si="315"/>
        <v>#DIV/0!</v>
      </c>
      <c r="HC120" s="26">
        <f t="shared" si="316"/>
        <v>-21.220131936808436</v>
      </c>
      <c r="HD120" s="26">
        <f t="shared" si="316"/>
        <v>-180.69728721468869</v>
      </c>
      <c r="HE120" s="26">
        <f t="shared" si="283"/>
        <v>-4305.8497815662904</v>
      </c>
      <c r="HF120" s="26">
        <f t="shared" si="407"/>
        <v>106982.14857410669</v>
      </c>
      <c r="HG120" s="26">
        <f t="shared" si="408"/>
        <v>-1919241.8054194737</v>
      </c>
      <c r="HH120" s="26" t="e">
        <f t="shared" si="409"/>
        <v>#DIV/0!</v>
      </c>
      <c r="HI120" s="26" t="e">
        <f t="shared" si="400"/>
        <v>#DIV/0!</v>
      </c>
      <c r="HJ120" s="26" t="e">
        <f t="shared" si="400"/>
        <v>#DIV/0!</v>
      </c>
      <c r="HK120" s="26" t="e">
        <f t="shared" si="400"/>
        <v>#DIV/0!</v>
      </c>
      <c r="HL120" s="26" t="e">
        <f t="shared" si="400"/>
        <v>#DIV/0!</v>
      </c>
      <c r="HM120" s="26" t="e">
        <f t="shared" si="400"/>
        <v>#DIV/0!</v>
      </c>
      <c r="HN120" s="26" t="e">
        <f t="shared" si="400"/>
        <v>#DIV/0!</v>
      </c>
      <c r="HO120" s="26" t="e">
        <f t="shared" si="317"/>
        <v>#DIV/0!</v>
      </c>
      <c r="HP120" s="26">
        <f t="shared" si="318"/>
        <v>1031889.3409120624</v>
      </c>
      <c r="HX120" s="26">
        <f t="shared" si="319"/>
        <v>1955347.9490028545</v>
      </c>
      <c r="HY120" s="26">
        <f t="shared" si="320"/>
        <v>13621817.967735931</v>
      </c>
      <c r="HZ120" s="26">
        <f t="shared" si="321"/>
        <v>317873579.89627075</v>
      </c>
      <c r="IA120" s="26">
        <f t="shared" si="322"/>
        <v>-7893113859.2387543</v>
      </c>
      <c r="IB120" s="26">
        <f t="shared" si="323"/>
        <v>141602462634.74329</v>
      </c>
      <c r="IC120" s="26" t="e">
        <f t="shared" si="324"/>
        <v>#DIV/0!</v>
      </c>
      <c r="ID120" s="26" t="e">
        <f t="shared" si="325"/>
        <v>#DIV/0!</v>
      </c>
      <c r="IE120" s="26" t="e">
        <f t="shared" si="326"/>
        <v>#DIV/0!</v>
      </c>
      <c r="IF120" s="26" t="e">
        <f t="shared" si="327"/>
        <v>#DIV/0!</v>
      </c>
      <c r="IG120" s="26" t="e">
        <f t="shared" si="328"/>
        <v>#DIV/0!</v>
      </c>
      <c r="IH120" s="26" t="e">
        <f t="shared" si="329"/>
        <v>#DIV/0!</v>
      </c>
      <c r="II120" s="26" t="e">
        <f t="shared" si="330"/>
        <v>#DIV/0!</v>
      </c>
      <c r="IR120" s="26">
        <f t="shared" si="331"/>
        <v>2005073.3958049561</v>
      </c>
      <c r="IS120" s="26">
        <f t="shared" si="332"/>
        <v>13963335.718745107</v>
      </c>
      <c r="IT120" s="26">
        <f t="shared" si="333"/>
        <v>326026900.86618847</v>
      </c>
      <c r="IU120" s="26">
        <f t="shared" si="334"/>
        <v>-8101031482.4531336</v>
      </c>
      <c r="IV120" s="26">
        <f t="shared" si="335"/>
        <v>145432581838.99225</v>
      </c>
      <c r="IW120" s="26" t="e">
        <f t="shared" si="336"/>
        <v>#DIV/0!</v>
      </c>
      <c r="IX120" s="26" t="e">
        <f t="shared" si="337"/>
        <v>#DIV/0!</v>
      </c>
      <c r="IY120" s="26" t="e">
        <f t="shared" si="338"/>
        <v>#DIV/0!</v>
      </c>
      <c r="IZ120" s="26" t="e">
        <f t="shared" si="339"/>
        <v>#DIV/0!</v>
      </c>
      <c r="JA120" s="26" t="e">
        <f t="shared" si="340"/>
        <v>#DIV/0!</v>
      </c>
      <c r="JB120" s="26" t="e">
        <f t="shared" si="341"/>
        <v>#DIV/0!</v>
      </c>
      <c r="JC120" s="26" t="e">
        <f t="shared" si="342"/>
        <v>#DIV/0!</v>
      </c>
      <c r="JI120" s="26">
        <f t="shared" si="343"/>
        <v>0</v>
      </c>
      <c r="JJ120" s="26">
        <f t="shared" si="344"/>
        <v>0</v>
      </c>
      <c r="JK120" s="26">
        <f t="shared" si="345"/>
        <v>9222694.2194135543</v>
      </c>
      <c r="JL120" s="26">
        <f t="shared" si="346"/>
        <v>75424051.743231639</v>
      </c>
      <c r="JM120" s="26">
        <f t="shared" si="347"/>
        <v>1790579107.2007549</v>
      </c>
      <c r="JN120" s="26">
        <f t="shared" si="348"/>
        <v>-44488957137.311043</v>
      </c>
      <c r="JO120" s="26">
        <f t="shared" si="349"/>
        <v>798225866140.27673</v>
      </c>
      <c r="JP120" s="26" t="e">
        <f t="shared" si="350"/>
        <v>#DIV/0!</v>
      </c>
      <c r="JQ120" s="26" t="e">
        <f t="shared" si="351"/>
        <v>#DIV/0!</v>
      </c>
      <c r="JR120" s="26" t="e">
        <f t="shared" si="352"/>
        <v>#DIV/0!</v>
      </c>
      <c r="JS120" s="26" t="e">
        <f t="shared" si="353"/>
        <v>#DIV/0!</v>
      </c>
      <c r="JT120" s="26" t="e">
        <f t="shared" si="354"/>
        <v>#DIV/0!</v>
      </c>
      <c r="JU120" s="26" t="e">
        <f t="shared" si="355"/>
        <v>#DIV/0!</v>
      </c>
      <c r="JV120" s="26" t="e">
        <f t="shared" si="356"/>
        <v>#DIV/0!</v>
      </c>
      <c r="JW120" s="26" t="e">
        <f t="shared" si="357"/>
        <v>#DIV/0!</v>
      </c>
      <c r="JY120" s="34">
        <f t="shared" si="358"/>
        <v>0.24118608034990802</v>
      </c>
      <c r="JZ120" s="4">
        <f t="shared" si="359"/>
        <v>0</v>
      </c>
      <c r="KA120" s="165"/>
    </row>
    <row r="121" spans="1:287" ht="15.75" x14ac:dyDescent="0.3">
      <c r="A121" s="34">
        <v>120</v>
      </c>
      <c r="B121" s="34">
        <v>93</v>
      </c>
      <c r="C121" s="2">
        <v>92830</v>
      </c>
      <c r="D121" s="1">
        <f t="shared" si="360"/>
        <v>21051</v>
      </c>
      <c r="E121" s="145">
        <f t="shared" si="361"/>
        <v>0.77323063664763547</v>
      </c>
      <c r="F121" s="146">
        <f t="shared" si="362"/>
        <v>0.22676936335236453</v>
      </c>
      <c r="G121" s="158">
        <f t="shared" si="284"/>
        <v>0.28346170419045569</v>
      </c>
      <c r="H121" s="43">
        <f t="shared" si="363"/>
        <v>13975.018580754306</v>
      </c>
      <c r="I121" s="43">
        <f t="shared" si="390"/>
        <v>49301.257891840658</v>
      </c>
      <c r="J121" s="43">
        <f t="shared" si="364"/>
        <v>82304.5</v>
      </c>
      <c r="K121" s="147">
        <f>SUM(J121:$J$138)</f>
        <v>253803</v>
      </c>
      <c r="L121" s="147">
        <f t="shared" si="365"/>
        <v>2.7340622643541956</v>
      </c>
      <c r="M121" s="43">
        <f t="shared" si="285"/>
        <v>102880.625</v>
      </c>
      <c r="N121" s="148">
        <f t="shared" si="286"/>
        <v>317253.75</v>
      </c>
      <c r="O121" s="147">
        <f t="shared" si="287"/>
        <v>3.4175778304427444</v>
      </c>
      <c r="P121" s="157">
        <f t="shared" si="288"/>
        <v>2010.9694335716461</v>
      </c>
      <c r="Q121" s="43">
        <f t="shared" si="289"/>
        <v>116037.5</v>
      </c>
      <c r="R121" s="43">
        <f t="shared" si="290"/>
        <v>560.3116963574472</v>
      </c>
      <c r="S121" s="43">
        <f>SUM(R121:$R$138)</f>
        <v>1864.0802852474267</v>
      </c>
      <c r="T121" s="43">
        <f t="shared" si="366"/>
        <v>4957.2886828703058</v>
      </c>
      <c r="U121" s="153">
        <f>SUM(P121:$P$138)</f>
        <v>5283.7780155303126</v>
      </c>
      <c r="V121" s="129">
        <f t="shared" si="291"/>
        <v>16.788813107634137</v>
      </c>
      <c r="W121" s="43">
        <f t="shared" si="292"/>
        <v>13.59801457661243</v>
      </c>
      <c r="X121" s="26">
        <f t="shared" si="367"/>
        <v>2.6191294181274922</v>
      </c>
      <c r="Y121" s="26">
        <f t="shared" si="368"/>
        <v>6.7619200717841067E-3</v>
      </c>
      <c r="Z121" s="43">
        <f t="shared" si="293"/>
        <v>13.256353786419821</v>
      </c>
      <c r="AA121" s="149">
        <f t="shared" si="369"/>
        <v>0.92036402968780695</v>
      </c>
      <c r="AB121" s="150">
        <f t="shared" si="370"/>
        <v>3272.8085819586663</v>
      </c>
      <c r="AC121" s="150">
        <f t="shared" si="371"/>
        <v>3.1907985310217075</v>
      </c>
      <c r="AD121" s="26">
        <f t="shared" si="372"/>
        <v>1.6258913381992763</v>
      </c>
      <c r="AE121" s="26">
        <f t="shared" si="294"/>
        <v>992556.94808747666</v>
      </c>
      <c r="AF121" s="43">
        <f t="shared" si="295"/>
        <v>378964.45330948575</v>
      </c>
      <c r="AG121" s="43">
        <f t="shared" si="296"/>
        <v>1024543.2820315796</v>
      </c>
      <c r="AH121" s="27">
        <f t="shared" si="297"/>
        <v>395019.83897097007</v>
      </c>
      <c r="AI121" s="28">
        <f t="shared" si="298"/>
        <v>1101659.4430447093</v>
      </c>
      <c r="AJ121" s="20">
        <f t="shared" si="299"/>
        <v>424752.5150225485</v>
      </c>
      <c r="AK121" s="3">
        <f t="shared" si="300"/>
        <v>36811.884635287541</v>
      </c>
      <c r="AL121" s="3"/>
      <c r="AM121" s="46">
        <f t="shared" si="373"/>
        <v>3272.8085819586663</v>
      </c>
      <c r="AN121" s="46">
        <f t="shared" si="374"/>
        <v>1880.5992961069639</v>
      </c>
      <c r="AO121" s="46">
        <f t="shared" si="374"/>
        <v>985.7419839674069</v>
      </c>
      <c r="AP121" s="3">
        <f t="shared" si="414"/>
        <v>461.1597717525529</v>
      </c>
      <c r="AQ121" s="3">
        <f t="shared" si="414"/>
        <v>187.05849304915947</v>
      </c>
      <c r="AR121" s="16">
        <f t="shared" si="414"/>
        <v>63.21875273446355</v>
      </c>
      <c r="AS121" s="16">
        <f t="shared" si="414"/>
        <v>16.788813107634137</v>
      </c>
      <c r="AT121" s="16">
        <f t="shared" si="414"/>
        <v>3.1907985310217075</v>
      </c>
      <c r="AU121" s="16">
        <f t="shared" si="414"/>
        <v>0.36197756128412645</v>
      </c>
      <c r="AV121" s="16">
        <f t="shared" si="414"/>
        <v>1.4120788545205874E-2</v>
      </c>
      <c r="AW121" s="16">
        <f t="shared" si="414"/>
        <v>-5.5799384439414316E-4</v>
      </c>
      <c r="AX121" s="16">
        <f t="shared" si="391"/>
        <v>3.2939424108272912E-5</v>
      </c>
      <c r="AY121" s="16">
        <f t="shared" si="391"/>
        <v>0</v>
      </c>
      <c r="AZ121" s="16">
        <f t="shared" si="391"/>
        <v>0</v>
      </c>
      <c r="BA121" s="16">
        <f t="shared" si="391"/>
        <v>0</v>
      </c>
      <c r="BB121" s="16">
        <f t="shared" si="391"/>
        <v>0</v>
      </c>
      <c r="BC121" s="16">
        <f t="shared" si="391"/>
        <v>0</v>
      </c>
      <c r="BD121" s="16">
        <f t="shared" si="391"/>
        <v>0</v>
      </c>
      <c r="BE121" s="16">
        <f t="shared" si="391"/>
        <v>0</v>
      </c>
      <c r="BF121" s="16">
        <f t="shared" si="391"/>
        <v>0</v>
      </c>
      <c r="BG121" s="16">
        <f t="shared" si="391"/>
        <v>0</v>
      </c>
      <c r="BH121" s="172">
        <f t="shared" si="375"/>
        <v>1392.2092858517024</v>
      </c>
      <c r="BI121" s="16">
        <f t="shared" si="410"/>
        <v>894.85731213955728</v>
      </c>
      <c r="BJ121" s="16">
        <f t="shared" si="410"/>
        <v>524.58221221485394</v>
      </c>
      <c r="BK121" s="16">
        <f t="shared" si="410"/>
        <v>274.1012787033934</v>
      </c>
      <c r="BL121" s="16">
        <f t="shared" si="410"/>
        <v>123.83974031469592</v>
      </c>
      <c r="BM121" s="16">
        <f t="shared" si="410"/>
        <v>46.429939626829416</v>
      </c>
      <c r="BN121" s="16">
        <f t="shared" si="410"/>
        <v>13.59801457661243</v>
      </c>
      <c r="BO121" s="16">
        <f t="shared" si="410"/>
        <v>2.8288209697375808</v>
      </c>
      <c r="BP121" s="16">
        <f t="shared" si="410"/>
        <v>0.34785677273892057</v>
      </c>
      <c r="BQ121" s="16">
        <f t="shared" si="410"/>
        <v>1.4678782389600017E-2</v>
      </c>
      <c r="BR121" s="16">
        <f t="shared" si="410"/>
        <v>-5.9093326850241602E-4</v>
      </c>
      <c r="BS121" s="16">
        <f t="shared" si="410"/>
        <v>3.2939424108272912E-5</v>
      </c>
      <c r="BT121" s="16">
        <f t="shared" si="410"/>
        <v>0</v>
      </c>
      <c r="BU121" s="16">
        <f t="shared" si="410"/>
        <v>0</v>
      </c>
      <c r="BV121" s="16">
        <f t="shared" si="412"/>
        <v>0</v>
      </c>
      <c r="BW121" s="16">
        <f t="shared" si="412"/>
        <v>0</v>
      </c>
      <c r="BX121" s="16">
        <f t="shared" si="412"/>
        <v>0</v>
      </c>
      <c r="BY121" s="16">
        <f t="shared" si="412"/>
        <v>0</v>
      </c>
      <c r="BZ121" s="16">
        <f t="shared" si="412"/>
        <v>0</v>
      </c>
      <c r="CA121" s="16">
        <f t="shared" si="412"/>
        <v>0</v>
      </c>
      <c r="CB121" s="16">
        <f t="shared" si="412"/>
        <v>0</v>
      </c>
      <c r="CC121" s="18">
        <f t="shared" si="376"/>
        <v>2.3387430337811019</v>
      </c>
      <c r="CD121" s="18">
        <f t="shared" si="376"/>
        <v>2.0828018698791833</v>
      </c>
      <c r="CE121" s="18">
        <f t="shared" si="376"/>
        <v>1.8470949801533054</v>
      </c>
      <c r="CF121" s="18">
        <f t="shared" si="376"/>
        <v>1.6211925779659537</v>
      </c>
      <c r="CG121" s="18">
        <f t="shared" si="280"/>
        <v>1.3749195493211126</v>
      </c>
      <c r="CH121" s="18">
        <f t="shared" si="280"/>
        <v>0.99999999999999989</v>
      </c>
      <c r="CI121" s="18">
        <f t="shared" si="280"/>
        <v>0</v>
      </c>
      <c r="CJ121" s="18">
        <f t="shared" si="280"/>
        <v>-4.8069548133595275</v>
      </c>
      <c r="CK121" s="18">
        <f t="shared" si="396"/>
        <v>-47.222986107213039</v>
      </c>
      <c r="CL121" s="18">
        <f t="shared" si="396"/>
        <v>-1142.7849990455527</v>
      </c>
      <c r="CM121" s="18">
        <f t="shared" si="396"/>
        <v>28411.619376291539</v>
      </c>
      <c r="CN121" s="18">
        <f t="shared" si="396"/>
        <v>-509686.51161067007</v>
      </c>
      <c r="CO121" s="18" t="e">
        <f t="shared" si="397"/>
        <v>#DIV/0!</v>
      </c>
      <c r="CP121" s="18" t="e">
        <f t="shared" si="397"/>
        <v>#DIV/0!</v>
      </c>
      <c r="CQ121" s="18" t="e">
        <f t="shared" si="397"/>
        <v>#DIV/0!</v>
      </c>
      <c r="CR121" s="18" t="e">
        <f t="shared" si="397"/>
        <v>#DIV/0!</v>
      </c>
      <c r="CS121" s="18" t="e">
        <f t="shared" si="397"/>
        <v>#DIV/0!</v>
      </c>
      <c r="CT121" s="18" t="e">
        <f t="shared" si="397"/>
        <v>#DIV/0!</v>
      </c>
      <c r="CU121" s="18" t="e">
        <f t="shared" si="397"/>
        <v>#DIV/0!</v>
      </c>
      <c r="CV121" s="18" t="e">
        <f t="shared" si="397"/>
        <v>#DIV/0!</v>
      </c>
      <c r="CW121" s="18" t="e">
        <f t="shared" si="411"/>
        <v>#DIV/0!</v>
      </c>
      <c r="CX121" s="17">
        <f t="shared" si="302"/>
        <v>458.08443307513147</v>
      </c>
      <c r="CY121" s="17">
        <f t="shared" si="381"/>
        <v>345.91330056461686</v>
      </c>
      <c r="CZ121" s="17">
        <f t="shared" si="381"/>
        <v>236.77938540902616</v>
      </c>
      <c r="DA121" s="17">
        <f t="shared" si="381"/>
        <v>143.43856053475844</v>
      </c>
      <c r="DB121" s="17">
        <f t="shared" si="381"/>
        <v>74.492347997893788</v>
      </c>
      <c r="DC121" s="17">
        <f t="shared" si="381"/>
        <v>31.804207522133421</v>
      </c>
      <c r="DD121" s="17">
        <f t="shared" si="381"/>
        <v>10.488219534665243</v>
      </c>
      <c r="DE121" s="17">
        <f t="shared" si="381"/>
        <v>2.4266874029969574</v>
      </c>
      <c r="DF121" s="3" t="e">
        <f>#REF!+$AG$35*0.004*(1+$R$28)*#REF!-S121*#REF!</f>
        <v>#REF!</v>
      </c>
      <c r="DG121" s="19">
        <f t="shared" si="303"/>
        <v>969.35950957193188</v>
      </c>
      <c r="DH121" s="19">
        <f t="shared" si="304"/>
        <v>801.23680980390839</v>
      </c>
      <c r="DI121" s="19">
        <f t="shared" si="305"/>
        <v>640.5747633680769</v>
      </c>
      <c r="DJ121" s="19">
        <f t="shared" si="306"/>
        <v>497.8491765550765</v>
      </c>
      <c r="DK121" s="19">
        <f t="shared" si="307"/>
        <v>375.06495798643209</v>
      </c>
      <c r="DL121" s="19">
        <f t="shared" si="308"/>
        <v>250.41526017386897</v>
      </c>
      <c r="DM121" s="19">
        <f t="shared" si="309"/>
        <v>10.488219534665243</v>
      </c>
      <c r="DN121" s="19">
        <f t="shared" si="310"/>
        <v>-1048.4267643948563</v>
      </c>
      <c r="DO121" s="25"/>
      <c r="DP121" s="25"/>
      <c r="DW121" s="26">
        <f t="shared" si="394"/>
        <v>0</v>
      </c>
      <c r="DX121" s="26">
        <f t="shared" si="394"/>
        <v>0</v>
      </c>
      <c r="DY121" s="26">
        <f t="shared" si="394"/>
        <v>0</v>
      </c>
      <c r="DZ121" s="26">
        <f t="shared" si="394"/>
        <v>0</v>
      </c>
      <c r="EA121" s="26">
        <f t="shared" si="394"/>
        <v>0</v>
      </c>
      <c r="EB121" s="26">
        <f t="shared" si="394"/>
        <v>0</v>
      </c>
      <c r="EC121" s="26">
        <f t="shared" si="394"/>
        <v>0</v>
      </c>
      <c r="ED121" s="26">
        <f t="shared" si="394"/>
        <v>0</v>
      </c>
      <c r="EE121" s="26">
        <f t="shared" si="394"/>
        <v>0</v>
      </c>
      <c r="EF121" s="26">
        <f t="shared" si="394"/>
        <v>0</v>
      </c>
      <c r="EG121" s="26">
        <f t="shared" si="394"/>
        <v>0</v>
      </c>
      <c r="EH121" s="26">
        <f t="shared" si="394"/>
        <v>0</v>
      </c>
      <c r="EI121" s="26">
        <f t="shared" si="394"/>
        <v>0</v>
      </c>
      <c r="ER121" s="26">
        <f t="shared" si="415"/>
        <v>-38.108655128497979</v>
      </c>
      <c r="ES121" s="26">
        <f t="shared" si="413"/>
        <v>-903.09628105203103</v>
      </c>
      <c r="ET121" s="26">
        <f t="shared" si="413"/>
        <v>22432.911621332456</v>
      </c>
      <c r="EU121" s="26">
        <f t="shared" si="413"/>
        <v>-402446.43448670424</v>
      </c>
      <c r="EV121" s="26" t="e">
        <f t="shared" si="413"/>
        <v>#DIV/0!</v>
      </c>
      <c r="EW121" s="26" t="e">
        <f t="shared" si="413"/>
        <v>#DIV/0!</v>
      </c>
      <c r="EX121" s="26" t="e">
        <f t="shared" si="413"/>
        <v>#DIV/0!</v>
      </c>
      <c r="EY121" s="26" t="e">
        <f t="shared" si="413"/>
        <v>#DIV/0!</v>
      </c>
      <c r="EZ121" s="26" t="e">
        <f t="shared" si="413"/>
        <v>#DIV/0!</v>
      </c>
      <c r="FA121" s="26" t="e">
        <f t="shared" si="413"/>
        <v>#DIV/0!</v>
      </c>
      <c r="FB121" s="26" t="e">
        <f t="shared" si="413"/>
        <v>#DIV/0!</v>
      </c>
      <c r="FC121" s="26" t="e">
        <f t="shared" si="413"/>
        <v>#DIV/0!</v>
      </c>
      <c r="FD121" s="26" t="e">
        <f t="shared" si="413"/>
        <v>#DIV/0!</v>
      </c>
      <c r="FM121" s="26">
        <f t="shared" si="313"/>
        <v>-9.1321428571428633</v>
      </c>
      <c r="FN121" s="26">
        <f t="shared" si="313"/>
        <v>-217.41289162561549</v>
      </c>
      <c r="FO121" s="26">
        <f t="shared" si="281"/>
        <v>5399.5362279802894</v>
      </c>
      <c r="FP121" s="26">
        <f t="shared" si="401"/>
        <v>-96868.679929966398</v>
      </c>
      <c r="FQ121" s="26" t="e">
        <f t="shared" si="402"/>
        <v>#DIV/0!</v>
      </c>
      <c r="FR121" s="26" t="e">
        <f t="shared" si="403"/>
        <v>#DIV/0!</v>
      </c>
      <c r="FS121" s="26" t="e">
        <f t="shared" si="398"/>
        <v>#DIV/0!</v>
      </c>
      <c r="FT121" s="26" t="e">
        <f t="shared" si="398"/>
        <v>#DIV/0!</v>
      </c>
      <c r="FU121" s="26" t="e">
        <f t="shared" si="398"/>
        <v>#DIV/0!</v>
      </c>
      <c r="FV121" s="26" t="e">
        <f t="shared" si="398"/>
        <v>#DIV/0!</v>
      </c>
      <c r="FW121" s="26" t="e">
        <f t="shared" si="398"/>
        <v>#DIV/0!</v>
      </c>
      <c r="GH121" s="26">
        <f t="shared" si="314"/>
        <v>39.090843250070179</v>
      </c>
      <c r="GI121" s="26">
        <f t="shared" si="314"/>
        <v>926.37210741993727</v>
      </c>
      <c r="GJ121" s="26">
        <f t="shared" si="282"/>
        <v>-23011.083148311245</v>
      </c>
      <c r="GK121" s="26">
        <f t="shared" si="404"/>
        <v>412818.83168070373</v>
      </c>
      <c r="GL121" s="26" t="e">
        <f t="shared" si="405"/>
        <v>#DIV/0!</v>
      </c>
      <c r="GM121" s="26" t="e">
        <f t="shared" si="406"/>
        <v>#DIV/0!</v>
      </c>
      <c r="GN121" s="26" t="e">
        <f t="shared" si="399"/>
        <v>#DIV/0!</v>
      </c>
      <c r="GO121" s="26" t="e">
        <f t="shared" si="399"/>
        <v>#DIV/0!</v>
      </c>
      <c r="GP121" s="26" t="e">
        <f t="shared" si="399"/>
        <v>#DIV/0!</v>
      </c>
      <c r="GQ121" s="26" t="e">
        <f t="shared" si="399"/>
        <v>#DIV/0!</v>
      </c>
      <c r="GR121" s="26" t="e">
        <f t="shared" si="399"/>
        <v>#DIV/0!</v>
      </c>
      <c r="GS121" s="26" t="e">
        <f t="shared" si="399"/>
        <v>#DIV/0!</v>
      </c>
      <c r="GT121" s="26" t="e">
        <f t="shared" si="315"/>
        <v>#DIV/0!</v>
      </c>
      <c r="HC121" s="26">
        <f t="shared" si="316"/>
        <v>-47.222986107213039</v>
      </c>
      <c r="HD121" s="26">
        <f t="shared" si="316"/>
        <v>-1142.7849990455527</v>
      </c>
      <c r="HE121" s="26">
        <f t="shared" si="283"/>
        <v>28411.619376291539</v>
      </c>
      <c r="HF121" s="26">
        <f t="shared" si="407"/>
        <v>-509686.51161067007</v>
      </c>
      <c r="HG121" s="26" t="e">
        <f t="shared" si="408"/>
        <v>#DIV/0!</v>
      </c>
      <c r="HH121" s="26" t="e">
        <f t="shared" si="409"/>
        <v>#DIV/0!</v>
      </c>
      <c r="HI121" s="26" t="e">
        <f t="shared" si="400"/>
        <v>#DIV/0!</v>
      </c>
      <c r="HJ121" s="26" t="e">
        <f t="shared" si="400"/>
        <v>#DIV/0!</v>
      </c>
      <c r="HK121" s="26" t="e">
        <f t="shared" si="400"/>
        <v>#DIV/0!</v>
      </c>
      <c r="HL121" s="26" t="e">
        <f t="shared" si="400"/>
        <v>#DIV/0!</v>
      </c>
      <c r="HM121" s="26" t="e">
        <f t="shared" si="400"/>
        <v>#DIV/0!</v>
      </c>
      <c r="HN121" s="26" t="e">
        <f t="shared" si="400"/>
        <v>#DIV/0!</v>
      </c>
      <c r="HO121" s="26" t="e">
        <f t="shared" si="317"/>
        <v>#DIV/0!</v>
      </c>
      <c r="HP121" s="26">
        <f t="shared" si="318"/>
        <v>1031889.3409120624</v>
      </c>
      <c r="HX121" s="26">
        <f t="shared" si="319"/>
        <v>3664902.5311122127</v>
      </c>
      <c r="HY121" s="26">
        <f t="shared" si="320"/>
        <v>79572076.754032731</v>
      </c>
      <c r="HZ121" s="26">
        <f t="shared" si="321"/>
        <v>-1970935569.1231251</v>
      </c>
      <c r="IA121" s="26">
        <f t="shared" si="322"/>
        <v>35360685744.684265</v>
      </c>
      <c r="IB121" s="26" t="e">
        <f t="shared" si="323"/>
        <v>#DIV/0!</v>
      </c>
      <c r="IC121" s="26" t="e">
        <f t="shared" si="324"/>
        <v>#DIV/0!</v>
      </c>
      <c r="ID121" s="26" t="e">
        <f t="shared" si="325"/>
        <v>#DIV/0!</v>
      </c>
      <c r="IE121" s="26" t="e">
        <f t="shared" si="326"/>
        <v>#DIV/0!</v>
      </c>
      <c r="IF121" s="26" t="e">
        <f t="shared" si="327"/>
        <v>#DIV/0!</v>
      </c>
      <c r="IG121" s="26" t="e">
        <f t="shared" si="328"/>
        <v>#DIV/0!</v>
      </c>
      <c r="IH121" s="26" t="e">
        <f t="shared" si="329"/>
        <v>#DIV/0!</v>
      </c>
      <c r="II121" s="26" t="e">
        <f t="shared" si="330"/>
        <v>#DIV/0!</v>
      </c>
      <c r="IR121" s="26">
        <f t="shared" si="331"/>
        <v>3754965.8010135638</v>
      </c>
      <c r="IS121" s="26">
        <f t="shared" si="332"/>
        <v>81534645.442553028</v>
      </c>
      <c r="IT121" s="26">
        <f t="shared" si="333"/>
        <v>-2020938830.4565148</v>
      </c>
      <c r="IU121" s="26">
        <f t="shared" si="334"/>
        <v>36283935683.255707</v>
      </c>
      <c r="IV121" s="26" t="e">
        <f t="shared" si="335"/>
        <v>#DIV/0!</v>
      </c>
      <c r="IW121" s="26" t="e">
        <f t="shared" si="336"/>
        <v>#DIV/0!</v>
      </c>
      <c r="IX121" s="26" t="e">
        <f t="shared" si="337"/>
        <v>#DIV/0!</v>
      </c>
      <c r="IY121" s="26" t="e">
        <f t="shared" si="338"/>
        <v>#DIV/0!</v>
      </c>
      <c r="IZ121" s="26" t="e">
        <f t="shared" si="339"/>
        <v>#DIV/0!</v>
      </c>
      <c r="JA121" s="26" t="e">
        <f t="shared" si="340"/>
        <v>#DIV/0!</v>
      </c>
      <c r="JB121" s="26" t="e">
        <f t="shared" si="341"/>
        <v>#DIV/0!</v>
      </c>
      <c r="JC121" s="26" t="e">
        <f t="shared" si="342"/>
        <v>#DIV/0!</v>
      </c>
      <c r="JI121" s="26">
        <f t="shared" si="343"/>
        <v>0</v>
      </c>
      <c r="JJ121" s="26">
        <f t="shared" si="344"/>
        <v>0</v>
      </c>
      <c r="JK121" s="26">
        <f t="shared" si="345"/>
        <v>22227513.525747888</v>
      </c>
      <c r="JL121" s="26">
        <f t="shared" si="346"/>
        <v>528565893.87000024</v>
      </c>
      <c r="JM121" s="26">
        <f t="shared" si="347"/>
        <v>-13134911878.962364</v>
      </c>
      <c r="JN121" s="26">
        <f t="shared" si="348"/>
        <v>235661594457.4292</v>
      </c>
      <c r="JO121" s="26" t="e">
        <f t="shared" si="349"/>
        <v>#DIV/0!</v>
      </c>
      <c r="JP121" s="26" t="e">
        <f t="shared" si="350"/>
        <v>#DIV/0!</v>
      </c>
      <c r="JQ121" s="26" t="e">
        <f t="shared" si="351"/>
        <v>#DIV/0!</v>
      </c>
      <c r="JR121" s="26" t="e">
        <f t="shared" si="352"/>
        <v>#DIV/0!</v>
      </c>
      <c r="JS121" s="26" t="e">
        <f t="shared" si="353"/>
        <v>#DIV/0!</v>
      </c>
      <c r="JT121" s="26" t="e">
        <f t="shared" si="354"/>
        <v>#DIV/0!</v>
      </c>
      <c r="JU121" s="26" t="e">
        <f t="shared" si="355"/>
        <v>#DIV/0!</v>
      </c>
      <c r="JV121" s="26" t="e">
        <f t="shared" si="356"/>
        <v>#DIV/0!</v>
      </c>
      <c r="JW121" s="26" t="e">
        <f t="shared" si="357"/>
        <v>#DIV/0!</v>
      </c>
      <c r="JY121" s="34">
        <f t="shared" si="358"/>
        <v>0.27676936335236452</v>
      </c>
      <c r="JZ121" s="4">
        <f t="shared" si="359"/>
        <v>0</v>
      </c>
      <c r="KA121" s="165"/>
    </row>
    <row r="122" spans="1:287" ht="15.75" x14ac:dyDescent="0.3">
      <c r="A122" s="34">
        <v>121</v>
      </c>
      <c r="B122" s="34">
        <v>94</v>
      </c>
      <c r="C122" s="2">
        <v>71779</v>
      </c>
      <c r="D122" s="1">
        <f t="shared" si="360"/>
        <v>19222</v>
      </c>
      <c r="E122" s="145">
        <f t="shared" si="361"/>
        <v>0.73220579835327881</v>
      </c>
      <c r="F122" s="146">
        <f t="shared" si="362"/>
        <v>0.26779420164672119</v>
      </c>
      <c r="G122" s="158">
        <f t="shared" si="284"/>
        <v>0.33474275205840148</v>
      </c>
      <c r="H122" s="43">
        <f t="shared" si="363"/>
        <v>11825.202566866734</v>
      </c>
      <c r="I122" s="43">
        <f t="shared" si="390"/>
        <v>35326.239311086349</v>
      </c>
      <c r="J122" s="43">
        <f t="shared" si="364"/>
        <v>62168</v>
      </c>
      <c r="K122" s="147">
        <f>SUM(J122:$J$138)</f>
        <v>171498.5</v>
      </c>
      <c r="L122" s="147">
        <f t="shared" si="365"/>
        <v>2.3892573036682037</v>
      </c>
      <c r="M122" s="43">
        <f t="shared" si="285"/>
        <v>77710</v>
      </c>
      <c r="N122" s="148">
        <f t="shared" si="286"/>
        <v>214373.125</v>
      </c>
      <c r="O122" s="147">
        <f t="shared" si="287"/>
        <v>2.9865716295852547</v>
      </c>
      <c r="P122" s="157">
        <f t="shared" si="288"/>
        <v>1392.2092858517024</v>
      </c>
      <c r="Q122" s="43">
        <f t="shared" si="289"/>
        <v>89723.75</v>
      </c>
      <c r="R122" s="43">
        <f t="shared" si="290"/>
        <v>458.08443307513147</v>
      </c>
      <c r="S122" s="43">
        <f>SUM(R122:$R$138)</f>
        <v>1303.7685888899796</v>
      </c>
      <c r="T122" s="43">
        <f t="shared" si="366"/>
        <v>3093.2083976228787</v>
      </c>
      <c r="U122" s="153">
        <f>SUM(P122:$P$138)</f>
        <v>3272.8085819586663</v>
      </c>
      <c r="V122" s="129">
        <f t="shared" si="291"/>
        <v>3.1907985310217075</v>
      </c>
      <c r="W122" s="43">
        <f t="shared" si="292"/>
        <v>2.8288209697375808</v>
      </c>
      <c r="X122" s="26">
        <f t="shared" si="367"/>
        <v>2.3485102539216385</v>
      </c>
      <c r="Y122" s="26">
        <f t="shared" si="368"/>
        <v>2.0318934792961192E-3</v>
      </c>
      <c r="Z122" s="43">
        <f t="shared" si="293"/>
        <v>2.7681342517545762</v>
      </c>
      <c r="AA122" s="149">
        <f t="shared" si="369"/>
        <v>0.93448626428484194</v>
      </c>
      <c r="AB122" s="150">
        <f t="shared" si="370"/>
        <v>1880.5992961069639</v>
      </c>
      <c r="AC122" s="150">
        <f t="shared" si="371"/>
        <v>0.36197756128412645</v>
      </c>
      <c r="AD122" s="26">
        <f t="shared" si="372"/>
        <v>1.3505421474009347</v>
      </c>
      <c r="AE122" s="26">
        <f t="shared" si="294"/>
        <v>1024388.7203576219</v>
      </c>
      <c r="AF122" s="43">
        <f t="shared" si="295"/>
        <v>436186.60750876251</v>
      </c>
      <c r="AG122" s="43">
        <f t="shared" si="296"/>
        <v>1057101.6999252385</v>
      </c>
      <c r="AH122" s="27">
        <f t="shared" si="297"/>
        <v>453958.65779622516</v>
      </c>
      <c r="AI122" s="28">
        <f t="shared" si="298"/>
        <v>1136668.4945432672</v>
      </c>
      <c r="AJ122" s="20">
        <f t="shared" si="299"/>
        <v>488127.58902819915</v>
      </c>
      <c r="AK122" s="3">
        <f t="shared" si="300"/>
        <v>42304.391049110593</v>
      </c>
      <c r="AL122" s="3"/>
      <c r="AM122" s="46">
        <f t="shared" si="373"/>
        <v>1880.5992961069639</v>
      </c>
      <c r="AN122" s="46">
        <f t="shared" si="374"/>
        <v>985.7419839674069</v>
      </c>
      <c r="AO122" s="46">
        <f t="shared" si="374"/>
        <v>461.1597717525529</v>
      </c>
      <c r="AP122" s="3">
        <f t="shared" si="414"/>
        <v>187.05849304915947</v>
      </c>
      <c r="AQ122" s="3">
        <f t="shared" si="414"/>
        <v>63.21875273446355</v>
      </c>
      <c r="AR122" s="16">
        <f t="shared" si="414"/>
        <v>16.788813107634137</v>
      </c>
      <c r="AS122" s="16">
        <f t="shared" si="414"/>
        <v>3.1907985310217075</v>
      </c>
      <c r="AT122" s="16">
        <f t="shared" si="414"/>
        <v>0.36197756128412645</v>
      </c>
      <c r="AU122" s="16">
        <f t="shared" si="414"/>
        <v>1.4120788545205874E-2</v>
      </c>
      <c r="AV122" s="16">
        <f t="shared" si="414"/>
        <v>-5.5799384439414316E-4</v>
      </c>
      <c r="AW122" s="16">
        <f t="shared" si="414"/>
        <v>3.2939424108272912E-5</v>
      </c>
      <c r="AX122" s="16">
        <f t="shared" si="391"/>
        <v>0</v>
      </c>
      <c r="AY122" s="16">
        <f t="shared" si="391"/>
        <v>0</v>
      </c>
      <c r="AZ122" s="16">
        <f t="shared" si="391"/>
        <v>0</v>
      </c>
      <c r="BA122" s="16">
        <f t="shared" si="391"/>
        <v>0</v>
      </c>
      <c r="BB122" s="16">
        <f t="shared" si="391"/>
        <v>0</v>
      </c>
      <c r="BC122" s="16">
        <f t="shared" si="391"/>
        <v>0</v>
      </c>
      <c r="BD122" s="16">
        <f t="shared" si="391"/>
        <v>0</v>
      </c>
      <c r="BE122" s="16">
        <f t="shared" si="391"/>
        <v>0</v>
      </c>
      <c r="BF122" s="16">
        <f t="shared" si="391"/>
        <v>0</v>
      </c>
      <c r="BG122" s="16">
        <f t="shared" si="391"/>
        <v>0</v>
      </c>
      <c r="BH122" s="172">
        <f t="shared" si="375"/>
        <v>894.85731213955728</v>
      </c>
      <c r="BI122" s="16">
        <f t="shared" si="410"/>
        <v>524.58221221485394</v>
      </c>
      <c r="BJ122" s="16">
        <f t="shared" si="410"/>
        <v>274.1012787033934</v>
      </c>
      <c r="BK122" s="16">
        <f t="shared" si="410"/>
        <v>123.83974031469592</v>
      </c>
      <c r="BL122" s="16">
        <f t="shared" si="410"/>
        <v>46.429939626829416</v>
      </c>
      <c r="BM122" s="16">
        <f t="shared" si="410"/>
        <v>13.59801457661243</v>
      </c>
      <c r="BN122" s="16">
        <f t="shared" si="410"/>
        <v>2.8288209697375808</v>
      </c>
      <c r="BO122" s="16">
        <f t="shared" si="410"/>
        <v>0.34785677273892057</v>
      </c>
      <c r="BP122" s="16">
        <f t="shared" si="410"/>
        <v>1.4678782389600017E-2</v>
      </c>
      <c r="BQ122" s="16">
        <f t="shared" si="410"/>
        <v>-5.9093326850241602E-4</v>
      </c>
      <c r="BR122" s="16">
        <f t="shared" si="410"/>
        <v>3.2939424108272912E-5</v>
      </c>
      <c r="BS122" s="16">
        <f t="shared" si="410"/>
        <v>0</v>
      </c>
      <c r="BT122" s="16">
        <f t="shared" si="410"/>
        <v>0</v>
      </c>
      <c r="BU122" s="16">
        <f t="shared" si="410"/>
        <v>0</v>
      </c>
      <c r="BV122" s="16">
        <f t="shared" si="412"/>
        <v>0</v>
      </c>
      <c r="BW122" s="16">
        <f t="shared" si="412"/>
        <v>0</v>
      </c>
      <c r="BX122" s="16">
        <f t="shared" si="412"/>
        <v>0</v>
      </c>
      <c r="BY122" s="16">
        <f t="shared" si="412"/>
        <v>0</v>
      </c>
      <c r="BZ122" s="16">
        <f t="shared" si="412"/>
        <v>0</v>
      </c>
      <c r="CA122" s="16">
        <f t="shared" si="412"/>
        <v>0</v>
      </c>
      <c r="CB122" s="16">
        <f t="shared" si="412"/>
        <v>0</v>
      </c>
      <c r="CC122" s="18">
        <f t="shared" si="376"/>
        <v>2.0979976048775377</v>
      </c>
      <c r="CD122" s="18">
        <f t="shared" si="376"/>
        <v>1.8730165883588141</v>
      </c>
      <c r="CE122" s="18">
        <f t="shared" si="376"/>
        <v>1.6708020312342362</v>
      </c>
      <c r="CF122" s="18">
        <f t="shared" si="376"/>
        <v>1.4847228688537424</v>
      </c>
      <c r="CG122" s="18">
        <f t="shared" si="280"/>
        <v>1.2928716833556866</v>
      </c>
      <c r="CH122" s="18">
        <f t="shared" si="280"/>
        <v>1</v>
      </c>
      <c r="CI122" s="18">
        <f t="shared" si="280"/>
        <v>0</v>
      </c>
      <c r="CJ122" s="18">
        <f t="shared" si="280"/>
        <v>-8.1321428571428633</v>
      </c>
      <c r="CK122" s="18">
        <f t="shared" si="396"/>
        <v>-216.41289162561552</v>
      </c>
      <c r="CL122" s="18">
        <f t="shared" si="396"/>
        <v>5400.5362279802894</v>
      </c>
      <c r="CM122" s="18">
        <f t="shared" si="396"/>
        <v>-96867.679929966398</v>
      </c>
      <c r="CN122" s="18" t="e">
        <f t="shared" si="396"/>
        <v>#DIV/0!</v>
      </c>
      <c r="CO122" s="18" t="e">
        <f t="shared" si="397"/>
        <v>#DIV/0!</v>
      </c>
      <c r="CP122" s="18" t="e">
        <f t="shared" si="397"/>
        <v>#DIV/0!</v>
      </c>
      <c r="CQ122" s="18" t="e">
        <f t="shared" si="397"/>
        <v>#DIV/0!</v>
      </c>
      <c r="CR122" s="18" t="e">
        <f t="shared" si="397"/>
        <v>#DIV/0!</v>
      </c>
      <c r="CS122" s="18" t="e">
        <f t="shared" si="397"/>
        <v>#DIV/0!</v>
      </c>
      <c r="CT122" s="18" t="e">
        <f t="shared" si="397"/>
        <v>#DIV/0!</v>
      </c>
      <c r="CU122" s="18" t="e">
        <f t="shared" si="397"/>
        <v>#DIV/0!</v>
      </c>
      <c r="CV122" s="18" t="e">
        <f t="shared" si="397"/>
        <v>#DIV/0!</v>
      </c>
      <c r="CW122" s="18" t="e">
        <f t="shared" si="411"/>
        <v>#DIV/0!</v>
      </c>
      <c r="CX122" s="17">
        <f t="shared" si="302"/>
        <v>345.91330056461686</v>
      </c>
      <c r="CY122" s="17">
        <f t="shared" si="381"/>
        <v>236.77938540902616</v>
      </c>
      <c r="CZ122" s="17">
        <f t="shared" si="381"/>
        <v>143.43856053475844</v>
      </c>
      <c r="DA122" s="17">
        <f t="shared" si="381"/>
        <v>74.492347997893788</v>
      </c>
      <c r="DB122" s="17">
        <f t="shared" si="381"/>
        <v>31.804207522133421</v>
      </c>
      <c r="DC122" s="17">
        <f t="shared" si="381"/>
        <v>10.488219534665243</v>
      </c>
      <c r="DD122" s="17">
        <f t="shared" si="381"/>
        <v>2.4266874029969574</v>
      </c>
      <c r="DE122" s="17">
        <f t="shared" si="381"/>
        <v>0.32699110167485967</v>
      </c>
      <c r="DF122" s="3" t="e">
        <f>#REF!+$AG$35*0.004*(1+$R$28)*#REF!-S122*#REF!</f>
        <v>#REF!</v>
      </c>
      <c r="DG122" s="19">
        <f t="shared" si="303"/>
        <v>805.46301540480181</v>
      </c>
      <c r="DH122" s="19">
        <f t="shared" si="304"/>
        <v>647.04879518820064</v>
      </c>
      <c r="DI122" s="19">
        <f t="shared" si="305"/>
        <v>509.41447739140011</v>
      </c>
      <c r="DJ122" s="19">
        <f t="shared" si="306"/>
        <v>399.70910201714599</v>
      </c>
      <c r="DK122" s="19">
        <f t="shared" si="307"/>
        <v>314.99748287658076</v>
      </c>
      <c r="DL122" s="19">
        <f t="shared" si="308"/>
        <v>229.53027838725831</v>
      </c>
      <c r="DM122" s="19">
        <f t="shared" si="309"/>
        <v>2.4266874029969574</v>
      </c>
      <c r="DN122" s="19">
        <f t="shared" si="310"/>
        <v>-1780.9543232103065</v>
      </c>
      <c r="DO122" s="25"/>
      <c r="DP122" s="25"/>
      <c r="DW122" s="26">
        <f t="shared" si="394"/>
        <v>0</v>
      </c>
      <c r="DX122" s="26">
        <f t="shared" si="394"/>
        <v>0</v>
      </c>
      <c r="DY122" s="26">
        <f t="shared" si="394"/>
        <v>0</v>
      </c>
      <c r="DZ122" s="26">
        <f t="shared" si="394"/>
        <v>0</v>
      </c>
      <c r="EA122" s="26">
        <f t="shared" si="394"/>
        <v>0</v>
      </c>
      <c r="EB122" s="26">
        <f t="shared" si="394"/>
        <v>0</v>
      </c>
      <c r="EC122" s="26">
        <f t="shared" si="394"/>
        <v>0</v>
      </c>
      <c r="ED122" s="26">
        <f t="shared" si="394"/>
        <v>0</v>
      </c>
      <c r="EE122" s="26">
        <f t="shared" si="394"/>
        <v>0</v>
      </c>
      <c r="EF122" s="26">
        <f t="shared" si="394"/>
        <v>0</v>
      </c>
      <c r="EG122" s="26">
        <f t="shared" si="394"/>
        <v>0</v>
      </c>
      <c r="EH122" s="26">
        <f t="shared" si="394"/>
        <v>0</v>
      </c>
      <c r="EI122" s="26">
        <f t="shared" si="394"/>
        <v>0</v>
      </c>
      <c r="ER122" s="26">
        <f t="shared" si="415"/>
        <v>-188.58064506193728</v>
      </c>
      <c r="ES122" s="26">
        <f t="shared" si="413"/>
        <v>4684.3432233385229</v>
      </c>
      <c r="ET122" s="26">
        <f t="shared" si="413"/>
        <v>-84037.11742669309</v>
      </c>
      <c r="EU122" s="26" t="e">
        <f t="shared" si="413"/>
        <v>#DIV/0!</v>
      </c>
      <c r="EV122" s="26" t="e">
        <f t="shared" si="413"/>
        <v>#DIV/0!</v>
      </c>
      <c r="EW122" s="26" t="e">
        <f t="shared" si="413"/>
        <v>#DIV/0!</v>
      </c>
      <c r="EX122" s="26" t="e">
        <f t="shared" si="413"/>
        <v>#DIV/0!</v>
      </c>
      <c r="EY122" s="26" t="e">
        <f t="shared" si="413"/>
        <v>#DIV/0!</v>
      </c>
      <c r="EZ122" s="26" t="e">
        <f t="shared" si="413"/>
        <v>#DIV/0!</v>
      </c>
      <c r="FA122" s="26" t="e">
        <f t="shared" si="413"/>
        <v>#DIV/0!</v>
      </c>
      <c r="FB122" s="26" t="e">
        <f t="shared" si="413"/>
        <v>#DIV/0!</v>
      </c>
      <c r="FC122" s="26" t="e">
        <f t="shared" si="413"/>
        <v>#DIV/0!</v>
      </c>
      <c r="FD122" s="26" t="e">
        <f t="shared" si="413"/>
        <v>#DIV/0!</v>
      </c>
      <c r="FM122" s="26">
        <f t="shared" si="313"/>
        <v>-24.697931034482714</v>
      </c>
      <c r="FN122" s="26">
        <f t="shared" si="313"/>
        <v>612.49660689655082</v>
      </c>
      <c r="FO122" s="26">
        <f t="shared" si="281"/>
        <v>-10989.189127724119</v>
      </c>
      <c r="FP122" s="26" t="e">
        <f t="shared" si="401"/>
        <v>#DIV/0!</v>
      </c>
      <c r="FQ122" s="26" t="e">
        <f t="shared" si="402"/>
        <v>#DIV/0!</v>
      </c>
      <c r="FR122" s="26" t="e">
        <f t="shared" si="403"/>
        <v>#DIV/0!</v>
      </c>
      <c r="FS122" s="26" t="e">
        <f t="shared" si="398"/>
        <v>#DIV/0!</v>
      </c>
      <c r="FT122" s="26" t="e">
        <f t="shared" si="398"/>
        <v>#DIV/0!</v>
      </c>
      <c r="FU122" s="26" t="e">
        <f t="shared" si="398"/>
        <v>#DIV/0!</v>
      </c>
      <c r="FV122" s="26" t="e">
        <f t="shared" si="398"/>
        <v>#DIV/0!</v>
      </c>
      <c r="FW122" s="26" t="e">
        <f t="shared" si="398"/>
        <v>#DIV/0!</v>
      </c>
      <c r="GH122" s="26">
        <f t="shared" si="314"/>
        <v>192.71496059113275</v>
      </c>
      <c r="GI122" s="26">
        <f t="shared" si="314"/>
        <v>-4787.0396210837389</v>
      </c>
      <c r="GJ122" s="26">
        <f t="shared" si="282"/>
        <v>85879.490802242275</v>
      </c>
      <c r="GK122" s="26" t="e">
        <f t="shared" si="404"/>
        <v>#DIV/0!</v>
      </c>
      <c r="GL122" s="26" t="e">
        <f t="shared" si="405"/>
        <v>#DIV/0!</v>
      </c>
      <c r="GM122" s="26" t="e">
        <f t="shared" si="406"/>
        <v>#DIV/0!</v>
      </c>
      <c r="GN122" s="26" t="e">
        <f t="shared" si="399"/>
        <v>#DIV/0!</v>
      </c>
      <c r="GO122" s="26" t="e">
        <f t="shared" si="399"/>
        <v>#DIV/0!</v>
      </c>
      <c r="GP122" s="26" t="e">
        <f t="shared" si="399"/>
        <v>#DIV/0!</v>
      </c>
      <c r="GQ122" s="26" t="e">
        <f t="shared" si="399"/>
        <v>#DIV/0!</v>
      </c>
      <c r="GR122" s="26" t="e">
        <f t="shared" si="399"/>
        <v>#DIV/0!</v>
      </c>
      <c r="GS122" s="26" t="e">
        <f t="shared" si="399"/>
        <v>#DIV/0!</v>
      </c>
      <c r="GT122" s="26" t="e">
        <f t="shared" si="315"/>
        <v>#DIV/0!</v>
      </c>
      <c r="HC122" s="26">
        <f t="shared" si="316"/>
        <v>-216.41289162561552</v>
      </c>
      <c r="HD122" s="26">
        <f t="shared" si="316"/>
        <v>5400.5362279802894</v>
      </c>
      <c r="HE122" s="26">
        <f t="shared" si="283"/>
        <v>-96867.679929966398</v>
      </c>
      <c r="HF122" s="26" t="e">
        <f t="shared" si="407"/>
        <v>#DIV/0!</v>
      </c>
      <c r="HG122" s="26" t="e">
        <f t="shared" si="408"/>
        <v>#DIV/0!</v>
      </c>
      <c r="HH122" s="26" t="e">
        <f t="shared" si="409"/>
        <v>#DIV/0!</v>
      </c>
      <c r="HI122" s="26" t="e">
        <f t="shared" si="400"/>
        <v>#DIV/0!</v>
      </c>
      <c r="HJ122" s="26" t="e">
        <f t="shared" si="400"/>
        <v>#DIV/0!</v>
      </c>
      <c r="HK122" s="26" t="e">
        <f t="shared" si="400"/>
        <v>#DIV/0!</v>
      </c>
      <c r="HL122" s="26" t="e">
        <f t="shared" si="400"/>
        <v>#DIV/0!</v>
      </c>
      <c r="HM122" s="26" t="e">
        <f t="shared" si="400"/>
        <v>#DIV/0!</v>
      </c>
      <c r="HN122" s="26" t="e">
        <f t="shared" si="400"/>
        <v>#DIV/0!</v>
      </c>
      <c r="HO122" s="26" t="e">
        <f t="shared" si="317"/>
        <v>#DIV/0!</v>
      </c>
      <c r="HP122" s="26">
        <f t="shared" si="318"/>
        <v>1031889.3409120624</v>
      </c>
      <c r="HX122" s="26">
        <f t="shared" si="319"/>
        <v>14435272.931084916</v>
      </c>
      <c r="HY122" s="26">
        <f t="shared" si="320"/>
        <v>-350262046.15875578</v>
      </c>
      <c r="HZ122" s="26">
        <f t="shared" si="321"/>
        <v>6287833307.5492477</v>
      </c>
      <c r="IA122" s="26" t="e">
        <f t="shared" si="322"/>
        <v>#DIV/0!</v>
      </c>
      <c r="IB122" s="26" t="e">
        <f t="shared" si="323"/>
        <v>#DIV/0!</v>
      </c>
      <c r="IC122" s="26" t="e">
        <f t="shared" si="324"/>
        <v>#DIV/0!</v>
      </c>
      <c r="ID122" s="26" t="e">
        <f t="shared" si="325"/>
        <v>#DIV/0!</v>
      </c>
      <c r="IE122" s="26" t="e">
        <f t="shared" si="326"/>
        <v>#DIV/0!</v>
      </c>
      <c r="IF122" s="26" t="e">
        <f t="shared" si="327"/>
        <v>#DIV/0!</v>
      </c>
      <c r="IG122" s="26" t="e">
        <f t="shared" si="328"/>
        <v>#DIV/0!</v>
      </c>
      <c r="IH122" s="26" t="e">
        <f t="shared" si="329"/>
        <v>#DIV/0!</v>
      </c>
      <c r="II122" s="26" t="e">
        <f t="shared" si="330"/>
        <v>#DIV/0!</v>
      </c>
      <c r="IR122" s="26">
        <f t="shared" si="331"/>
        <v>14777207.869205566</v>
      </c>
      <c r="IS122" s="26">
        <f t="shared" si="332"/>
        <v>-358763376.83386189</v>
      </c>
      <c r="IT122" s="26">
        <f t="shared" si="333"/>
        <v>6445357839.2529736</v>
      </c>
      <c r="IU122" s="26" t="e">
        <f t="shared" si="334"/>
        <v>#DIV/0!</v>
      </c>
      <c r="IV122" s="26" t="e">
        <f t="shared" si="335"/>
        <v>#DIV/0!</v>
      </c>
      <c r="IW122" s="26" t="e">
        <f t="shared" si="336"/>
        <v>#DIV/0!</v>
      </c>
      <c r="IX122" s="26" t="e">
        <f t="shared" si="337"/>
        <v>#DIV/0!</v>
      </c>
      <c r="IY122" s="26" t="e">
        <f t="shared" si="338"/>
        <v>#DIV/0!</v>
      </c>
      <c r="IZ122" s="26" t="e">
        <f t="shared" si="339"/>
        <v>#DIV/0!</v>
      </c>
      <c r="JA122" s="26" t="e">
        <f t="shared" si="340"/>
        <v>#DIV/0!</v>
      </c>
      <c r="JB122" s="26" t="e">
        <f t="shared" si="341"/>
        <v>#DIV/0!</v>
      </c>
      <c r="JC122" s="26" t="e">
        <f t="shared" si="342"/>
        <v>#DIV/0!</v>
      </c>
      <c r="JI122" s="26">
        <f t="shared" si="343"/>
        <v>0</v>
      </c>
      <c r="JJ122" s="26">
        <f t="shared" si="344"/>
        <v>0</v>
      </c>
      <c r="JK122" s="26">
        <f t="shared" si="345"/>
        <v>112188081.52460663</v>
      </c>
      <c r="JL122" s="26">
        <f t="shared" si="346"/>
        <v>-2789630356.2617006</v>
      </c>
      <c r="JM122" s="26">
        <f t="shared" si="347"/>
        <v>50047036371.757301</v>
      </c>
      <c r="JN122" s="26" t="e">
        <f t="shared" si="348"/>
        <v>#DIV/0!</v>
      </c>
      <c r="JO122" s="26" t="e">
        <f t="shared" si="349"/>
        <v>#DIV/0!</v>
      </c>
      <c r="JP122" s="26" t="e">
        <f t="shared" si="350"/>
        <v>#DIV/0!</v>
      </c>
      <c r="JQ122" s="26" t="e">
        <f t="shared" si="351"/>
        <v>#DIV/0!</v>
      </c>
      <c r="JR122" s="26" t="e">
        <f t="shared" si="352"/>
        <v>#DIV/0!</v>
      </c>
      <c r="JS122" s="26" t="e">
        <f t="shared" si="353"/>
        <v>#DIV/0!</v>
      </c>
      <c r="JT122" s="26" t="e">
        <f t="shared" si="354"/>
        <v>#DIV/0!</v>
      </c>
      <c r="JU122" s="26" t="e">
        <f t="shared" si="355"/>
        <v>#DIV/0!</v>
      </c>
      <c r="JV122" s="26" t="e">
        <f t="shared" si="356"/>
        <v>#DIV/0!</v>
      </c>
      <c r="JW122" s="26" t="e">
        <f t="shared" si="357"/>
        <v>#DIV/0!</v>
      </c>
      <c r="JY122" s="34">
        <f t="shared" si="358"/>
        <v>0.31779420164672117</v>
      </c>
      <c r="JZ122" s="4">
        <f t="shared" si="359"/>
        <v>0</v>
      </c>
      <c r="KA122" s="165"/>
    </row>
    <row r="123" spans="1:287" ht="15.75" x14ac:dyDescent="0.3">
      <c r="A123" s="34">
        <v>122</v>
      </c>
      <c r="B123" s="34">
        <v>95</v>
      </c>
      <c r="C123" s="2">
        <v>52557</v>
      </c>
      <c r="D123" s="1">
        <f t="shared" si="360"/>
        <v>16535</v>
      </c>
      <c r="E123" s="145">
        <f t="shared" si="361"/>
        <v>0.68538919649142838</v>
      </c>
      <c r="F123" s="146">
        <f t="shared" si="362"/>
        <v>0.31461080350857162</v>
      </c>
      <c r="G123" s="158">
        <f t="shared" si="284"/>
        <v>0.39326350438571456</v>
      </c>
      <c r="H123" s="43">
        <f t="shared" si="363"/>
        <v>9242.1000667292501</v>
      </c>
      <c r="I123" s="43">
        <f>I122-H122</f>
        <v>23501.036744219615</v>
      </c>
      <c r="J123" s="43">
        <f t="shared" si="364"/>
        <v>44289.5</v>
      </c>
      <c r="K123" s="147">
        <f>SUM(J123:$J$138)</f>
        <v>109330.5</v>
      </c>
      <c r="L123" s="147">
        <f t="shared" si="365"/>
        <v>2.0802271819167761</v>
      </c>
      <c r="M123" s="43">
        <f t="shared" si="285"/>
        <v>55361.875</v>
      </c>
      <c r="N123" s="148">
        <f t="shared" si="286"/>
        <v>136663.125</v>
      </c>
      <c r="O123" s="147">
        <f t="shared" si="287"/>
        <v>2.6002839773959701</v>
      </c>
      <c r="P123" s="157">
        <f t="shared" si="288"/>
        <v>894.85731213955728</v>
      </c>
      <c r="Q123" s="43">
        <f t="shared" si="289"/>
        <v>65696.25</v>
      </c>
      <c r="R123" s="43">
        <f t="shared" si="290"/>
        <v>345.91330056461686</v>
      </c>
      <c r="S123" s="43">
        <f>SUM(R123:$R$138)</f>
        <v>845.68415581484874</v>
      </c>
      <c r="T123" s="43">
        <f t="shared" si="366"/>
        <v>1789.4398087328989</v>
      </c>
      <c r="U123" s="153">
        <f>SUM(P123:$P$138)</f>
        <v>1880.5992961069639</v>
      </c>
      <c r="V123" s="129">
        <f t="shared" si="291"/>
        <v>0.36197756128412645</v>
      </c>
      <c r="W123" s="43">
        <f t="shared" si="292"/>
        <v>0.34785677273892057</v>
      </c>
      <c r="X123" s="26">
        <f t="shared" si="367"/>
        <v>2.101158802681212</v>
      </c>
      <c r="Y123" s="26">
        <f t="shared" si="368"/>
        <v>3.8872875934512185E-4</v>
      </c>
      <c r="Z123" s="43">
        <f t="shared" si="293"/>
        <v>0.34144684875761877</v>
      </c>
      <c r="AA123" s="149">
        <f t="shared" si="369"/>
        <v>0.944667599513626</v>
      </c>
      <c r="AB123" s="150">
        <f t="shared" si="370"/>
        <v>985.7419839674069</v>
      </c>
      <c r="AC123" s="150">
        <f t="shared" si="371"/>
        <v>1.4120788545205874E-2</v>
      </c>
      <c r="AD123" s="26">
        <f t="shared" si="372"/>
        <v>1.1015475314405574</v>
      </c>
      <c r="AE123" s="26">
        <f t="shared" si="294"/>
        <v>1053327.3255594214</v>
      </c>
      <c r="AF123" s="43">
        <f t="shared" si="295"/>
        <v>501307.81367658119</v>
      </c>
      <c r="AG123" s="43">
        <f t="shared" si="296"/>
        <v>1086699.785517608</v>
      </c>
      <c r="AH123" s="27">
        <f t="shared" si="297"/>
        <v>521033.50014907843</v>
      </c>
      <c r="AI123" s="28">
        <f t="shared" si="298"/>
        <v>1168494.3930296861</v>
      </c>
      <c r="AJ123" s="20">
        <f t="shared" si="299"/>
        <v>560251.07542911661</v>
      </c>
      <c r="AK123" s="3">
        <f t="shared" si="300"/>
        <v>48555.093203856777</v>
      </c>
      <c r="AL123" s="3"/>
      <c r="AM123" s="46">
        <f t="shared" si="373"/>
        <v>985.7419839674069</v>
      </c>
      <c r="AN123" s="46">
        <f t="shared" si="374"/>
        <v>461.1597717525529</v>
      </c>
      <c r="AO123" s="46">
        <f t="shared" si="374"/>
        <v>187.05849304915947</v>
      </c>
      <c r="AP123" s="3">
        <f t="shared" si="414"/>
        <v>63.21875273446355</v>
      </c>
      <c r="AQ123" s="3">
        <f t="shared" si="414"/>
        <v>16.788813107634137</v>
      </c>
      <c r="AR123" s="16">
        <f t="shared" si="414"/>
        <v>3.1907985310217075</v>
      </c>
      <c r="AS123" s="16">
        <f t="shared" si="414"/>
        <v>0.36197756128412645</v>
      </c>
      <c r="AT123" s="16">
        <f t="shared" si="414"/>
        <v>1.4120788545205874E-2</v>
      </c>
      <c r="AU123" s="16">
        <f t="shared" si="414"/>
        <v>-5.5799384439414316E-4</v>
      </c>
      <c r="AV123" s="16">
        <f t="shared" si="414"/>
        <v>3.2939424108272912E-5</v>
      </c>
      <c r="AW123" s="16">
        <f t="shared" si="414"/>
        <v>0</v>
      </c>
      <c r="AX123" s="16">
        <f t="shared" si="391"/>
        <v>0</v>
      </c>
      <c r="AY123" s="16">
        <f t="shared" si="391"/>
        <v>0</v>
      </c>
      <c r="AZ123" s="16">
        <f t="shared" si="391"/>
        <v>0</v>
      </c>
      <c r="BA123" s="16">
        <f t="shared" si="391"/>
        <v>0</v>
      </c>
      <c r="BB123" s="16">
        <f t="shared" si="391"/>
        <v>0</v>
      </c>
      <c r="BC123" s="16">
        <f t="shared" si="391"/>
        <v>0</v>
      </c>
      <c r="BD123" s="16">
        <f t="shared" si="391"/>
        <v>0</v>
      </c>
      <c r="BE123" s="16">
        <f t="shared" si="391"/>
        <v>0</v>
      </c>
      <c r="BF123" s="16">
        <f t="shared" si="391"/>
        <v>0</v>
      </c>
      <c r="BG123" s="16">
        <f t="shared" si="391"/>
        <v>0</v>
      </c>
      <c r="BH123" s="172">
        <f t="shared" si="375"/>
        <v>524.58221221485394</v>
      </c>
      <c r="BI123" s="16">
        <f t="shared" si="410"/>
        <v>274.1012787033934</v>
      </c>
      <c r="BJ123" s="16">
        <f t="shared" si="410"/>
        <v>123.83974031469592</v>
      </c>
      <c r="BK123" s="16">
        <f t="shared" si="410"/>
        <v>46.429939626829416</v>
      </c>
      <c r="BL123" s="16">
        <f t="shared" si="410"/>
        <v>13.59801457661243</v>
      </c>
      <c r="BM123" s="16">
        <f t="shared" si="410"/>
        <v>2.8288209697375808</v>
      </c>
      <c r="BN123" s="16">
        <f t="shared" si="410"/>
        <v>0.34785677273892057</v>
      </c>
      <c r="BO123" s="16">
        <f t="shared" si="410"/>
        <v>1.4678782389600017E-2</v>
      </c>
      <c r="BP123" s="16">
        <f t="shared" si="410"/>
        <v>-5.9093326850241602E-4</v>
      </c>
      <c r="BQ123" s="16">
        <f t="shared" si="410"/>
        <v>3.2939424108272912E-5</v>
      </c>
      <c r="BR123" s="16">
        <f t="shared" si="410"/>
        <v>0</v>
      </c>
      <c r="BS123" s="16">
        <f t="shared" si="410"/>
        <v>0</v>
      </c>
      <c r="BT123" s="16">
        <f t="shared" si="410"/>
        <v>0</v>
      </c>
      <c r="BU123" s="16">
        <f t="shared" si="410"/>
        <v>0</v>
      </c>
      <c r="BV123" s="16">
        <f t="shared" si="412"/>
        <v>0</v>
      </c>
      <c r="BW123" s="16">
        <f t="shared" si="412"/>
        <v>0</v>
      </c>
      <c r="BX123" s="16">
        <f t="shared" si="412"/>
        <v>0</v>
      </c>
      <c r="BY123" s="16">
        <f t="shared" si="412"/>
        <v>0</v>
      </c>
      <c r="BZ123" s="16">
        <f t="shared" si="412"/>
        <v>0</v>
      </c>
      <c r="CA123" s="16">
        <f t="shared" si="412"/>
        <v>0</v>
      </c>
      <c r="CB123" s="16">
        <f t="shared" si="412"/>
        <v>0</v>
      </c>
      <c r="CC123" s="18">
        <f t="shared" si="376"/>
        <v>1.8784091100720341</v>
      </c>
      <c r="CD123" s="18">
        <f t="shared" si="376"/>
        <v>1.681122380643473</v>
      </c>
      <c r="CE123" s="18">
        <f t="shared" si="376"/>
        <v>1.5075654633435975</v>
      </c>
      <c r="CF123" s="18">
        <f t="shared" si="376"/>
        <v>1.3537983395709134</v>
      </c>
      <c r="CG123" s="18">
        <f t="shared" si="280"/>
        <v>1.2080319118500535</v>
      </c>
      <c r="CH123" s="18">
        <f t="shared" si="280"/>
        <v>1.0000000000000002</v>
      </c>
      <c r="CI123" s="18">
        <f t="shared" si="280"/>
        <v>0</v>
      </c>
      <c r="CJ123" s="18">
        <f t="shared" si="280"/>
        <v>-23.697931034482714</v>
      </c>
      <c r="CK123" s="18">
        <f t="shared" si="396"/>
        <v>613.4966068965507</v>
      </c>
      <c r="CL123" s="18">
        <f t="shared" si="396"/>
        <v>-10988.189127724121</v>
      </c>
      <c r="CM123" s="18" t="e">
        <f t="shared" si="396"/>
        <v>#DIV/0!</v>
      </c>
      <c r="CN123" s="18" t="e">
        <f t="shared" si="396"/>
        <v>#DIV/0!</v>
      </c>
      <c r="CO123" s="18" t="e">
        <f t="shared" si="397"/>
        <v>#DIV/0!</v>
      </c>
      <c r="CP123" s="18" t="e">
        <f t="shared" si="397"/>
        <v>#DIV/0!</v>
      </c>
      <c r="CQ123" s="18" t="e">
        <f t="shared" si="397"/>
        <v>#DIV/0!</v>
      </c>
      <c r="CR123" s="18" t="e">
        <f t="shared" si="397"/>
        <v>#DIV/0!</v>
      </c>
      <c r="CS123" s="18" t="e">
        <f t="shared" si="397"/>
        <v>#DIV/0!</v>
      </c>
      <c r="CT123" s="18" t="e">
        <f t="shared" si="397"/>
        <v>#DIV/0!</v>
      </c>
      <c r="CU123" s="18" t="e">
        <f t="shared" si="397"/>
        <v>#DIV/0!</v>
      </c>
      <c r="CV123" s="18" t="e">
        <f t="shared" si="397"/>
        <v>#DIV/0!</v>
      </c>
      <c r="CW123" s="18" t="e">
        <f t="shared" si="411"/>
        <v>#DIV/0!</v>
      </c>
      <c r="CX123" s="17">
        <f t="shared" si="302"/>
        <v>236.77938540902616</v>
      </c>
      <c r="CY123" s="17">
        <f t="shared" si="381"/>
        <v>143.43856053475844</v>
      </c>
      <c r="CZ123" s="17">
        <f t="shared" si="381"/>
        <v>74.492347997893788</v>
      </c>
      <c r="DA123" s="17">
        <f t="shared" si="381"/>
        <v>31.804207522133421</v>
      </c>
      <c r="DB123" s="17">
        <f t="shared" si="381"/>
        <v>10.488219534665243</v>
      </c>
      <c r="DC123" s="17">
        <f t="shared" si="381"/>
        <v>2.4266874029969574</v>
      </c>
      <c r="DD123" s="17">
        <f t="shared" si="381"/>
        <v>0.32699110167485967</v>
      </c>
      <c r="DE123" s="17">
        <f t="shared" si="381"/>
        <v>1.502964159371307E-2</v>
      </c>
      <c r="DF123" s="3" t="e">
        <f>#REF!+$AG$35*0.004*(1+$R$28)*#REF!-S123*#REF!</f>
        <v>#REF!</v>
      </c>
      <c r="DG123" s="19">
        <f t="shared" si="303"/>
        <v>648.95559049165229</v>
      </c>
      <c r="DH123" s="19">
        <f t="shared" si="304"/>
        <v>512.32446479153907</v>
      </c>
      <c r="DI123" s="19">
        <f t="shared" si="305"/>
        <v>405.29494486709547</v>
      </c>
      <c r="DJ123" s="19">
        <f t="shared" si="306"/>
        <v>328.86593867509885</v>
      </c>
      <c r="DK123" s="19">
        <f t="shared" si="307"/>
        <v>275.5646644769335</v>
      </c>
      <c r="DL123" s="19">
        <f t="shared" si="308"/>
        <v>221.85503390777936</v>
      </c>
      <c r="DM123" s="19">
        <f t="shared" si="309"/>
        <v>0.32699110167485967</v>
      </c>
      <c r="DN123" s="19">
        <f t="shared" si="310"/>
        <v>-5199.9827928393142</v>
      </c>
      <c r="DO123" s="25"/>
      <c r="DP123" s="25"/>
      <c r="DW123" s="26">
        <f t="shared" si="394"/>
        <v>0</v>
      </c>
      <c r="DX123" s="26">
        <f t="shared" si="394"/>
        <v>0</v>
      </c>
      <c r="DY123" s="26">
        <f t="shared" si="394"/>
        <v>0</v>
      </c>
      <c r="DZ123" s="26">
        <f t="shared" ref="DW123:EI138" si="416">DY124</f>
        <v>0</v>
      </c>
      <c r="EA123" s="26">
        <f t="shared" si="416"/>
        <v>0</v>
      </c>
      <c r="EB123" s="26">
        <f t="shared" si="416"/>
        <v>0</v>
      </c>
      <c r="EC123" s="26">
        <f t="shared" si="416"/>
        <v>0</v>
      </c>
      <c r="ED123" s="26">
        <f t="shared" si="416"/>
        <v>0</v>
      </c>
      <c r="EE123" s="26">
        <f t="shared" si="416"/>
        <v>0</v>
      </c>
      <c r="EF123" s="26">
        <f t="shared" si="416"/>
        <v>0</v>
      </c>
      <c r="EG123" s="26">
        <f t="shared" si="416"/>
        <v>0</v>
      </c>
      <c r="EH123" s="26">
        <f t="shared" si="416"/>
        <v>0</v>
      </c>
      <c r="EI123" s="26">
        <f t="shared" si="416"/>
        <v>0</v>
      </c>
      <c r="ER123" s="26">
        <f t="shared" si="415"/>
        <v>577.80948705585149</v>
      </c>
      <c r="ES123" s="26">
        <f t="shared" si="413"/>
        <v>-10365.902197781976</v>
      </c>
      <c r="ET123" s="26" t="e">
        <f t="shared" si="413"/>
        <v>#DIV/0!</v>
      </c>
      <c r="EU123" s="26" t="e">
        <f t="shared" si="413"/>
        <v>#DIV/0!</v>
      </c>
      <c r="EV123" s="26" t="e">
        <f t="shared" si="413"/>
        <v>#DIV/0!</v>
      </c>
      <c r="EW123" s="26" t="e">
        <f t="shared" si="413"/>
        <v>#DIV/0!</v>
      </c>
      <c r="EX123" s="26" t="e">
        <f t="shared" si="413"/>
        <v>#DIV/0!</v>
      </c>
      <c r="EY123" s="26" t="e">
        <f t="shared" si="413"/>
        <v>#DIV/0!</v>
      </c>
      <c r="EZ123" s="26" t="e">
        <f t="shared" si="413"/>
        <v>#DIV/0!</v>
      </c>
      <c r="FA123" s="26" t="e">
        <f t="shared" si="413"/>
        <v>#DIV/0!</v>
      </c>
      <c r="FB123" s="26" t="e">
        <f t="shared" si="413"/>
        <v>#DIV/0!</v>
      </c>
      <c r="FC123" s="26" t="e">
        <f t="shared" si="413"/>
        <v>#DIV/0!</v>
      </c>
      <c r="FD123" s="26" t="e">
        <f t="shared" si="413"/>
        <v>#DIV/0!</v>
      </c>
      <c r="FM123" s="26">
        <f t="shared" si="313"/>
        <v>23.840000000000003</v>
      </c>
      <c r="FN123" s="26">
        <f t="shared" si="313"/>
        <v>-428.6896000000001</v>
      </c>
      <c r="FO123" s="26" t="e">
        <f t="shared" si="313"/>
        <v>#DIV/0!</v>
      </c>
      <c r="FP123" s="26" t="e">
        <f t="shared" si="313"/>
        <v>#DIV/0!</v>
      </c>
      <c r="FQ123" s="26" t="e">
        <f t="shared" si="313"/>
        <v>#DIV/0!</v>
      </c>
      <c r="FR123" s="26" t="e">
        <f t="shared" si="313"/>
        <v>#DIV/0!</v>
      </c>
      <c r="FS123" s="26" t="e">
        <f t="shared" si="398"/>
        <v>#DIV/0!</v>
      </c>
      <c r="FT123" s="26" t="e">
        <f t="shared" si="398"/>
        <v>#DIV/0!</v>
      </c>
      <c r="FU123" s="26" t="e">
        <f t="shared" si="398"/>
        <v>#DIV/0!</v>
      </c>
      <c r="FV123" s="26" t="e">
        <f t="shared" si="398"/>
        <v>#DIV/0!</v>
      </c>
      <c r="FW123" s="26" t="e">
        <f t="shared" si="398"/>
        <v>#DIV/0!</v>
      </c>
      <c r="GH123" s="26">
        <f t="shared" si="314"/>
        <v>-588.65660689655078</v>
      </c>
      <c r="GI123" s="26">
        <f t="shared" si="314"/>
        <v>10560.49952772412</v>
      </c>
      <c r="GJ123" s="26" t="e">
        <f t="shared" si="314"/>
        <v>#DIV/0!</v>
      </c>
      <c r="GK123" s="26" t="e">
        <f t="shared" si="314"/>
        <v>#DIV/0!</v>
      </c>
      <c r="GL123" s="26" t="e">
        <f t="shared" si="314"/>
        <v>#DIV/0!</v>
      </c>
      <c r="GM123" s="26" t="e">
        <f t="shared" si="314"/>
        <v>#DIV/0!</v>
      </c>
      <c r="GN123" s="26" t="e">
        <f t="shared" si="399"/>
        <v>#DIV/0!</v>
      </c>
      <c r="GO123" s="26" t="e">
        <f t="shared" si="399"/>
        <v>#DIV/0!</v>
      </c>
      <c r="GP123" s="26" t="e">
        <f t="shared" si="399"/>
        <v>#DIV/0!</v>
      </c>
      <c r="GQ123" s="26" t="e">
        <f t="shared" si="399"/>
        <v>#DIV/0!</v>
      </c>
      <c r="GR123" s="26" t="e">
        <f t="shared" si="399"/>
        <v>#DIV/0!</v>
      </c>
      <c r="GS123" s="26" t="e">
        <f t="shared" si="399"/>
        <v>#DIV/0!</v>
      </c>
      <c r="GT123" s="26" t="e">
        <f t="shared" si="315"/>
        <v>#DIV/0!</v>
      </c>
      <c r="HC123" s="26">
        <f t="shared" si="316"/>
        <v>613.4966068965507</v>
      </c>
      <c r="HD123" s="26">
        <f t="shared" si="316"/>
        <v>-10988.189127724121</v>
      </c>
      <c r="HE123" s="26" t="e">
        <f t="shared" si="316"/>
        <v>#DIV/0!</v>
      </c>
      <c r="HF123" s="26" t="e">
        <f t="shared" si="316"/>
        <v>#DIV/0!</v>
      </c>
      <c r="HG123" s="26" t="e">
        <f t="shared" si="316"/>
        <v>#DIV/0!</v>
      </c>
      <c r="HH123" s="26" t="e">
        <f t="shared" si="316"/>
        <v>#DIV/0!</v>
      </c>
      <c r="HI123" s="26" t="e">
        <f t="shared" si="400"/>
        <v>#DIV/0!</v>
      </c>
      <c r="HJ123" s="26" t="e">
        <f t="shared" si="400"/>
        <v>#DIV/0!</v>
      </c>
      <c r="HK123" s="26" t="e">
        <f t="shared" si="400"/>
        <v>#DIV/0!</v>
      </c>
      <c r="HL123" s="26" t="e">
        <f t="shared" si="400"/>
        <v>#DIV/0!</v>
      </c>
      <c r="HM123" s="26" t="e">
        <f t="shared" si="400"/>
        <v>#DIV/0!</v>
      </c>
      <c r="HN123" s="26" t="e">
        <f t="shared" si="400"/>
        <v>#DIV/0!</v>
      </c>
      <c r="HO123" s="26" t="e">
        <f t="shared" si="317"/>
        <v>#DIV/0!</v>
      </c>
      <c r="HP123" s="26">
        <f t="shared" si="318"/>
        <v>1031889.3409120624</v>
      </c>
      <c r="HX123" s="26">
        <f t="shared" si="319"/>
        <v>-36773664.2210989</v>
      </c>
      <c r="HY123" s="26">
        <f t="shared" si="320"/>
        <v>665813633.98940468</v>
      </c>
      <c r="HZ123" s="26" t="e">
        <f t="shared" si="321"/>
        <v>#DIV/0!</v>
      </c>
      <c r="IA123" s="26" t="e">
        <f t="shared" si="322"/>
        <v>#DIV/0!</v>
      </c>
      <c r="IB123" s="26" t="e">
        <f t="shared" si="323"/>
        <v>#DIV/0!</v>
      </c>
      <c r="IC123" s="26" t="e">
        <f t="shared" si="324"/>
        <v>#DIV/0!</v>
      </c>
      <c r="ID123" s="26" t="e">
        <f t="shared" si="325"/>
        <v>#DIV/0!</v>
      </c>
      <c r="IE123" s="26" t="e">
        <f t="shared" si="326"/>
        <v>#DIV/0!</v>
      </c>
      <c r="IF123" s="26" t="e">
        <f t="shared" si="327"/>
        <v>#DIV/0!</v>
      </c>
      <c r="IG123" s="26" t="e">
        <f t="shared" si="328"/>
        <v>#DIV/0!</v>
      </c>
      <c r="IH123" s="26" t="e">
        <f t="shared" si="329"/>
        <v>#DIV/0!</v>
      </c>
      <c r="II123" s="26" t="e">
        <f t="shared" si="330"/>
        <v>#DIV/0!</v>
      </c>
      <c r="IR123" s="26">
        <f t="shared" si="331"/>
        <v>-37618554.025723167</v>
      </c>
      <c r="IS123" s="26">
        <f t="shared" si="332"/>
        <v>681705459.72521555</v>
      </c>
      <c r="IT123" s="26" t="e">
        <f t="shared" si="333"/>
        <v>#DIV/0!</v>
      </c>
      <c r="IU123" s="26" t="e">
        <f t="shared" si="334"/>
        <v>#DIV/0!</v>
      </c>
      <c r="IV123" s="26" t="e">
        <f t="shared" si="335"/>
        <v>#DIV/0!</v>
      </c>
      <c r="IW123" s="26" t="e">
        <f t="shared" si="336"/>
        <v>#DIV/0!</v>
      </c>
      <c r="IX123" s="26" t="e">
        <f t="shared" si="337"/>
        <v>#DIV/0!</v>
      </c>
      <c r="IY123" s="26" t="e">
        <f t="shared" si="338"/>
        <v>#DIV/0!</v>
      </c>
      <c r="IZ123" s="26" t="e">
        <f t="shared" si="339"/>
        <v>#DIV/0!</v>
      </c>
      <c r="JA123" s="26" t="e">
        <f t="shared" si="340"/>
        <v>#DIV/0!</v>
      </c>
      <c r="JB123" s="26" t="e">
        <f t="shared" si="341"/>
        <v>#DIV/0!</v>
      </c>
      <c r="JC123" s="26" t="e">
        <f t="shared" si="342"/>
        <v>#DIV/0!</v>
      </c>
      <c r="JI123" s="26">
        <f t="shared" si="343"/>
        <v>0</v>
      </c>
      <c r="JJ123" s="26">
        <f t="shared" si="344"/>
        <v>0</v>
      </c>
      <c r="JK123" s="26">
        <f t="shared" si="345"/>
        <v>-354913291.71024632</v>
      </c>
      <c r="JL123" s="26">
        <f t="shared" si="346"/>
        <v>6364694652.6826515</v>
      </c>
      <c r="JM123" s="26" t="e">
        <f t="shared" si="347"/>
        <v>#DIV/0!</v>
      </c>
      <c r="JN123" s="26" t="e">
        <f t="shared" si="348"/>
        <v>#DIV/0!</v>
      </c>
      <c r="JO123" s="26" t="e">
        <f t="shared" si="349"/>
        <v>#DIV/0!</v>
      </c>
      <c r="JP123" s="26" t="e">
        <f t="shared" si="350"/>
        <v>#DIV/0!</v>
      </c>
      <c r="JQ123" s="26" t="e">
        <f t="shared" si="351"/>
        <v>#DIV/0!</v>
      </c>
      <c r="JR123" s="26" t="e">
        <f t="shared" si="352"/>
        <v>#DIV/0!</v>
      </c>
      <c r="JS123" s="26" t="e">
        <f t="shared" si="353"/>
        <v>#DIV/0!</v>
      </c>
      <c r="JT123" s="26" t="e">
        <f t="shared" si="354"/>
        <v>#DIV/0!</v>
      </c>
      <c r="JU123" s="26" t="e">
        <f t="shared" si="355"/>
        <v>#DIV/0!</v>
      </c>
      <c r="JV123" s="26" t="e">
        <f t="shared" si="356"/>
        <v>#DIV/0!</v>
      </c>
      <c r="JW123" s="26" t="e">
        <f t="shared" si="357"/>
        <v>#DIV/0!</v>
      </c>
      <c r="JY123" s="34">
        <f t="shared" si="358"/>
        <v>0.36461080350857161</v>
      </c>
      <c r="JZ123" s="4">
        <f t="shared" si="359"/>
        <v>0</v>
      </c>
      <c r="KA123" s="165"/>
    </row>
    <row r="124" spans="1:287" ht="15.75" x14ac:dyDescent="0.3">
      <c r="A124" s="34">
        <v>123</v>
      </c>
      <c r="B124" s="34">
        <v>96</v>
      </c>
      <c r="C124" s="2">
        <v>36022</v>
      </c>
      <c r="D124" s="1">
        <f t="shared" si="360"/>
        <v>13233</v>
      </c>
      <c r="E124" s="145">
        <f t="shared" si="361"/>
        <v>0.63264116373327406</v>
      </c>
      <c r="F124" s="146">
        <f t="shared" si="362"/>
        <v>0.36735883626672594</v>
      </c>
      <c r="G124" s="158">
        <f t="shared" ref="G124:G133" si="417">(1+majoration)*F124</f>
        <v>0.45919854533340743</v>
      </c>
      <c r="H124" s="43">
        <f t="shared" si="363"/>
        <v>6547.6829803047449</v>
      </c>
      <c r="I124" s="43">
        <f t="shared" si="390"/>
        <v>14258.936677490365</v>
      </c>
      <c r="J124" s="43">
        <f t="shared" si="364"/>
        <v>29405.5</v>
      </c>
      <c r="K124" s="147">
        <f>SUM(J124:$J$138)</f>
        <v>65041</v>
      </c>
      <c r="L124" s="147">
        <f t="shared" si="365"/>
        <v>1.8055910277052911</v>
      </c>
      <c r="M124" s="43">
        <f t="shared" ref="M124:M133" si="418">(1+majoration)*J124</f>
        <v>36756.875</v>
      </c>
      <c r="N124" s="148">
        <f t="shared" ref="N124:N133" si="419">(1+majoration)*K124</f>
        <v>81301.25</v>
      </c>
      <c r="O124" s="147">
        <f t="shared" si="287"/>
        <v>2.2569887846316137</v>
      </c>
      <c r="P124" s="157">
        <f t="shared" ref="P124:P133" si="420">I124*v^B124</f>
        <v>524.58221221485394</v>
      </c>
      <c r="Q124" s="43">
        <f t="shared" ref="Q124:Q133" si="421">C124*(1+majoration)</f>
        <v>45027.5</v>
      </c>
      <c r="R124" s="43">
        <f t="shared" ref="R124:R133" si="422">P124*v^0.5*G124</f>
        <v>236.77938540902616</v>
      </c>
      <c r="S124" s="43">
        <f>SUM(R124:$R$138)</f>
        <v>499.77085525023159</v>
      </c>
      <c r="T124" s="43">
        <f t="shared" si="366"/>
        <v>943.7556529180506</v>
      </c>
      <c r="U124" s="153">
        <f>SUM(P124:$P$138)</f>
        <v>985.7419839674069</v>
      </c>
      <c r="V124" s="129">
        <f t="shared" ref="V124:V133" si="423">VLOOKUP(A124+n,A124:AF234,21)</f>
        <v>1.4120788545205874E-2</v>
      </c>
      <c r="W124" s="43">
        <f t="shared" ref="W124:W133" si="424">VLOOKUP(A124+n,A124:AF234,16)</f>
        <v>1.4678782389600017E-2</v>
      </c>
      <c r="X124" s="26">
        <f t="shared" si="367"/>
        <v>1.8790722220964968</v>
      </c>
      <c r="Y124" s="26">
        <f t="shared" si="368"/>
        <v>2.7981853078136789E-5</v>
      </c>
      <c r="Z124" s="43">
        <f t="shared" ref="Z124:Z133" si="425">VLOOKUP(A124+n,A124:AF234,19)</f>
        <v>1.4455747082759081E-2</v>
      </c>
      <c r="AA124" s="149">
        <f t="shared" si="369"/>
        <v>0.95267507716876765</v>
      </c>
      <c r="AB124" s="150">
        <f t="shared" si="370"/>
        <v>461.1597717525529</v>
      </c>
      <c r="AC124" s="150">
        <f t="shared" si="371"/>
        <v>-5.5799384439414316E-4</v>
      </c>
      <c r="AD124" s="26">
        <f t="shared" si="372"/>
        <v>0.87910020394957489</v>
      </c>
      <c r="AE124" s="26">
        <f t="shared" ref="AE124:AE133" si="426">(rd*Periodicité/(1+fractionnelentrente))*(AA124*0.5+$H$4-AD124-am*Y124)+(rv*Periodicité/(1+fractionnelentrente))*(1+am)*Y124</f>
        <v>1079245.1023674337</v>
      </c>
      <c r="AF124" s="43">
        <f t="shared" ref="AF124:AF133" si="427">AE124/X124</f>
        <v>574349.98488951684</v>
      </c>
      <c r="AG124" s="43">
        <f t="shared" ref="AG124:AG133" si="428">AE124*(1+$H$7)+(rd*Periodicité/(1+fractionnelentrente))*gg*X124*$H$5+(rv*Periodicité/(1+fractionnelentrente))*grr*(1+am)*X124</f>
        <v>1113207.7325432564</v>
      </c>
      <c r="AH124" s="27">
        <f t="shared" ref="AH124:AH133" si="429">AF124*(1+$H$7)+(rd*Periodicité/(1+fractionnelentrente))*gg*$H$5+(rv*Periodicité/(1+fractionnelentrente))*(gpp+grr)*(1+am)</f>
        <v>596266.93649840204</v>
      </c>
      <c r="AI124" s="28">
        <f t="shared" ref="AI124:AI133" si="430">AG124/(1-Frais_sur_versement)</f>
        <v>1196997.5618744693</v>
      </c>
      <c r="AJ124" s="20">
        <f t="shared" ref="AJ124:AJ133" si="431">AH124/(1-Frais_sur_versement)</f>
        <v>641147.24354666891</v>
      </c>
      <c r="AK124" s="3">
        <f t="shared" ref="AK124:AK133" si="432">(AJ124/(period))*(1+frac)</f>
        <v>55566.094440711313</v>
      </c>
      <c r="AL124" s="3"/>
      <c r="AM124" s="46">
        <f t="shared" si="373"/>
        <v>461.1597717525529</v>
      </c>
      <c r="AN124" s="46">
        <f t="shared" si="374"/>
        <v>187.05849304915947</v>
      </c>
      <c r="AO124" s="46">
        <f t="shared" si="374"/>
        <v>63.21875273446355</v>
      </c>
      <c r="AP124" s="3">
        <f t="shared" si="414"/>
        <v>16.788813107634137</v>
      </c>
      <c r="AQ124" s="3">
        <f t="shared" si="414"/>
        <v>3.1907985310217075</v>
      </c>
      <c r="AR124" s="16">
        <f t="shared" si="414"/>
        <v>0.36197756128412645</v>
      </c>
      <c r="AS124" s="16">
        <f t="shared" si="414"/>
        <v>1.4120788545205874E-2</v>
      </c>
      <c r="AT124" s="16">
        <f t="shared" si="414"/>
        <v>-5.5799384439414316E-4</v>
      </c>
      <c r="AU124" s="16">
        <f t="shared" si="414"/>
        <v>3.2939424108272912E-5</v>
      </c>
      <c r="AV124" s="16">
        <f t="shared" si="414"/>
        <v>0</v>
      </c>
      <c r="AW124" s="16">
        <f t="shared" si="414"/>
        <v>0</v>
      </c>
      <c r="AX124" s="16">
        <f t="shared" si="391"/>
        <v>0</v>
      </c>
      <c r="AY124" s="16">
        <f t="shared" si="391"/>
        <v>0</v>
      </c>
      <c r="AZ124" s="16">
        <f t="shared" si="391"/>
        <v>0</v>
      </c>
      <c r="BA124" s="16">
        <f t="shared" si="391"/>
        <v>0</v>
      </c>
      <c r="BB124" s="16">
        <f t="shared" si="391"/>
        <v>0</v>
      </c>
      <c r="BC124" s="16">
        <f t="shared" si="391"/>
        <v>0</v>
      </c>
      <c r="BD124" s="16">
        <f t="shared" si="391"/>
        <v>0</v>
      </c>
      <c r="BE124" s="16">
        <f t="shared" si="391"/>
        <v>0</v>
      </c>
      <c r="BF124" s="16">
        <f t="shared" si="391"/>
        <v>0</v>
      </c>
      <c r="BG124" s="16">
        <f t="shared" si="391"/>
        <v>0</v>
      </c>
      <c r="BH124" s="172">
        <f t="shared" si="375"/>
        <v>274.1012787033934</v>
      </c>
      <c r="BI124" s="16">
        <f t="shared" si="410"/>
        <v>123.83974031469592</v>
      </c>
      <c r="BJ124" s="16">
        <f t="shared" si="410"/>
        <v>46.429939626829416</v>
      </c>
      <c r="BK124" s="16">
        <f t="shared" si="410"/>
        <v>13.59801457661243</v>
      </c>
      <c r="BL124" s="16">
        <f t="shared" si="410"/>
        <v>2.8288209697375808</v>
      </c>
      <c r="BM124" s="16">
        <f t="shared" si="410"/>
        <v>0.34785677273892057</v>
      </c>
      <c r="BN124" s="16">
        <f t="shared" si="410"/>
        <v>1.4678782389600017E-2</v>
      </c>
      <c r="BO124" s="16">
        <f t="shared" si="410"/>
        <v>-5.9093326850241602E-4</v>
      </c>
      <c r="BP124" s="16">
        <f t="shared" si="410"/>
        <v>3.2939424108272912E-5</v>
      </c>
      <c r="BQ124" s="16">
        <f t="shared" si="410"/>
        <v>0</v>
      </c>
      <c r="BR124" s="16">
        <f t="shared" si="410"/>
        <v>0</v>
      </c>
      <c r="BS124" s="16">
        <f t="shared" si="410"/>
        <v>0</v>
      </c>
      <c r="BT124" s="16">
        <f t="shared" si="410"/>
        <v>0</v>
      </c>
      <c r="BU124" s="16">
        <f t="shared" si="410"/>
        <v>0</v>
      </c>
      <c r="BV124" s="16">
        <f t="shared" si="412"/>
        <v>0</v>
      </c>
      <c r="BW124" s="16">
        <f t="shared" si="412"/>
        <v>0</v>
      </c>
      <c r="BX124" s="16">
        <f t="shared" si="412"/>
        <v>0</v>
      </c>
      <c r="BY124" s="16">
        <f t="shared" si="412"/>
        <v>0</v>
      </c>
      <c r="BZ124" s="16">
        <f t="shared" si="412"/>
        <v>0</v>
      </c>
      <c r="CA124" s="16">
        <f t="shared" si="412"/>
        <v>0</v>
      </c>
      <c r="CB124" s="16">
        <f t="shared" si="412"/>
        <v>0</v>
      </c>
      <c r="CC124" s="18">
        <f t="shared" si="376"/>
        <v>1.6823914618180826</v>
      </c>
      <c r="CD124" s="18">
        <f t="shared" si="376"/>
        <v>1.5103743902022535</v>
      </c>
      <c r="CE124" s="18">
        <f t="shared" si="376"/>
        <v>1.3612904185082273</v>
      </c>
      <c r="CF124" s="18">
        <f t="shared" si="376"/>
        <v>1.2336133502857212</v>
      </c>
      <c r="CG124" s="18">
        <f t="shared" si="280"/>
        <v>1.1229688186209925</v>
      </c>
      <c r="CH124" s="18">
        <f t="shared" si="280"/>
        <v>1</v>
      </c>
      <c r="CI124" s="18">
        <f t="shared" si="280"/>
        <v>0</v>
      </c>
      <c r="CJ124" s="18">
        <f t="shared" si="280"/>
        <v>24.840000000000003</v>
      </c>
      <c r="CK124" s="18">
        <f t="shared" si="396"/>
        <v>-427.68960000000004</v>
      </c>
      <c r="CL124" s="18" t="e">
        <f t="shared" si="396"/>
        <v>#DIV/0!</v>
      </c>
      <c r="CM124" s="18" t="e">
        <f t="shared" si="396"/>
        <v>#DIV/0!</v>
      </c>
      <c r="CN124" s="18" t="e">
        <f t="shared" si="396"/>
        <v>#DIV/0!</v>
      </c>
      <c r="CO124" s="18" t="e">
        <f t="shared" si="397"/>
        <v>#DIV/0!</v>
      </c>
      <c r="CP124" s="18" t="e">
        <f t="shared" si="397"/>
        <v>#DIV/0!</v>
      </c>
      <c r="CQ124" s="18" t="e">
        <f t="shared" si="397"/>
        <v>#DIV/0!</v>
      </c>
      <c r="CR124" s="18" t="e">
        <f t="shared" si="397"/>
        <v>#DIV/0!</v>
      </c>
      <c r="CS124" s="18" t="e">
        <f t="shared" si="397"/>
        <v>#DIV/0!</v>
      </c>
      <c r="CT124" s="18" t="e">
        <f t="shared" si="397"/>
        <v>#DIV/0!</v>
      </c>
      <c r="CU124" s="18" t="e">
        <f t="shared" si="397"/>
        <v>#DIV/0!</v>
      </c>
      <c r="CV124" s="18" t="e">
        <f t="shared" si="397"/>
        <v>#DIV/0!</v>
      </c>
      <c r="CW124" s="18" t="e">
        <f t="shared" si="411"/>
        <v>#DIV/0!</v>
      </c>
      <c r="CX124" s="17">
        <f t="shared" ref="CX124:CX134" si="433">R125</f>
        <v>143.43856053475844</v>
      </c>
      <c r="CY124" s="17">
        <f t="shared" si="381"/>
        <v>74.492347997893788</v>
      </c>
      <c r="CZ124" s="17">
        <f t="shared" si="381"/>
        <v>31.804207522133421</v>
      </c>
      <c r="DA124" s="17">
        <f t="shared" si="381"/>
        <v>10.488219534665243</v>
      </c>
      <c r="DB124" s="17">
        <f t="shared" si="381"/>
        <v>2.4266874029969574</v>
      </c>
      <c r="DC124" s="17">
        <f t="shared" si="381"/>
        <v>0.32699110167485967</v>
      </c>
      <c r="DD124" s="17">
        <f t="shared" si="381"/>
        <v>1.502964159371307E-2</v>
      </c>
      <c r="DE124" s="17">
        <f t="shared" si="381"/>
        <v>-6.1436662033015137E-4</v>
      </c>
      <c r="DF124" s="3" t="e">
        <f>#REF!+$AG$35*0.004*(1+$R$28)*#REF!-S124*#REF!</f>
        <v>#REF!</v>
      </c>
      <c r="DG124" s="19">
        <f t="shared" ref="DG124:DG134" si="434">CX124+rv*0.004*(1+am)*CC124-$O124*CC124</f>
        <v>513.18049407645401</v>
      </c>
      <c r="DH124" s="19">
        <f t="shared" ref="DH124:DH134" si="435">CY124+rv*0.004*(1+am)*CD124-$O124*CD124</f>
        <v>406.42980731057406</v>
      </c>
      <c r="DI124" s="19">
        <f t="shared" ref="DI124:DI134" si="436">CZ124+rv*0.004*(1+am)*CE124-$O124*CE124</f>
        <v>330.97723762482701</v>
      </c>
      <c r="DJ124" s="19">
        <f t="shared" ref="DJ124:DJ134" si="437">DA124+rv*0.004*(1+am)*CF124-$O124*CF124</f>
        <v>281.60145074696896</v>
      </c>
      <c r="DK124" s="19">
        <f t="shared" ref="DK124:DK134" si="438">DB124+rv*0.004*(1+am)*CG124-$O124*CG124</f>
        <v>249.22338824648702</v>
      </c>
      <c r="DL124" s="19">
        <f t="shared" ref="DL124:DL134" si="439">DC124+rv*0.004*(1+am)*CH124-$O124*CH124</f>
        <v>220.09863279922158</v>
      </c>
      <c r="DM124" s="19">
        <f t="shared" ref="DM124:DM134" si="440">DD124+rv*0.004*(1+am)*CI124-$O124*CI124</f>
        <v>1.502964159371307E-2</v>
      </c>
      <c r="DN124" s="19">
        <f t="shared" ref="DN124:DN134" si="441">DE124+rv*0.004*(1+am)*CJ124-$O124*CJ124</f>
        <v>5459.1269654004409</v>
      </c>
      <c r="DW124" s="26">
        <f t="shared" si="416"/>
        <v>0</v>
      </c>
      <c r="DX124" s="26">
        <f t="shared" si="416"/>
        <v>0</v>
      </c>
      <c r="DY124" s="26">
        <f t="shared" si="416"/>
        <v>0</v>
      </c>
      <c r="DZ124" s="26">
        <f t="shared" si="416"/>
        <v>0</v>
      </c>
      <c r="EA124" s="26">
        <f t="shared" si="416"/>
        <v>0</v>
      </c>
      <c r="EB124" s="26">
        <f t="shared" si="416"/>
        <v>0</v>
      </c>
      <c r="EC124" s="26">
        <f t="shared" si="416"/>
        <v>0</v>
      </c>
      <c r="ED124" s="26">
        <f t="shared" si="416"/>
        <v>0</v>
      </c>
      <c r="EE124" s="26">
        <f t="shared" si="416"/>
        <v>0</v>
      </c>
      <c r="EF124" s="26">
        <f t="shared" si="416"/>
        <v>0</v>
      </c>
      <c r="EG124" s="26">
        <f t="shared" si="416"/>
        <v>0</v>
      </c>
      <c r="EH124" s="26">
        <f t="shared" si="416"/>
        <v>0</v>
      </c>
      <c r="EI124" s="26">
        <f t="shared" si="416"/>
        <v>0</v>
      </c>
      <c r="ER124" s="26">
        <f t="shared" si="415"/>
        <v>-438.85852512911549</v>
      </c>
      <c r="ES124" s="26" t="e">
        <f t="shared" si="413"/>
        <v>#DIV/0!</v>
      </c>
      <c r="ET124" s="26" t="e">
        <f t="shared" si="413"/>
        <v>#DIV/0!</v>
      </c>
      <c r="EU124" s="26" t="e">
        <f t="shared" si="413"/>
        <v>#DIV/0!</v>
      </c>
      <c r="EV124" s="26" t="e">
        <f t="shared" si="413"/>
        <v>#DIV/0!</v>
      </c>
      <c r="EW124" s="26" t="e">
        <f t="shared" si="413"/>
        <v>#DIV/0!</v>
      </c>
      <c r="EX124" s="26" t="e">
        <f t="shared" si="413"/>
        <v>#DIV/0!</v>
      </c>
      <c r="EY124" s="26" t="e">
        <f t="shared" si="413"/>
        <v>#DIV/0!</v>
      </c>
      <c r="EZ124" s="26" t="e">
        <f t="shared" si="413"/>
        <v>#DIV/0!</v>
      </c>
      <c r="FA124" s="26" t="e">
        <f t="shared" si="413"/>
        <v>#DIV/0!</v>
      </c>
      <c r="FB124" s="26" t="e">
        <f t="shared" si="413"/>
        <v>#DIV/0!</v>
      </c>
      <c r="FC124" s="26" t="e">
        <f t="shared" si="413"/>
        <v>#DIV/0!</v>
      </c>
      <c r="FD124" s="26" t="e">
        <f t="shared" si="413"/>
        <v>#DIV/0!</v>
      </c>
      <c r="FM124" s="26">
        <f t="shared" si="313"/>
        <v>16.940000000000001</v>
      </c>
      <c r="FN124" s="26" t="e">
        <f t="shared" si="313"/>
        <v>#DIV/0!</v>
      </c>
      <c r="FO124" s="26" t="e">
        <f t="shared" si="313"/>
        <v>#DIV/0!</v>
      </c>
      <c r="FP124" s="26" t="e">
        <f t="shared" si="313"/>
        <v>#DIV/0!</v>
      </c>
      <c r="FQ124" s="26" t="e">
        <f t="shared" si="313"/>
        <v>#DIV/0!</v>
      </c>
      <c r="FR124" s="26" t="e">
        <f t="shared" si="313"/>
        <v>#DIV/0!</v>
      </c>
      <c r="FS124" s="26" t="e">
        <f t="shared" si="398"/>
        <v>#DIV/0!</v>
      </c>
      <c r="FT124" s="26" t="e">
        <f t="shared" si="398"/>
        <v>#DIV/0!</v>
      </c>
      <c r="FU124" s="26" t="e">
        <f t="shared" si="398"/>
        <v>#DIV/0!</v>
      </c>
      <c r="FV124" s="26" t="e">
        <f t="shared" si="398"/>
        <v>#DIV/0!</v>
      </c>
      <c r="FW124" s="26" t="e">
        <f t="shared" si="398"/>
        <v>#DIV/0!</v>
      </c>
      <c r="GH124" s="26">
        <f t="shared" si="314"/>
        <v>445.62960000000004</v>
      </c>
      <c r="GI124" s="26" t="e">
        <f t="shared" si="314"/>
        <v>#DIV/0!</v>
      </c>
      <c r="GJ124" s="26" t="e">
        <f t="shared" si="314"/>
        <v>#DIV/0!</v>
      </c>
      <c r="GK124" s="26" t="e">
        <f t="shared" si="314"/>
        <v>#DIV/0!</v>
      </c>
      <c r="GL124" s="26" t="e">
        <f t="shared" si="314"/>
        <v>#DIV/0!</v>
      </c>
      <c r="GM124" s="26" t="e">
        <f t="shared" si="314"/>
        <v>#DIV/0!</v>
      </c>
      <c r="GN124" s="26" t="e">
        <f t="shared" si="399"/>
        <v>#DIV/0!</v>
      </c>
      <c r="GO124" s="26" t="e">
        <f t="shared" si="399"/>
        <v>#DIV/0!</v>
      </c>
      <c r="GP124" s="26" t="e">
        <f t="shared" si="399"/>
        <v>#DIV/0!</v>
      </c>
      <c r="GQ124" s="26" t="e">
        <f t="shared" si="399"/>
        <v>#DIV/0!</v>
      </c>
      <c r="GR124" s="26" t="e">
        <f t="shared" si="399"/>
        <v>#DIV/0!</v>
      </c>
      <c r="GS124" s="26" t="e">
        <f t="shared" si="399"/>
        <v>#DIV/0!</v>
      </c>
      <c r="GT124" s="26" t="e">
        <f t="shared" si="315"/>
        <v>#DIV/0!</v>
      </c>
      <c r="HC124" s="26">
        <f t="shared" si="316"/>
        <v>-427.68960000000004</v>
      </c>
      <c r="HD124" s="26" t="e">
        <f t="shared" si="316"/>
        <v>#DIV/0!</v>
      </c>
      <c r="HE124" s="26" t="e">
        <f t="shared" si="316"/>
        <v>#DIV/0!</v>
      </c>
      <c r="HF124" s="26" t="e">
        <f t="shared" si="316"/>
        <v>#DIV/0!</v>
      </c>
      <c r="HG124" s="26" t="e">
        <f t="shared" si="316"/>
        <v>#DIV/0!</v>
      </c>
      <c r="HH124" s="26" t="e">
        <f t="shared" si="316"/>
        <v>#DIV/0!</v>
      </c>
      <c r="HI124" s="26" t="e">
        <f t="shared" si="400"/>
        <v>#DIV/0!</v>
      </c>
      <c r="HJ124" s="26" t="e">
        <f t="shared" si="400"/>
        <v>#DIV/0!</v>
      </c>
      <c r="HK124" s="26" t="e">
        <f t="shared" si="400"/>
        <v>#DIV/0!</v>
      </c>
      <c r="HL124" s="26" t="e">
        <f t="shared" si="400"/>
        <v>#DIV/0!</v>
      </c>
      <c r="HM124" s="26" t="e">
        <f t="shared" si="400"/>
        <v>#DIV/0!</v>
      </c>
      <c r="HN124" s="26" t="e">
        <f t="shared" si="400"/>
        <v>#DIV/0!</v>
      </c>
      <c r="HO124" s="26" t="e">
        <f t="shared" si="317"/>
        <v>#DIV/0!</v>
      </c>
      <c r="HP124" s="26">
        <f t="shared" ref="HP124:HP138" si="442">(rd*Periodicité/(1+fractionnelentrente))*(0.5*EJ124+am_n_1-FE124-am*FZ124)+(rv*Periodicité/(1+fractionnelentrente))*(1+am)*FZ124</f>
        <v>1031889.3409120624</v>
      </c>
      <c r="HX124" s="26">
        <f t="shared" ref="HX124:HX138" si="443">(rd*Periodicité/(1+fractionnelentrente))*(0.5*ER124+am_n_9-FM124-am*GH124)+(rv*Periodicité/(1+fractionnelentrente))*(1+am)*GH124</f>
        <v>24309642.874921054</v>
      </c>
      <c r="HY124" s="26" t="e">
        <f t="shared" ref="HY124:HY138" si="444">(rd*Periodicité/(1+fractionnelentrente))*(0.5*ES124+am_n_10-FN124-am*GI124)+(rv*Periodicité/(1+fractionnelentrente))*(1+am)*GI124</f>
        <v>#DIV/0!</v>
      </c>
      <c r="HZ124" s="26" t="e">
        <f t="shared" ref="HZ124:HZ138" si="445">(rd*Periodicité/(1+fractionnelentrente))*(0.5*ET124+am_n_11-FO124-am*GJ124)+(rv*Periodicité/(1+fractionnelentrente))*(1+am)*GJ124</f>
        <v>#DIV/0!</v>
      </c>
      <c r="IA124" s="26" t="e">
        <f t="shared" ref="IA124:IA138" si="446">(rd*Periodicité/(1+fractionnelentrente))*(0.5*EU124+am_n_12-FP124-am*GK124)+(rv*Periodicité/(1+fractionnelentrente))*(1+am)*GK124</f>
        <v>#DIV/0!</v>
      </c>
      <c r="IB124" s="26" t="e">
        <f t="shared" ref="IB124:IB138" si="447">(rd*Periodicité/(1+fractionnelentrente))*(0.5*EV124+am_n_13-FQ124-am*GL124)+(rv*Periodicité/(1+fractionnelentrente))*(1+am)*GL124</f>
        <v>#DIV/0!</v>
      </c>
      <c r="IC124" s="26" t="e">
        <f t="shared" ref="IC124:IC138" si="448">(rd*Periodicité/(1+fractionnelentrente))*(0.5*EW124+am_n_14-FR124-am*GM124)+(rv*Periodicité/(1+fractionnelentrente))*(1+am)*GM124</f>
        <v>#DIV/0!</v>
      </c>
      <c r="ID124" s="26" t="e">
        <f t="shared" ref="ID124:ID138" si="449">(rd*Periodicité/(1+fractionnelentrente))*(0.5*EX124+am_n_15-FS124-am*GN124)+(rv*Periodicité/(1+fractionnelentrente))*(1+am)*GN124</f>
        <v>#DIV/0!</v>
      </c>
      <c r="IE124" s="26" t="e">
        <f t="shared" ref="IE124:IE138" si="450">(rd*Periodicité/(1+fractionnelentrente))*(0.5*EY124+am_n_16-FT124-am*GO124)+(rv*Periodicité/(1+fractionnelentrente))*(1+am)*GO124</f>
        <v>#DIV/0!</v>
      </c>
      <c r="IF124" s="26" t="e">
        <f t="shared" ref="IF124:IF138" si="451">(rd*Periodicité/(1+fractionnelentrente))*(0.5*EZ124+am_n_17-FU124-am*GP124)+(rv*Periodicité/(1+fractionnelentrente))*(1+am)*GP124</f>
        <v>#DIV/0!</v>
      </c>
      <c r="IG124" s="26" t="e">
        <f t="shared" ref="IG124:IG138" si="452">(rd*Periodicité/(1+fractionnelentrente))*(0.5*FA124+am_n_18-FV124-am*GQ124)+(rv*Periodicité/(1+fractionnelentrente))*(1+am)*GQ124</f>
        <v>#DIV/0!</v>
      </c>
      <c r="IH124" s="26" t="e">
        <f t="shared" ref="IH124:IH138" si="453">(rd*Periodicité/(1+fractionnelentrente))*(0.5*FB124+am_n_19-FW124-am*GR124)+(rv*Periodicité/(1+fractionnelentrente))*(1+am)*GR124</f>
        <v>#DIV/0!</v>
      </c>
      <c r="II124" s="26" t="e">
        <f t="shared" ref="II124:II138" si="454">(rd*Periodicité/(1+fractionnelentrente))*(0.5*FC124+am_n_20-FX124-am*GS124)+(rv*Periodicité/(1+fractionnelentrente))*(1+am)*GS124</f>
        <v>#DIV/0!</v>
      </c>
      <c r="IR124" s="26">
        <f t="shared" ref="IR124:IR138" si="455">HX124*(1+$H$7)+(rd*Periodicité/(1+fractionnelentrente))*gg*HC124*am_n_2_9+(rv*Periodicité/(1+fractionnelentrente))*grr*(1+am)*HC124</f>
        <v>24858848.313251849</v>
      </c>
      <c r="IS124" s="26" t="e">
        <f t="shared" ref="IS124:IS138" si="456">HY124*(1+$H$7)+(rd*Periodicité/(1+fractionnelentrente))*gg*HD124*am_n_2_10+(rv*Periodicité/(1+fractionnelentrente))*grr*(1+am)*HD124</f>
        <v>#DIV/0!</v>
      </c>
      <c r="IT124" s="26" t="e">
        <f t="shared" ref="IT124:IT138" si="457">HZ124*(1+$H$7)+(rd*Periodicité/(1+fractionnelentrente))*gg*HE124*am_n_2_11+(rv*Periodicité/(1+fractionnelentrente))*grr*(1+am)*HE124</f>
        <v>#DIV/0!</v>
      </c>
      <c r="IU124" s="26" t="e">
        <f t="shared" ref="IU124:IU138" si="458">IA124*(1+$H$7)+(rd*Periodicité/(1+fractionnelentrente))*gg*HF124*am_n_2_12+(rv*Periodicité/(1+fractionnelentrente))*grr*(1+am)*HF124</f>
        <v>#DIV/0!</v>
      </c>
      <c r="IV124" s="26" t="e">
        <f t="shared" ref="IV124:IV138" si="459">IB124*(1+$H$7)+(rd*Periodicité/(1+fractionnelentrente))*gg*HG124*am_n_2_13+(rv*Periodicité/(1+fractionnelentrente))*grr*(1+am)*HG124</f>
        <v>#DIV/0!</v>
      </c>
      <c r="IW124" s="26" t="e">
        <f t="shared" ref="IW124:IW138" si="460">IC124*(1+$H$7)+(rd*Periodicité/(1+fractionnelentrente))*gg*HH124*am_n_2_14+(rv*Periodicité/(1+fractionnelentrente))*grr*(1+am)*HH124</f>
        <v>#DIV/0!</v>
      </c>
      <c r="IX124" s="26" t="e">
        <f t="shared" ref="IX124:IX138" si="461">ID124*(1+$H$7)+(rd*Periodicité/(1+fractionnelentrente))*gg*HI124*am_n_2_15+(rv*Periodicité/(1+fractionnelentrente))*grr*(1+am)*HI124</f>
        <v>#DIV/0!</v>
      </c>
      <c r="IY124" s="26" t="e">
        <f t="shared" ref="IY124:IY138" si="462">IE124*(1+$H$7)+(rd*Periodicité/(1+fractionnelentrente))*gg*HJ124*am_n_2_16+(rv*Periodicité/(1+fractionnelentrente))*grr*(1+am)*HJ124</f>
        <v>#DIV/0!</v>
      </c>
      <c r="IZ124" s="26" t="e">
        <f t="shared" ref="IZ124:IZ138" si="463">IF124*(1+$H$7)+(rd*Periodicité/(1+fractionnelentrente))*gg*HK124*am_n_2_17+(rv*Periodicité/(1+fractionnelentrente))*grr*(1+am)*HK124</f>
        <v>#DIV/0!</v>
      </c>
      <c r="JA124" s="26" t="e">
        <f t="shared" ref="JA124:JA138" si="464">IG124*(1+$H$7)+(rd*Periodicité/(1+fractionnelentrente))*gg*HL124*am_n_2_18+(rv*Periodicité/(1+fractionnelentrente))*grr*(1+am)*HL124</f>
        <v>#DIV/0!</v>
      </c>
      <c r="JB124" s="26" t="e">
        <f t="shared" ref="JB124:JB138" si="465">IH124*(1+$H$7)+(rd*Periodicité/(1+fractionnelentrente))*gg*HM124*am_n_2_19+(rv*Periodicité/(1+fractionnelentrente))*grr*(1+am)*HM124</f>
        <v>#DIV/0!</v>
      </c>
      <c r="JC124" s="26" t="e">
        <f t="shared" ref="JC124:JC138" si="466">II124*(1+$H$7)+(rd*Periodicité/(1+fractionnelentrente))*gg*HN124*am_n_2_20+(rv*Periodicité/(1+fractionnelentrente))*grr*(1+am)*HN124</f>
        <v>#DIV/0!</v>
      </c>
      <c r="JI124" s="26">
        <f t="shared" si="343"/>
        <v>0</v>
      </c>
      <c r="JJ124" s="26">
        <f t="shared" si="344"/>
        <v>0</v>
      </c>
      <c r="JK124" s="26">
        <f t="shared" si="345"/>
        <v>278232488.90548801</v>
      </c>
      <c r="JL124" s="26" t="e">
        <f t="shared" si="346"/>
        <v>#DIV/0!</v>
      </c>
      <c r="JM124" s="26" t="e">
        <f t="shared" si="347"/>
        <v>#DIV/0!</v>
      </c>
      <c r="JN124" s="26" t="e">
        <f t="shared" si="348"/>
        <v>#DIV/0!</v>
      </c>
      <c r="JO124" s="26" t="e">
        <f t="shared" si="349"/>
        <v>#DIV/0!</v>
      </c>
      <c r="JP124" s="26" t="e">
        <f t="shared" si="350"/>
        <v>#DIV/0!</v>
      </c>
      <c r="JQ124" s="26" t="e">
        <f t="shared" si="351"/>
        <v>#DIV/0!</v>
      </c>
      <c r="JR124" s="26" t="e">
        <f t="shared" si="352"/>
        <v>#DIV/0!</v>
      </c>
      <c r="JS124" s="26" t="e">
        <f t="shared" si="353"/>
        <v>#DIV/0!</v>
      </c>
      <c r="JT124" s="26" t="e">
        <f t="shared" si="354"/>
        <v>#DIV/0!</v>
      </c>
      <c r="JU124" s="26" t="e">
        <f t="shared" si="355"/>
        <v>#DIV/0!</v>
      </c>
      <c r="JV124" s="26" t="e">
        <f t="shared" si="356"/>
        <v>#DIV/0!</v>
      </c>
      <c r="JW124" s="26" t="e">
        <f t="shared" si="357"/>
        <v>#DIV/0!</v>
      </c>
      <c r="JY124" s="34">
        <f t="shared" ref="JY124:JY138" si="467">F124+$J$8</f>
        <v>0.41735883626672593</v>
      </c>
      <c r="JZ124" s="4">
        <f t="shared" ref="JZ124:JZ138" si="468">IJ124+rv*gpp*(1+am)*GU124-$AH124*GU124</f>
        <v>0</v>
      </c>
      <c r="KA124" s="165"/>
    </row>
    <row r="125" spans="1:287" ht="15.75" x14ac:dyDescent="0.3">
      <c r="A125" s="34">
        <v>124</v>
      </c>
      <c r="B125" s="34">
        <v>97</v>
      </c>
      <c r="C125" s="2">
        <v>22789</v>
      </c>
      <c r="D125" s="1">
        <f t="shared" si="360"/>
        <v>9706</v>
      </c>
      <c r="E125" s="145">
        <f t="shared" si="361"/>
        <v>0.57409276405283249</v>
      </c>
      <c r="F125" s="146">
        <f t="shared" si="362"/>
        <v>0.42590723594716751</v>
      </c>
      <c r="G125" s="158">
        <f t="shared" si="417"/>
        <v>0.53238404493395941</v>
      </c>
      <c r="H125" s="43">
        <f t="shared" si="363"/>
        <v>4105.3484348196298</v>
      </c>
      <c r="I125" s="43">
        <f t="shared" si="390"/>
        <v>7711.2536971856198</v>
      </c>
      <c r="J125" s="43">
        <f t="shared" si="364"/>
        <v>17936</v>
      </c>
      <c r="K125" s="147">
        <f>SUM(J125:$J$138)</f>
        <v>35635.5</v>
      </c>
      <c r="L125" s="147">
        <f t="shared" si="365"/>
        <v>1.5637149501952696</v>
      </c>
      <c r="M125" s="43">
        <f t="shared" si="418"/>
        <v>22420</v>
      </c>
      <c r="N125" s="148">
        <f t="shared" si="419"/>
        <v>44544.375</v>
      </c>
      <c r="O125" s="147">
        <f t="shared" si="287"/>
        <v>1.9546436877440869</v>
      </c>
      <c r="P125" s="157">
        <f t="shared" si="420"/>
        <v>274.1012787033934</v>
      </c>
      <c r="Q125" s="43">
        <f t="shared" si="421"/>
        <v>28486.25</v>
      </c>
      <c r="R125" s="43">
        <f t="shared" si="422"/>
        <v>143.43856053475844</v>
      </c>
      <c r="S125" s="43">
        <f>SUM(R125:$R$138)</f>
        <v>262.99146984120546</v>
      </c>
      <c r="T125" s="43">
        <f t="shared" si="366"/>
        <v>443.98479766781901</v>
      </c>
      <c r="U125" s="153">
        <f>SUM(P125:$P$138)</f>
        <v>461.1597717525529</v>
      </c>
      <c r="V125" s="129">
        <f t="shared" si="423"/>
        <v>-5.5799384439414316E-4</v>
      </c>
      <c r="W125" s="43">
        <f t="shared" si="424"/>
        <v>-5.9093326850241602E-4</v>
      </c>
      <c r="X125" s="26">
        <f t="shared" si="367"/>
        <v>1.6824450142219933</v>
      </c>
      <c r="Y125" s="26">
        <f t="shared" si="368"/>
        <v>-2.1558938772477174E-6</v>
      </c>
      <c r="Z125" s="43">
        <f t="shared" si="425"/>
        <v>-5.7389451095398857E-4</v>
      </c>
      <c r="AA125" s="149">
        <f t="shared" si="369"/>
        <v>0.95947032782835595</v>
      </c>
      <c r="AB125" s="150">
        <f t="shared" si="370"/>
        <v>187.05849304915947</v>
      </c>
      <c r="AC125" s="150">
        <f t="shared" si="371"/>
        <v>3.2939424108272912E-5</v>
      </c>
      <c r="AD125" s="26">
        <f t="shared" si="372"/>
        <v>0.68244285832811602</v>
      </c>
      <c r="AE125" s="26">
        <f t="shared" si="426"/>
        <v>1102174.8721891802</v>
      </c>
      <c r="AF125" s="43">
        <f t="shared" si="427"/>
        <v>655103.05708199018</v>
      </c>
      <c r="AG125" s="43">
        <f t="shared" si="428"/>
        <v>1136659.511143364</v>
      </c>
      <c r="AH125" s="27">
        <f t="shared" si="429"/>
        <v>679442.60085664957</v>
      </c>
      <c r="AI125" s="28">
        <f t="shared" si="430"/>
        <v>1222214.5281111442</v>
      </c>
      <c r="AJ125" s="20">
        <f t="shared" si="431"/>
        <v>730583.44178134366</v>
      </c>
      <c r="AK125" s="3">
        <f t="shared" si="432"/>
        <v>63317.231621049788</v>
      </c>
      <c r="AL125" s="3"/>
      <c r="AM125" s="46">
        <f t="shared" si="373"/>
        <v>187.05849304915947</v>
      </c>
      <c r="AN125" s="46">
        <f t="shared" si="374"/>
        <v>63.21875273446355</v>
      </c>
      <c r="AO125" s="46">
        <f t="shared" si="374"/>
        <v>16.788813107634137</v>
      </c>
      <c r="AP125" s="3">
        <f t="shared" si="414"/>
        <v>3.1907985310217075</v>
      </c>
      <c r="AQ125" s="3">
        <f t="shared" si="414"/>
        <v>0.36197756128412645</v>
      </c>
      <c r="AR125" s="16">
        <f t="shared" si="414"/>
        <v>1.4120788545205874E-2</v>
      </c>
      <c r="AS125" s="16">
        <f t="shared" si="414"/>
        <v>-5.5799384439414316E-4</v>
      </c>
      <c r="AT125" s="16">
        <f t="shared" si="414"/>
        <v>3.2939424108272912E-5</v>
      </c>
      <c r="AU125" s="16">
        <f t="shared" si="414"/>
        <v>0</v>
      </c>
      <c r="AV125" s="16">
        <f t="shared" si="414"/>
        <v>0</v>
      </c>
      <c r="AW125" s="16">
        <f t="shared" si="414"/>
        <v>0</v>
      </c>
      <c r="AX125" s="16">
        <f t="shared" si="391"/>
        <v>0</v>
      </c>
      <c r="AY125" s="16">
        <f t="shared" si="391"/>
        <v>0</v>
      </c>
      <c r="AZ125" s="16">
        <f t="shared" si="391"/>
        <v>0</v>
      </c>
      <c r="BA125" s="16">
        <f t="shared" si="391"/>
        <v>0</v>
      </c>
      <c r="BB125" s="16">
        <f t="shared" ref="AX125:BG138" si="469">BA126</f>
        <v>0</v>
      </c>
      <c r="BC125" s="16">
        <f t="shared" si="469"/>
        <v>0</v>
      </c>
      <c r="BD125" s="16">
        <f t="shared" si="469"/>
        <v>0</v>
      </c>
      <c r="BE125" s="16">
        <f t="shared" si="469"/>
        <v>0</v>
      </c>
      <c r="BF125" s="16">
        <f t="shared" si="469"/>
        <v>0</v>
      </c>
      <c r="BG125" s="16">
        <f t="shared" si="469"/>
        <v>0</v>
      </c>
      <c r="BH125" s="172">
        <f t="shared" si="375"/>
        <v>123.83974031469592</v>
      </c>
      <c r="BI125" s="16">
        <f t="shared" si="410"/>
        <v>46.429939626829416</v>
      </c>
      <c r="BJ125" s="16">
        <f t="shared" si="410"/>
        <v>13.59801457661243</v>
      </c>
      <c r="BK125" s="16">
        <f t="shared" si="410"/>
        <v>2.8288209697375808</v>
      </c>
      <c r="BL125" s="16">
        <f t="shared" si="410"/>
        <v>0.34785677273892057</v>
      </c>
      <c r="BM125" s="16">
        <f t="shared" si="410"/>
        <v>1.4678782389600017E-2</v>
      </c>
      <c r="BN125" s="16">
        <f t="shared" si="410"/>
        <v>-5.9093326850241602E-4</v>
      </c>
      <c r="BO125" s="16">
        <f t="shared" si="410"/>
        <v>3.2939424108272912E-5</v>
      </c>
      <c r="BP125" s="16">
        <f t="shared" si="410"/>
        <v>0</v>
      </c>
      <c r="BQ125" s="16">
        <f t="shared" si="410"/>
        <v>0</v>
      </c>
      <c r="BR125" s="16">
        <f t="shared" si="410"/>
        <v>0</v>
      </c>
      <c r="BS125" s="16">
        <f t="shared" si="410"/>
        <v>0</v>
      </c>
      <c r="BT125" s="16">
        <f t="shared" si="410"/>
        <v>0</v>
      </c>
      <c r="BU125" s="16">
        <f t="shared" si="410"/>
        <v>0</v>
      </c>
      <c r="BV125" s="16">
        <f t="shared" si="412"/>
        <v>0</v>
      </c>
      <c r="BW125" s="16">
        <f t="shared" si="412"/>
        <v>0</v>
      </c>
      <c r="BX125" s="16">
        <f t="shared" si="412"/>
        <v>0</v>
      </c>
      <c r="BY125" s="16">
        <f t="shared" si="412"/>
        <v>0</v>
      </c>
      <c r="BZ125" s="16">
        <f t="shared" si="412"/>
        <v>0</v>
      </c>
      <c r="CA125" s="16">
        <f t="shared" si="412"/>
        <v>0</v>
      </c>
      <c r="CB125" s="16">
        <f t="shared" si="412"/>
        <v>0</v>
      </c>
      <c r="CC125" s="18">
        <f t="shared" si="376"/>
        <v>1.510492920670359</v>
      </c>
      <c r="CD125" s="18">
        <f t="shared" si="376"/>
        <v>1.3616065675815963</v>
      </c>
      <c r="CE125" s="18">
        <f t="shared" si="376"/>
        <v>1.2346928301102866</v>
      </c>
      <c r="CF125" s="18">
        <f t="shared" si="376"/>
        <v>1.128157829359612</v>
      </c>
      <c r="CG125" s="18">
        <f t="shared" si="280"/>
        <v>1.0421977766137012</v>
      </c>
      <c r="CH125" s="18">
        <f t="shared" si="280"/>
        <v>1</v>
      </c>
      <c r="CI125" s="18">
        <f t="shared" si="280"/>
        <v>0</v>
      </c>
      <c r="CJ125" s="18">
        <f t="shared" si="280"/>
        <v>17.939999999999998</v>
      </c>
      <c r="CK125" s="18" t="e">
        <f t="shared" si="396"/>
        <v>#DIV/0!</v>
      </c>
      <c r="CL125" s="18" t="e">
        <f t="shared" si="396"/>
        <v>#DIV/0!</v>
      </c>
      <c r="CM125" s="18" t="e">
        <f t="shared" si="396"/>
        <v>#DIV/0!</v>
      </c>
      <c r="CN125" s="18" t="e">
        <f t="shared" si="396"/>
        <v>#DIV/0!</v>
      </c>
      <c r="CO125" s="18" t="e">
        <f t="shared" si="397"/>
        <v>#DIV/0!</v>
      </c>
      <c r="CP125" s="18" t="e">
        <f t="shared" si="397"/>
        <v>#DIV/0!</v>
      </c>
      <c r="CQ125" s="18" t="e">
        <f t="shared" si="397"/>
        <v>#DIV/0!</v>
      </c>
      <c r="CR125" s="18" t="e">
        <f t="shared" si="397"/>
        <v>#DIV/0!</v>
      </c>
      <c r="CS125" s="18" t="e">
        <f t="shared" si="397"/>
        <v>#DIV/0!</v>
      </c>
      <c r="CT125" s="18" t="e">
        <f t="shared" si="397"/>
        <v>#DIV/0!</v>
      </c>
      <c r="CU125" s="18" t="e">
        <f t="shared" si="397"/>
        <v>#DIV/0!</v>
      </c>
      <c r="CV125" s="18" t="e">
        <f t="shared" si="397"/>
        <v>#DIV/0!</v>
      </c>
      <c r="CW125" s="18" t="e">
        <f t="shared" si="411"/>
        <v>#DIV/0!</v>
      </c>
      <c r="CX125" s="17">
        <f t="shared" si="433"/>
        <v>74.492347997893788</v>
      </c>
      <c r="CY125" s="17">
        <f t="shared" si="381"/>
        <v>31.804207522133421</v>
      </c>
      <c r="CZ125" s="17">
        <f t="shared" si="381"/>
        <v>10.488219534665243</v>
      </c>
      <c r="DA125" s="17">
        <f t="shared" si="381"/>
        <v>2.4266874029969574</v>
      </c>
      <c r="DB125" s="17">
        <f t="shared" si="381"/>
        <v>0.32699110167485967</v>
      </c>
      <c r="DC125" s="17">
        <f t="shared" si="381"/>
        <v>1.502964159371307E-2</v>
      </c>
      <c r="DD125" s="17">
        <f t="shared" si="381"/>
        <v>-6.1436662033015137E-4</v>
      </c>
      <c r="DE125" s="17">
        <f t="shared" si="381"/>
        <v>4.0472109376162812E-5</v>
      </c>
      <c r="DF125" s="3" t="e">
        <f>#REF!+$AG$35*0.004*(1+$R$28)*#REF!-S125*#REF!</f>
        <v>#REF!</v>
      </c>
      <c r="DG125" s="19">
        <f t="shared" si="434"/>
        <v>406.91254707458876</v>
      </c>
      <c r="DH125" s="19">
        <f t="shared" si="435"/>
        <v>331.4583932953006</v>
      </c>
      <c r="DI125" s="19">
        <f t="shared" si="436"/>
        <v>282.21199312353912</v>
      </c>
      <c r="DJ125" s="19">
        <f t="shared" si="437"/>
        <v>250.70487864352179</v>
      </c>
      <c r="DK125" s="19">
        <f t="shared" si="438"/>
        <v>229.68761082934722</v>
      </c>
      <c r="DL125" s="19">
        <f t="shared" si="439"/>
        <v>220.08901643602795</v>
      </c>
      <c r="DM125" s="19">
        <f t="shared" si="440"/>
        <v>-6.1436662033015137E-4</v>
      </c>
      <c r="DN125" s="19">
        <f t="shared" si="441"/>
        <v>3948.1273635642592</v>
      </c>
      <c r="DW125" s="26">
        <f t="shared" si="416"/>
        <v>0</v>
      </c>
      <c r="DX125" s="26">
        <f t="shared" si="416"/>
        <v>0</v>
      </c>
      <c r="DY125" s="26">
        <f t="shared" si="416"/>
        <v>0</v>
      </c>
      <c r="DZ125" s="26">
        <f t="shared" si="416"/>
        <v>0</v>
      </c>
      <c r="EA125" s="26">
        <f t="shared" si="416"/>
        <v>0</v>
      </c>
      <c r="EB125" s="26">
        <f t="shared" si="416"/>
        <v>0</v>
      </c>
      <c r="EC125" s="26">
        <f t="shared" si="416"/>
        <v>0</v>
      </c>
      <c r="ED125" s="26">
        <f t="shared" si="416"/>
        <v>0</v>
      </c>
      <c r="EE125" s="26">
        <f t="shared" si="416"/>
        <v>0</v>
      </c>
      <c r="EF125" s="26">
        <f t="shared" si="416"/>
        <v>0</v>
      </c>
      <c r="EG125" s="26">
        <f t="shared" si="416"/>
        <v>0</v>
      </c>
      <c r="EH125" s="26">
        <f t="shared" si="416"/>
        <v>0</v>
      </c>
      <c r="EI125" s="26">
        <f t="shared" si="416"/>
        <v>0</v>
      </c>
      <c r="ER125" s="26" t="e">
        <f t="shared" si="415"/>
        <v>#DIV/0!</v>
      </c>
      <c r="ES125" s="26" t="e">
        <f t="shared" si="413"/>
        <v>#DIV/0!</v>
      </c>
      <c r="ET125" s="26" t="e">
        <f t="shared" si="413"/>
        <v>#DIV/0!</v>
      </c>
      <c r="EU125" s="26" t="e">
        <f t="shared" si="413"/>
        <v>#DIV/0!</v>
      </c>
      <c r="EV125" s="26" t="e">
        <f t="shared" si="413"/>
        <v>#DIV/0!</v>
      </c>
      <c r="EW125" s="26" t="e">
        <f t="shared" si="413"/>
        <v>#DIV/0!</v>
      </c>
      <c r="EX125" s="26" t="e">
        <f t="shared" si="413"/>
        <v>#DIV/0!</v>
      </c>
      <c r="EY125" s="26" t="e">
        <f t="shared" si="413"/>
        <v>#DIV/0!</v>
      </c>
      <c r="EZ125" s="26" t="e">
        <f t="shared" si="413"/>
        <v>#DIV/0!</v>
      </c>
      <c r="FA125" s="26" t="e">
        <f t="shared" si="413"/>
        <v>#DIV/0!</v>
      </c>
      <c r="FB125" s="26" t="e">
        <f t="shared" si="413"/>
        <v>#DIV/0!</v>
      </c>
      <c r="FC125" s="26" t="e">
        <f t="shared" si="413"/>
        <v>#DIV/0!</v>
      </c>
      <c r="FD125" s="26" t="e">
        <f t="shared" si="413"/>
        <v>#DIV/0!</v>
      </c>
      <c r="FM125" s="26" t="e">
        <f t="shared" si="313"/>
        <v>#DIV/0!</v>
      </c>
      <c r="FN125" s="26" t="e">
        <f t="shared" si="313"/>
        <v>#DIV/0!</v>
      </c>
      <c r="FO125" s="26" t="e">
        <f t="shared" si="313"/>
        <v>#DIV/0!</v>
      </c>
      <c r="FP125" s="26" t="e">
        <f t="shared" si="313"/>
        <v>#DIV/0!</v>
      </c>
      <c r="FQ125" s="26" t="e">
        <f t="shared" si="313"/>
        <v>#DIV/0!</v>
      </c>
      <c r="FR125" s="26" t="e">
        <f t="shared" si="313"/>
        <v>#DIV/0!</v>
      </c>
      <c r="FS125" s="26" t="e">
        <f t="shared" si="398"/>
        <v>#DIV/0!</v>
      </c>
      <c r="FT125" s="26" t="e">
        <f t="shared" si="398"/>
        <v>#DIV/0!</v>
      </c>
      <c r="FU125" s="26" t="e">
        <f t="shared" si="398"/>
        <v>#DIV/0!</v>
      </c>
      <c r="FV125" s="26" t="e">
        <f t="shared" si="398"/>
        <v>#DIV/0!</v>
      </c>
      <c r="FW125" s="26" t="e">
        <f t="shared" si="398"/>
        <v>#DIV/0!</v>
      </c>
      <c r="GH125" s="26" t="e">
        <f t="shared" si="314"/>
        <v>#DIV/0!</v>
      </c>
      <c r="GI125" s="26" t="e">
        <f t="shared" si="314"/>
        <v>#DIV/0!</v>
      </c>
      <c r="GJ125" s="26" t="e">
        <f t="shared" si="314"/>
        <v>#DIV/0!</v>
      </c>
      <c r="GK125" s="26" t="e">
        <f t="shared" si="314"/>
        <v>#DIV/0!</v>
      </c>
      <c r="GL125" s="26" t="e">
        <f t="shared" si="314"/>
        <v>#DIV/0!</v>
      </c>
      <c r="GM125" s="26" t="e">
        <f t="shared" si="314"/>
        <v>#DIV/0!</v>
      </c>
      <c r="GN125" s="26" t="e">
        <f t="shared" si="399"/>
        <v>#DIV/0!</v>
      </c>
      <c r="GO125" s="26" t="e">
        <f t="shared" si="399"/>
        <v>#DIV/0!</v>
      </c>
      <c r="GP125" s="26" t="e">
        <f t="shared" si="399"/>
        <v>#DIV/0!</v>
      </c>
      <c r="GQ125" s="26" t="e">
        <f t="shared" si="399"/>
        <v>#DIV/0!</v>
      </c>
      <c r="GR125" s="26" t="e">
        <f t="shared" si="399"/>
        <v>#DIV/0!</v>
      </c>
      <c r="GS125" s="26" t="e">
        <f t="shared" si="399"/>
        <v>#DIV/0!</v>
      </c>
      <c r="GT125" s="26" t="e">
        <f t="shared" si="315"/>
        <v>#DIV/0!</v>
      </c>
      <c r="HC125" s="26" t="e">
        <f t="shared" si="316"/>
        <v>#DIV/0!</v>
      </c>
      <c r="HD125" s="26" t="e">
        <f t="shared" si="316"/>
        <v>#DIV/0!</v>
      </c>
      <c r="HE125" s="26" t="e">
        <f t="shared" si="316"/>
        <v>#DIV/0!</v>
      </c>
      <c r="HF125" s="26" t="e">
        <f t="shared" si="316"/>
        <v>#DIV/0!</v>
      </c>
      <c r="HG125" s="26" t="e">
        <f t="shared" si="316"/>
        <v>#DIV/0!</v>
      </c>
      <c r="HH125" s="26" t="e">
        <f t="shared" si="316"/>
        <v>#DIV/0!</v>
      </c>
      <c r="HI125" s="26" t="e">
        <f t="shared" si="400"/>
        <v>#DIV/0!</v>
      </c>
      <c r="HJ125" s="26" t="e">
        <f t="shared" si="400"/>
        <v>#DIV/0!</v>
      </c>
      <c r="HK125" s="26" t="e">
        <f t="shared" si="400"/>
        <v>#DIV/0!</v>
      </c>
      <c r="HL125" s="26" t="e">
        <f t="shared" si="400"/>
        <v>#DIV/0!</v>
      </c>
      <c r="HM125" s="26" t="e">
        <f t="shared" si="400"/>
        <v>#DIV/0!</v>
      </c>
      <c r="HN125" s="26" t="e">
        <f t="shared" si="400"/>
        <v>#DIV/0!</v>
      </c>
      <c r="HO125" s="26" t="e">
        <f t="shared" si="317"/>
        <v>#DIV/0!</v>
      </c>
      <c r="HP125" s="26">
        <f t="shared" si="442"/>
        <v>1031889.3409120624</v>
      </c>
      <c r="HX125" s="26" t="e">
        <f t="shared" si="443"/>
        <v>#DIV/0!</v>
      </c>
      <c r="HY125" s="26" t="e">
        <f t="shared" si="444"/>
        <v>#DIV/0!</v>
      </c>
      <c r="HZ125" s="26" t="e">
        <f t="shared" si="445"/>
        <v>#DIV/0!</v>
      </c>
      <c r="IA125" s="26" t="e">
        <f t="shared" si="446"/>
        <v>#DIV/0!</v>
      </c>
      <c r="IB125" s="26" t="e">
        <f t="shared" si="447"/>
        <v>#DIV/0!</v>
      </c>
      <c r="IC125" s="26" t="e">
        <f t="shared" si="448"/>
        <v>#DIV/0!</v>
      </c>
      <c r="ID125" s="26" t="e">
        <f t="shared" si="449"/>
        <v>#DIV/0!</v>
      </c>
      <c r="IE125" s="26" t="e">
        <f t="shared" si="450"/>
        <v>#DIV/0!</v>
      </c>
      <c r="IF125" s="26" t="e">
        <f t="shared" si="451"/>
        <v>#DIV/0!</v>
      </c>
      <c r="IG125" s="26" t="e">
        <f t="shared" si="452"/>
        <v>#DIV/0!</v>
      </c>
      <c r="IH125" s="26" t="e">
        <f t="shared" si="453"/>
        <v>#DIV/0!</v>
      </c>
      <c r="II125" s="26" t="e">
        <f t="shared" si="454"/>
        <v>#DIV/0!</v>
      </c>
      <c r="IR125" s="26" t="e">
        <f t="shared" si="455"/>
        <v>#DIV/0!</v>
      </c>
      <c r="IS125" s="26" t="e">
        <f t="shared" si="456"/>
        <v>#DIV/0!</v>
      </c>
      <c r="IT125" s="26" t="e">
        <f t="shared" si="457"/>
        <v>#DIV/0!</v>
      </c>
      <c r="IU125" s="26" t="e">
        <f t="shared" si="458"/>
        <v>#DIV/0!</v>
      </c>
      <c r="IV125" s="26" t="e">
        <f t="shared" si="459"/>
        <v>#DIV/0!</v>
      </c>
      <c r="IW125" s="26" t="e">
        <f t="shared" si="460"/>
        <v>#DIV/0!</v>
      </c>
      <c r="IX125" s="26" t="e">
        <f t="shared" si="461"/>
        <v>#DIV/0!</v>
      </c>
      <c r="IY125" s="26" t="e">
        <f t="shared" si="462"/>
        <v>#DIV/0!</v>
      </c>
      <c r="IZ125" s="26" t="e">
        <f t="shared" si="463"/>
        <v>#DIV/0!</v>
      </c>
      <c r="JA125" s="26" t="e">
        <f t="shared" si="464"/>
        <v>#DIV/0!</v>
      </c>
      <c r="JB125" s="26" t="e">
        <f t="shared" si="465"/>
        <v>#DIV/0!</v>
      </c>
      <c r="JC125" s="26" t="e">
        <f t="shared" si="466"/>
        <v>#DIV/0!</v>
      </c>
      <c r="JI125" s="26">
        <f t="shared" si="343"/>
        <v>0</v>
      </c>
      <c r="JJ125" s="26">
        <f t="shared" si="344"/>
        <v>0</v>
      </c>
      <c r="JK125" s="26" t="e">
        <f t="shared" si="345"/>
        <v>#DIV/0!</v>
      </c>
      <c r="JL125" s="26" t="e">
        <f t="shared" si="346"/>
        <v>#DIV/0!</v>
      </c>
      <c r="JM125" s="26" t="e">
        <f t="shared" si="347"/>
        <v>#DIV/0!</v>
      </c>
      <c r="JN125" s="26" t="e">
        <f t="shared" si="348"/>
        <v>#DIV/0!</v>
      </c>
      <c r="JO125" s="26" t="e">
        <f t="shared" si="349"/>
        <v>#DIV/0!</v>
      </c>
      <c r="JP125" s="26" t="e">
        <f t="shared" si="350"/>
        <v>#DIV/0!</v>
      </c>
      <c r="JQ125" s="26" t="e">
        <f t="shared" si="351"/>
        <v>#DIV/0!</v>
      </c>
      <c r="JR125" s="26" t="e">
        <f t="shared" si="352"/>
        <v>#DIV/0!</v>
      </c>
      <c r="JS125" s="26" t="e">
        <f t="shared" si="353"/>
        <v>#DIV/0!</v>
      </c>
      <c r="JT125" s="26" t="e">
        <f t="shared" si="354"/>
        <v>#DIV/0!</v>
      </c>
      <c r="JU125" s="26" t="e">
        <f t="shared" si="355"/>
        <v>#DIV/0!</v>
      </c>
      <c r="JV125" s="26" t="e">
        <f t="shared" si="356"/>
        <v>#DIV/0!</v>
      </c>
      <c r="JW125" s="26" t="e">
        <f t="shared" si="357"/>
        <v>#DIV/0!</v>
      </c>
      <c r="JY125" s="34">
        <f t="shared" si="467"/>
        <v>0.4759072359471675</v>
      </c>
      <c r="JZ125" s="4">
        <f t="shared" si="468"/>
        <v>0</v>
      </c>
      <c r="KA125" s="165"/>
    </row>
    <row r="126" spans="1:287" ht="15.75" x14ac:dyDescent="0.3">
      <c r="A126" s="34">
        <v>125</v>
      </c>
      <c r="B126" s="34">
        <v>98</v>
      </c>
      <c r="C126" s="2">
        <v>13083</v>
      </c>
      <c r="D126" s="1">
        <f t="shared" si="360"/>
        <v>6405</v>
      </c>
      <c r="E126" s="145">
        <f t="shared" si="361"/>
        <v>0.5104333868378812</v>
      </c>
      <c r="F126" s="146">
        <f t="shared" si="362"/>
        <v>0.4895666131621188</v>
      </c>
      <c r="G126" s="158">
        <f t="shared" si="417"/>
        <v>0.6119582664526485</v>
      </c>
      <c r="H126" s="43">
        <f t="shared" si="363"/>
        <v>2206.6635333499739</v>
      </c>
      <c r="I126" s="43">
        <f t="shared" si="390"/>
        <v>3605.90526236599</v>
      </c>
      <c r="J126" s="43">
        <f t="shared" si="364"/>
        <v>9880.5</v>
      </c>
      <c r="K126" s="147">
        <f>SUM(J126:$J$138)</f>
        <v>17699.5</v>
      </c>
      <c r="L126" s="147">
        <f t="shared" si="365"/>
        <v>1.3528624933119315</v>
      </c>
      <c r="M126" s="43">
        <f t="shared" si="418"/>
        <v>12350.625</v>
      </c>
      <c r="N126" s="148">
        <f t="shared" si="419"/>
        <v>22124.375</v>
      </c>
      <c r="O126" s="147">
        <f t="shared" si="287"/>
        <v>1.6910781166399145</v>
      </c>
      <c r="P126" s="157">
        <f t="shared" si="420"/>
        <v>123.83974031469592</v>
      </c>
      <c r="Q126" s="43">
        <f t="shared" si="421"/>
        <v>16353.75</v>
      </c>
      <c r="R126" s="43">
        <f t="shared" si="422"/>
        <v>74.492347997893788</v>
      </c>
      <c r="S126" s="43">
        <f>SUM(R126:$R$138)</f>
        <v>119.55290930644705</v>
      </c>
      <c r="T126" s="43">
        <f t="shared" si="366"/>
        <v>180.99332782661349</v>
      </c>
      <c r="U126" s="153">
        <f>SUM(P126:$P$138)</f>
        <v>187.05849304915947</v>
      </c>
      <c r="V126" s="129">
        <f t="shared" si="423"/>
        <v>3.2939424108272912E-5</v>
      </c>
      <c r="W126" s="43">
        <f t="shared" si="424"/>
        <v>3.2939424108272912E-5</v>
      </c>
      <c r="X126" s="26">
        <f t="shared" si="367"/>
        <v>1.510488148912384</v>
      </c>
      <c r="Y126" s="26">
        <f t="shared" si="368"/>
        <v>2.659842795581511E-7</v>
      </c>
      <c r="Z126" s="43">
        <f t="shared" si="425"/>
        <v>4.0472109376162812E-5</v>
      </c>
      <c r="AA126" s="149">
        <f t="shared" si="369"/>
        <v>0.96538371713745008</v>
      </c>
      <c r="AB126" s="150">
        <f t="shared" si="370"/>
        <v>63.21875273446355</v>
      </c>
      <c r="AC126" s="150">
        <f t="shared" si="371"/>
        <v>3.2939424108272912E-5</v>
      </c>
      <c r="AD126" s="26">
        <f t="shared" si="372"/>
        <v>0.51048814891238392</v>
      </c>
      <c r="AE126" s="26">
        <f t="shared" si="426"/>
        <v>1122226.0513522308</v>
      </c>
      <c r="AF126" s="43">
        <f t="shared" si="427"/>
        <v>742955.87963419745</v>
      </c>
      <c r="AG126" s="43">
        <f t="shared" si="428"/>
        <v>1157167.1544709597</v>
      </c>
      <c r="AH126" s="27">
        <f t="shared" si="429"/>
        <v>769931.00808542315</v>
      </c>
      <c r="AI126" s="28">
        <f t="shared" si="430"/>
        <v>1244265.7574956557</v>
      </c>
      <c r="AJ126" s="20">
        <f t="shared" si="431"/>
        <v>827882.80439292814</v>
      </c>
      <c r="AK126" s="3">
        <f t="shared" si="432"/>
        <v>71749.843047387098</v>
      </c>
      <c r="AL126" s="3"/>
      <c r="AM126" s="46">
        <f t="shared" si="373"/>
        <v>63.21875273446355</v>
      </c>
      <c r="AN126" s="46">
        <f t="shared" si="374"/>
        <v>16.788813107634137</v>
      </c>
      <c r="AO126" s="46">
        <f t="shared" si="374"/>
        <v>3.1907985310217075</v>
      </c>
      <c r="AP126" s="3">
        <f t="shared" si="414"/>
        <v>0.36197756128412645</v>
      </c>
      <c r="AQ126" s="3">
        <f t="shared" si="414"/>
        <v>1.4120788545205874E-2</v>
      </c>
      <c r="AR126" s="16">
        <f t="shared" si="414"/>
        <v>-5.5799384439414316E-4</v>
      </c>
      <c r="AS126" s="16">
        <f t="shared" si="414"/>
        <v>3.2939424108272912E-5</v>
      </c>
      <c r="AT126" s="16">
        <f t="shared" si="414"/>
        <v>0</v>
      </c>
      <c r="AU126" s="16">
        <f t="shared" si="414"/>
        <v>0</v>
      </c>
      <c r="AV126" s="16">
        <f t="shared" si="414"/>
        <v>0</v>
      </c>
      <c r="AW126" s="16">
        <f t="shared" si="414"/>
        <v>0</v>
      </c>
      <c r="AX126" s="16">
        <f t="shared" si="469"/>
        <v>0</v>
      </c>
      <c r="AY126" s="16">
        <f t="shared" si="469"/>
        <v>0</v>
      </c>
      <c r="AZ126" s="16">
        <f t="shared" si="469"/>
        <v>0</v>
      </c>
      <c r="BA126" s="16">
        <f t="shared" si="469"/>
        <v>0</v>
      </c>
      <c r="BB126" s="16">
        <f t="shared" si="469"/>
        <v>0</v>
      </c>
      <c r="BC126" s="16">
        <f t="shared" si="469"/>
        <v>0</v>
      </c>
      <c r="BD126" s="16">
        <f t="shared" si="469"/>
        <v>0</v>
      </c>
      <c r="BE126" s="16">
        <f t="shared" si="469"/>
        <v>0</v>
      </c>
      <c r="BF126" s="16">
        <f t="shared" si="469"/>
        <v>0</v>
      </c>
      <c r="BG126" s="16">
        <f t="shared" si="469"/>
        <v>0</v>
      </c>
      <c r="BH126" s="172">
        <f t="shared" si="375"/>
        <v>46.429939626829416</v>
      </c>
      <c r="BI126" s="16">
        <f t="shared" si="410"/>
        <v>13.59801457661243</v>
      </c>
      <c r="BJ126" s="16">
        <f t="shared" si="410"/>
        <v>2.8288209697375808</v>
      </c>
      <c r="BK126" s="16">
        <f t="shared" si="410"/>
        <v>0.34785677273892057</v>
      </c>
      <c r="BL126" s="16">
        <f t="shared" si="410"/>
        <v>1.4678782389600017E-2</v>
      </c>
      <c r="BM126" s="16">
        <f t="shared" si="410"/>
        <v>-5.9093326850241602E-4</v>
      </c>
      <c r="BN126" s="16">
        <f t="shared" si="410"/>
        <v>3.2939424108272912E-5</v>
      </c>
      <c r="BO126" s="16">
        <f t="shared" si="410"/>
        <v>0</v>
      </c>
      <c r="BP126" s="16">
        <f t="shared" si="410"/>
        <v>0</v>
      </c>
      <c r="BQ126" s="16">
        <f t="shared" si="410"/>
        <v>0</v>
      </c>
      <c r="BR126" s="16">
        <f t="shared" si="410"/>
        <v>0</v>
      </c>
      <c r="BS126" s="16">
        <f t="shared" si="410"/>
        <v>0</v>
      </c>
      <c r="BT126" s="16">
        <f t="shared" si="410"/>
        <v>0</v>
      </c>
      <c r="BU126" s="16">
        <f t="shared" si="410"/>
        <v>0</v>
      </c>
      <c r="BV126" s="16">
        <f t="shared" si="412"/>
        <v>0</v>
      </c>
      <c r="BW126" s="16">
        <f t="shared" si="412"/>
        <v>0</v>
      </c>
      <c r="BX126" s="16">
        <f t="shared" si="412"/>
        <v>0</v>
      </c>
      <c r="BY126" s="16">
        <f t="shared" si="412"/>
        <v>0</v>
      </c>
      <c r="BZ126" s="16">
        <f t="shared" si="412"/>
        <v>0</v>
      </c>
      <c r="CA126" s="16">
        <f t="shared" si="412"/>
        <v>0</v>
      </c>
      <c r="CB126" s="16">
        <f t="shared" si="412"/>
        <v>0</v>
      </c>
      <c r="CC126" s="18">
        <f t="shared" si="376"/>
        <v>1.3615938401631837</v>
      </c>
      <c r="CD126" s="18">
        <f t="shared" si="376"/>
        <v>1.2346493727904571</v>
      </c>
      <c r="CE126" s="18">
        <f t="shared" si="376"/>
        <v>1.1279489319868816</v>
      </c>
      <c r="CF126" s="18">
        <f t="shared" si="376"/>
        <v>1.040498993336177</v>
      </c>
      <c r="CG126" s="18">
        <f t="shared" si="280"/>
        <v>0.95974235104669881</v>
      </c>
      <c r="CH126" s="18">
        <f t="shared" si="280"/>
        <v>1</v>
      </c>
      <c r="CI126" s="18">
        <f t="shared" si="280"/>
        <v>0</v>
      </c>
      <c r="CJ126" s="18" t="e">
        <f t="shared" si="280"/>
        <v>#DIV/0!</v>
      </c>
      <c r="CK126" s="18" t="e">
        <f t="shared" si="396"/>
        <v>#DIV/0!</v>
      </c>
      <c r="CL126" s="18" t="e">
        <f t="shared" si="396"/>
        <v>#DIV/0!</v>
      </c>
      <c r="CM126" s="18" t="e">
        <f t="shared" si="396"/>
        <v>#DIV/0!</v>
      </c>
      <c r="CN126" s="18" t="e">
        <f t="shared" si="396"/>
        <v>#DIV/0!</v>
      </c>
      <c r="CO126" s="18" t="e">
        <f t="shared" si="397"/>
        <v>#DIV/0!</v>
      </c>
      <c r="CP126" s="18" t="e">
        <f t="shared" si="397"/>
        <v>#DIV/0!</v>
      </c>
      <c r="CQ126" s="18" t="e">
        <f t="shared" si="397"/>
        <v>#DIV/0!</v>
      </c>
      <c r="CR126" s="18" t="e">
        <f t="shared" si="397"/>
        <v>#DIV/0!</v>
      </c>
      <c r="CS126" s="18" t="e">
        <f t="shared" si="397"/>
        <v>#DIV/0!</v>
      </c>
      <c r="CT126" s="18" t="e">
        <f t="shared" si="397"/>
        <v>#DIV/0!</v>
      </c>
      <c r="CU126" s="18" t="e">
        <f t="shared" si="397"/>
        <v>#DIV/0!</v>
      </c>
      <c r="CV126" s="18" t="e">
        <f t="shared" si="397"/>
        <v>#DIV/0!</v>
      </c>
      <c r="CW126" s="18" t="e">
        <f t="shared" si="411"/>
        <v>#DIV/0!</v>
      </c>
      <c r="CX126" s="17">
        <f t="shared" si="433"/>
        <v>31.804207522133421</v>
      </c>
      <c r="CY126" s="17">
        <f t="shared" si="381"/>
        <v>10.488219534665243</v>
      </c>
      <c r="CZ126" s="17">
        <f t="shared" si="381"/>
        <v>2.4266874029969574</v>
      </c>
      <c r="DA126" s="17">
        <f t="shared" si="381"/>
        <v>0.32699110167485967</v>
      </c>
      <c r="DB126" s="17">
        <f t="shared" si="381"/>
        <v>1.502964159371307E-2</v>
      </c>
      <c r="DC126" s="17">
        <f t="shared" si="381"/>
        <v>-6.1436662033015137E-4</v>
      </c>
      <c r="DD126" s="17">
        <f t="shared" si="381"/>
        <v>4.0472109376162812E-5</v>
      </c>
      <c r="DE126" s="17">
        <f t="shared" si="381"/>
        <v>0</v>
      </c>
      <c r="DF126" s="3" t="e">
        <f>#REF!+$AG$35*0.004*(1+$R$28)*#REF!-S126*#REF!</f>
        <v>#REF!</v>
      </c>
      <c r="DG126" s="19">
        <f t="shared" si="434"/>
        <v>331.81446157968344</v>
      </c>
      <c r="DH126" s="19">
        <f t="shared" si="435"/>
        <v>282.52784036496172</v>
      </c>
      <c r="DI126" s="19">
        <f t="shared" si="436"/>
        <v>250.9561942703096</v>
      </c>
      <c r="DJ126" s="19">
        <f t="shared" si="437"/>
        <v>229.58799253217475</v>
      </c>
      <c r="DK126" s="19">
        <f t="shared" si="438"/>
        <v>211.48231017277067</v>
      </c>
      <c r="DL126" s="19">
        <f t="shared" si="439"/>
        <v>220.33693799891807</v>
      </c>
      <c r="DM126" s="19">
        <f t="shared" si="440"/>
        <v>4.0472109376162812E-5</v>
      </c>
      <c r="DN126" s="19" t="e">
        <f t="shared" si="441"/>
        <v>#DIV/0!</v>
      </c>
      <c r="DW126" s="26">
        <f t="shared" si="416"/>
        <v>0</v>
      </c>
      <c r="DX126" s="26">
        <f t="shared" si="416"/>
        <v>0</v>
      </c>
      <c r="DY126" s="26">
        <f t="shared" si="416"/>
        <v>0</v>
      </c>
      <c r="DZ126" s="26">
        <f t="shared" si="416"/>
        <v>0</v>
      </c>
      <c r="EA126" s="26">
        <f t="shared" si="416"/>
        <v>0</v>
      </c>
      <c r="EB126" s="26">
        <f t="shared" si="416"/>
        <v>0</v>
      </c>
      <c r="EC126" s="26">
        <f t="shared" si="416"/>
        <v>0</v>
      </c>
      <c r="ED126" s="26">
        <f t="shared" si="416"/>
        <v>0</v>
      </c>
      <c r="EE126" s="26">
        <f t="shared" si="416"/>
        <v>0</v>
      </c>
      <c r="EF126" s="26">
        <f t="shared" si="416"/>
        <v>0</v>
      </c>
      <c r="EG126" s="26">
        <f t="shared" si="416"/>
        <v>0</v>
      </c>
      <c r="EH126" s="26">
        <f t="shared" si="416"/>
        <v>0</v>
      </c>
      <c r="EI126" s="26">
        <f t="shared" si="416"/>
        <v>0</v>
      </c>
      <c r="ER126" s="26" t="e">
        <f t="shared" si="415"/>
        <v>#DIV/0!</v>
      </c>
      <c r="ES126" s="26" t="e">
        <f t="shared" si="413"/>
        <v>#DIV/0!</v>
      </c>
      <c r="ET126" s="26" t="e">
        <f t="shared" si="413"/>
        <v>#DIV/0!</v>
      </c>
      <c r="EU126" s="26" t="e">
        <f t="shared" si="413"/>
        <v>#DIV/0!</v>
      </c>
      <c r="EV126" s="26" t="e">
        <f t="shared" si="413"/>
        <v>#DIV/0!</v>
      </c>
      <c r="EW126" s="26" t="e">
        <f t="shared" si="413"/>
        <v>#DIV/0!</v>
      </c>
      <c r="EX126" s="26" t="e">
        <f t="shared" si="413"/>
        <v>#DIV/0!</v>
      </c>
      <c r="EY126" s="26" t="e">
        <f t="shared" si="413"/>
        <v>#DIV/0!</v>
      </c>
      <c r="EZ126" s="26" t="e">
        <f t="shared" si="413"/>
        <v>#DIV/0!</v>
      </c>
      <c r="FA126" s="26" t="e">
        <f t="shared" si="413"/>
        <v>#DIV/0!</v>
      </c>
      <c r="FB126" s="26" t="e">
        <f t="shared" si="413"/>
        <v>#DIV/0!</v>
      </c>
      <c r="FC126" s="26" t="e">
        <f t="shared" si="413"/>
        <v>#DIV/0!</v>
      </c>
      <c r="FD126" s="26" t="e">
        <f t="shared" si="413"/>
        <v>#DIV/0!</v>
      </c>
      <c r="FM126" s="26" t="e">
        <f t="shared" si="313"/>
        <v>#DIV/0!</v>
      </c>
      <c r="FN126" s="26" t="e">
        <f t="shared" si="313"/>
        <v>#DIV/0!</v>
      </c>
      <c r="FO126" s="26" t="e">
        <f t="shared" si="313"/>
        <v>#DIV/0!</v>
      </c>
      <c r="FP126" s="26" t="e">
        <f t="shared" si="313"/>
        <v>#DIV/0!</v>
      </c>
      <c r="FQ126" s="26" t="e">
        <f t="shared" si="313"/>
        <v>#DIV/0!</v>
      </c>
      <c r="FR126" s="26" t="e">
        <f t="shared" si="313"/>
        <v>#DIV/0!</v>
      </c>
      <c r="FS126" s="26" t="e">
        <f t="shared" si="398"/>
        <v>#DIV/0!</v>
      </c>
      <c r="FT126" s="26" t="e">
        <f t="shared" si="398"/>
        <v>#DIV/0!</v>
      </c>
      <c r="FU126" s="26" t="e">
        <f t="shared" si="398"/>
        <v>#DIV/0!</v>
      </c>
      <c r="FV126" s="26" t="e">
        <f t="shared" si="398"/>
        <v>#DIV/0!</v>
      </c>
      <c r="FW126" s="26" t="e">
        <f t="shared" si="398"/>
        <v>#DIV/0!</v>
      </c>
      <c r="GH126" s="26" t="e">
        <f t="shared" si="314"/>
        <v>#DIV/0!</v>
      </c>
      <c r="GI126" s="26" t="e">
        <f t="shared" si="314"/>
        <v>#DIV/0!</v>
      </c>
      <c r="GJ126" s="26" t="e">
        <f t="shared" si="314"/>
        <v>#DIV/0!</v>
      </c>
      <c r="GK126" s="26" t="e">
        <f t="shared" si="314"/>
        <v>#DIV/0!</v>
      </c>
      <c r="GL126" s="26" t="e">
        <f t="shared" si="314"/>
        <v>#DIV/0!</v>
      </c>
      <c r="GM126" s="26" t="e">
        <f t="shared" si="314"/>
        <v>#DIV/0!</v>
      </c>
      <c r="GN126" s="26" t="e">
        <f t="shared" si="399"/>
        <v>#DIV/0!</v>
      </c>
      <c r="GO126" s="26" t="e">
        <f t="shared" si="399"/>
        <v>#DIV/0!</v>
      </c>
      <c r="GP126" s="26" t="e">
        <f t="shared" si="399"/>
        <v>#DIV/0!</v>
      </c>
      <c r="GQ126" s="26" t="e">
        <f t="shared" si="399"/>
        <v>#DIV/0!</v>
      </c>
      <c r="GR126" s="26" t="e">
        <f t="shared" si="399"/>
        <v>#DIV/0!</v>
      </c>
      <c r="GS126" s="26" t="e">
        <f t="shared" si="399"/>
        <v>#DIV/0!</v>
      </c>
      <c r="GT126" s="26" t="e">
        <f t="shared" si="315"/>
        <v>#DIV/0!</v>
      </c>
      <c r="HC126" s="26" t="e">
        <f t="shared" si="316"/>
        <v>#DIV/0!</v>
      </c>
      <c r="HD126" s="26" t="e">
        <f t="shared" si="316"/>
        <v>#DIV/0!</v>
      </c>
      <c r="HE126" s="26" t="e">
        <f t="shared" si="316"/>
        <v>#DIV/0!</v>
      </c>
      <c r="HF126" s="26" t="e">
        <f t="shared" si="316"/>
        <v>#DIV/0!</v>
      </c>
      <c r="HG126" s="26" t="e">
        <f t="shared" si="316"/>
        <v>#DIV/0!</v>
      </c>
      <c r="HH126" s="26" t="e">
        <f t="shared" si="316"/>
        <v>#DIV/0!</v>
      </c>
      <c r="HI126" s="26" t="e">
        <f t="shared" si="400"/>
        <v>#DIV/0!</v>
      </c>
      <c r="HJ126" s="26" t="e">
        <f t="shared" si="400"/>
        <v>#DIV/0!</v>
      </c>
      <c r="HK126" s="26" t="e">
        <f t="shared" si="400"/>
        <v>#DIV/0!</v>
      </c>
      <c r="HL126" s="26" t="e">
        <f t="shared" si="400"/>
        <v>#DIV/0!</v>
      </c>
      <c r="HM126" s="26" t="e">
        <f t="shared" si="400"/>
        <v>#DIV/0!</v>
      </c>
      <c r="HN126" s="26" t="e">
        <f t="shared" si="400"/>
        <v>#DIV/0!</v>
      </c>
      <c r="HO126" s="26" t="e">
        <f t="shared" si="317"/>
        <v>#DIV/0!</v>
      </c>
      <c r="HP126" s="26">
        <f t="shared" si="442"/>
        <v>1031889.3409120624</v>
      </c>
      <c r="HX126" s="26" t="e">
        <f t="shared" si="443"/>
        <v>#DIV/0!</v>
      </c>
      <c r="HY126" s="26" t="e">
        <f t="shared" si="444"/>
        <v>#DIV/0!</v>
      </c>
      <c r="HZ126" s="26" t="e">
        <f t="shared" si="445"/>
        <v>#DIV/0!</v>
      </c>
      <c r="IA126" s="26" t="e">
        <f t="shared" si="446"/>
        <v>#DIV/0!</v>
      </c>
      <c r="IB126" s="26" t="e">
        <f t="shared" si="447"/>
        <v>#DIV/0!</v>
      </c>
      <c r="IC126" s="26" t="e">
        <f t="shared" si="448"/>
        <v>#DIV/0!</v>
      </c>
      <c r="ID126" s="26" t="e">
        <f t="shared" si="449"/>
        <v>#DIV/0!</v>
      </c>
      <c r="IE126" s="26" t="e">
        <f t="shared" si="450"/>
        <v>#DIV/0!</v>
      </c>
      <c r="IF126" s="26" t="e">
        <f t="shared" si="451"/>
        <v>#DIV/0!</v>
      </c>
      <c r="IG126" s="26" t="e">
        <f t="shared" si="452"/>
        <v>#DIV/0!</v>
      </c>
      <c r="IH126" s="26" t="e">
        <f t="shared" si="453"/>
        <v>#DIV/0!</v>
      </c>
      <c r="II126" s="26" t="e">
        <f t="shared" si="454"/>
        <v>#DIV/0!</v>
      </c>
      <c r="IR126" s="26" t="e">
        <f t="shared" si="455"/>
        <v>#DIV/0!</v>
      </c>
      <c r="IS126" s="26" t="e">
        <f t="shared" si="456"/>
        <v>#DIV/0!</v>
      </c>
      <c r="IT126" s="26" t="e">
        <f t="shared" si="457"/>
        <v>#DIV/0!</v>
      </c>
      <c r="IU126" s="26" t="e">
        <f t="shared" si="458"/>
        <v>#DIV/0!</v>
      </c>
      <c r="IV126" s="26" t="e">
        <f t="shared" si="459"/>
        <v>#DIV/0!</v>
      </c>
      <c r="IW126" s="26" t="e">
        <f t="shared" si="460"/>
        <v>#DIV/0!</v>
      </c>
      <c r="IX126" s="26" t="e">
        <f t="shared" si="461"/>
        <v>#DIV/0!</v>
      </c>
      <c r="IY126" s="26" t="e">
        <f t="shared" si="462"/>
        <v>#DIV/0!</v>
      </c>
      <c r="IZ126" s="26" t="e">
        <f t="shared" si="463"/>
        <v>#DIV/0!</v>
      </c>
      <c r="JA126" s="26" t="e">
        <f t="shared" si="464"/>
        <v>#DIV/0!</v>
      </c>
      <c r="JB126" s="26" t="e">
        <f t="shared" si="465"/>
        <v>#DIV/0!</v>
      </c>
      <c r="JC126" s="26" t="e">
        <f t="shared" si="466"/>
        <v>#DIV/0!</v>
      </c>
      <c r="JI126" s="26">
        <f t="shared" si="343"/>
        <v>0</v>
      </c>
      <c r="JJ126" s="26">
        <f t="shared" si="344"/>
        <v>0</v>
      </c>
      <c r="JK126" s="26" t="e">
        <f t="shared" si="345"/>
        <v>#DIV/0!</v>
      </c>
      <c r="JL126" s="26" t="e">
        <f t="shared" si="346"/>
        <v>#DIV/0!</v>
      </c>
      <c r="JM126" s="26" t="e">
        <f t="shared" si="347"/>
        <v>#DIV/0!</v>
      </c>
      <c r="JN126" s="26" t="e">
        <f t="shared" si="348"/>
        <v>#DIV/0!</v>
      </c>
      <c r="JO126" s="26" t="e">
        <f t="shared" si="349"/>
        <v>#DIV/0!</v>
      </c>
      <c r="JP126" s="26" t="e">
        <f t="shared" si="350"/>
        <v>#DIV/0!</v>
      </c>
      <c r="JQ126" s="26" t="e">
        <f t="shared" si="351"/>
        <v>#DIV/0!</v>
      </c>
      <c r="JR126" s="26" t="e">
        <f t="shared" si="352"/>
        <v>#DIV/0!</v>
      </c>
      <c r="JS126" s="26" t="e">
        <f t="shared" si="353"/>
        <v>#DIV/0!</v>
      </c>
      <c r="JT126" s="26" t="e">
        <f t="shared" si="354"/>
        <v>#DIV/0!</v>
      </c>
      <c r="JU126" s="26" t="e">
        <f t="shared" si="355"/>
        <v>#DIV/0!</v>
      </c>
      <c r="JV126" s="26" t="e">
        <f t="shared" si="356"/>
        <v>#DIV/0!</v>
      </c>
      <c r="JW126" s="26" t="e">
        <f t="shared" si="357"/>
        <v>#DIV/0!</v>
      </c>
      <c r="JY126" s="34">
        <f t="shared" si="467"/>
        <v>0.53956661316211885</v>
      </c>
      <c r="JZ126" s="4">
        <f t="shared" si="468"/>
        <v>0</v>
      </c>
      <c r="KA126" s="165"/>
    </row>
    <row r="127" spans="1:287" ht="15.75" x14ac:dyDescent="0.3">
      <c r="A127" s="34">
        <v>126</v>
      </c>
      <c r="B127" s="34">
        <v>99</v>
      </c>
      <c r="C127" s="2">
        <v>6678</v>
      </c>
      <c r="D127" s="1">
        <f t="shared" si="360"/>
        <v>3723</v>
      </c>
      <c r="E127" s="145">
        <f t="shared" si="361"/>
        <v>0.44249775381850853</v>
      </c>
      <c r="F127" s="146">
        <f t="shared" si="362"/>
        <v>0.55750224618149147</v>
      </c>
      <c r="G127" s="158">
        <f t="shared" si="417"/>
        <v>0.69687780772686436</v>
      </c>
      <c r="H127" s="43">
        <f t="shared" si="363"/>
        <v>975.10050859662852</v>
      </c>
      <c r="I127" s="43">
        <f t="shared" si="390"/>
        <v>1399.2417290160161</v>
      </c>
      <c r="J127" s="43">
        <f t="shared" si="364"/>
        <v>4816.5</v>
      </c>
      <c r="K127" s="147">
        <f>SUM(J127:$J$138)</f>
        <v>7819</v>
      </c>
      <c r="L127" s="147">
        <f t="shared" si="365"/>
        <v>1.170859538784067</v>
      </c>
      <c r="M127" s="43">
        <f t="shared" si="418"/>
        <v>6020.625</v>
      </c>
      <c r="N127" s="148">
        <f t="shared" si="419"/>
        <v>9773.75</v>
      </c>
      <c r="O127" s="147">
        <f t="shared" si="287"/>
        <v>1.4635744234800838</v>
      </c>
      <c r="P127" s="157">
        <f t="shared" si="420"/>
        <v>46.429939626829416</v>
      </c>
      <c r="Q127" s="43">
        <f t="shared" si="421"/>
        <v>8347.5</v>
      </c>
      <c r="R127" s="43">
        <f t="shared" si="422"/>
        <v>31.804207522133421</v>
      </c>
      <c r="S127" s="43">
        <f>SUM(R127:$R$138)</f>
        <v>45.060561308553233</v>
      </c>
      <c r="T127" s="43">
        <f t="shared" si="366"/>
        <v>61.440418520166425</v>
      </c>
      <c r="U127" s="153">
        <f>SUM(P127:$P$138)</f>
        <v>63.21875273446355</v>
      </c>
      <c r="V127" s="129">
        <f t="shared" si="423"/>
        <v>3.2939424108272912E-5</v>
      </c>
      <c r="W127" s="43">
        <f t="shared" si="424"/>
        <v>3.2939424108272912E-5</v>
      </c>
      <c r="X127" s="26">
        <f t="shared" si="367"/>
        <v>1.3615938401631837</v>
      </c>
      <c r="Y127" s="26">
        <f t="shared" si="368"/>
        <v>7.0944361274247611E-7</v>
      </c>
      <c r="Z127" s="43">
        <f t="shared" si="425"/>
        <v>4.0472109376162812E-5</v>
      </c>
      <c r="AA127" s="149">
        <f t="shared" si="369"/>
        <v>0.97050569521752628</v>
      </c>
      <c r="AB127" s="150">
        <f t="shared" si="370"/>
        <v>16.788813107634137</v>
      </c>
      <c r="AC127" s="150">
        <f t="shared" si="371"/>
        <v>3.2939424108272912E-5</v>
      </c>
      <c r="AD127" s="26">
        <f t="shared" si="372"/>
        <v>0.36159384016318374</v>
      </c>
      <c r="AE127" s="26">
        <f t="shared" si="426"/>
        <v>1139588.1219980523</v>
      </c>
      <c r="AF127" s="43">
        <f t="shared" si="427"/>
        <v>836951.58452059061</v>
      </c>
      <c r="AG127" s="43">
        <f t="shared" si="428"/>
        <v>1174924.472724952</v>
      </c>
      <c r="AH127" s="27">
        <f t="shared" si="429"/>
        <v>866746.58411840803</v>
      </c>
      <c r="AI127" s="28">
        <f t="shared" si="430"/>
        <v>1263359.6480913463</v>
      </c>
      <c r="AJ127" s="20">
        <f t="shared" si="431"/>
        <v>931985.57432086894</v>
      </c>
      <c r="AK127" s="3">
        <f t="shared" si="432"/>
        <v>80772.083107808634</v>
      </c>
      <c r="AL127" s="3"/>
      <c r="AM127" s="46">
        <f t="shared" si="373"/>
        <v>16.788813107634137</v>
      </c>
      <c r="AN127" s="46">
        <f t="shared" si="374"/>
        <v>3.1907985310217075</v>
      </c>
      <c r="AO127" s="46">
        <f t="shared" si="374"/>
        <v>0.36197756128412645</v>
      </c>
      <c r="AP127" s="3">
        <f t="shared" si="414"/>
        <v>1.4120788545205874E-2</v>
      </c>
      <c r="AQ127" s="3">
        <f t="shared" si="414"/>
        <v>-5.5799384439414316E-4</v>
      </c>
      <c r="AR127" s="16">
        <f t="shared" si="414"/>
        <v>3.2939424108272912E-5</v>
      </c>
      <c r="AS127" s="16">
        <f t="shared" si="414"/>
        <v>0</v>
      </c>
      <c r="AT127" s="16">
        <f t="shared" si="414"/>
        <v>0</v>
      </c>
      <c r="AU127" s="16">
        <f t="shared" si="414"/>
        <v>0</v>
      </c>
      <c r="AV127" s="16">
        <f t="shared" si="414"/>
        <v>0</v>
      </c>
      <c r="AW127" s="16">
        <f t="shared" si="414"/>
        <v>0</v>
      </c>
      <c r="AX127" s="16">
        <f t="shared" si="469"/>
        <v>0</v>
      </c>
      <c r="AY127" s="16">
        <f t="shared" si="469"/>
        <v>0</v>
      </c>
      <c r="AZ127" s="16">
        <f t="shared" si="469"/>
        <v>0</v>
      </c>
      <c r="BA127" s="16">
        <f t="shared" si="469"/>
        <v>0</v>
      </c>
      <c r="BB127" s="16">
        <f t="shared" si="469"/>
        <v>0</v>
      </c>
      <c r="BC127" s="16">
        <f t="shared" si="469"/>
        <v>0</v>
      </c>
      <c r="BD127" s="16">
        <f t="shared" si="469"/>
        <v>0</v>
      </c>
      <c r="BE127" s="16">
        <f t="shared" si="469"/>
        <v>0</v>
      </c>
      <c r="BF127" s="16">
        <f t="shared" si="469"/>
        <v>0</v>
      </c>
      <c r="BG127" s="16">
        <f t="shared" si="469"/>
        <v>0</v>
      </c>
      <c r="BH127" s="172">
        <f t="shared" si="375"/>
        <v>13.59801457661243</v>
      </c>
      <c r="BI127" s="16">
        <f t="shared" si="410"/>
        <v>2.8288209697375808</v>
      </c>
      <c r="BJ127" s="16">
        <f t="shared" si="410"/>
        <v>0.34785677273892057</v>
      </c>
      <c r="BK127" s="16">
        <f t="shared" si="410"/>
        <v>1.4678782389600017E-2</v>
      </c>
      <c r="BL127" s="16">
        <f t="shared" si="410"/>
        <v>-5.9093326850241602E-4</v>
      </c>
      <c r="BM127" s="16">
        <f t="shared" si="410"/>
        <v>3.2939424108272912E-5</v>
      </c>
      <c r="BN127" s="16">
        <f t="shared" si="410"/>
        <v>0</v>
      </c>
      <c r="BO127" s="16">
        <f t="shared" si="410"/>
        <v>0</v>
      </c>
      <c r="BP127" s="16">
        <f t="shared" si="410"/>
        <v>0</v>
      </c>
      <c r="BQ127" s="16">
        <f t="shared" si="410"/>
        <v>0</v>
      </c>
      <c r="BR127" s="16">
        <f t="shared" si="410"/>
        <v>0</v>
      </c>
      <c r="BS127" s="16">
        <f t="shared" si="410"/>
        <v>0</v>
      </c>
      <c r="BT127" s="16">
        <f t="shared" si="410"/>
        <v>0</v>
      </c>
      <c r="BU127" s="16">
        <f t="shared" si="410"/>
        <v>0</v>
      </c>
      <c r="BV127" s="16">
        <f t="shared" si="412"/>
        <v>0</v>
      </c>
      <c r="BW127" s="16">
        <f t="shared" si="412"/>
        <v>0</v>
      </c>
      <c r="BX127" s="16">
        <f t="shared" si="412"/>
        <v>0</v>
      </c>
      <c r="BY127" s="16">
        <f t="shared" si="412"/>
        <v>0</v>
      </c>
      <c r="BZ127" s="16">
        <f t="shared" si="412"/>
        <v>0</v>
      </c>
      <c r="CA127" s="16">
        <f t="shared" si="412"/>
        <v>0</v>
      </c>
      <c r="CB127" s="16">
        <f t="shared" si="412"/>
        <v>0</v>
      </c>
      <c r="CC127" s="18">
        <f t="shared" si="376"/>
        <v>1.2346493727904571</v>
      </c>
      <c r="CD127" s="18">
        <f t="shared" si="376"/>
        <v>1.1279489319868816</v>
      </c>
      <c r="CE127" s="18">
        <f t="shared" si="376"/>
        <v>1.040498993336177</v>
      </c>
      <c r="CF127" s="18">
        <f t="shared" si="376"/>
        <v>0.95974235104669881</v>
      </c>
      <c r="CG127" s="18">
        <f t="shared" si="280"/>
        <v>1</v>
      </c>
      <c r="CH127" s="18">
        <f t="shared" si="280"/>
        <v>0</v>
      </c>
      <c r="CI127" s="18" t="e">
        <f t="shared" si="280"/>
        <v>#DIV/0!</v>
      </c>
      <c r="CJ127" s="18" t="e">
        <f t="shared" si="280"/>
        <v>#DIV/0!</v>
      </c>
      <c r="CK127" s="18" t="e">
        <f t="shared" si="396"/>
        <v>#DIV/0!</v>
      </c>
      <c r="CL127" s="18" t="e">
        <f t="shared" si="396"/>
        <v>#DIV/0!</v>
      </c>
      <c r="CM127" s="18" t="e">
        <f t="shared" si="396"/>
        <v>#DIV/0!</v>
      </c>
      <c r="CN127" s="18" t="e">
        <f t="shared" si="396"/>
        <v>#DIV/0!</v>
      </c>
      <c r="CO127" s="18" t="e">
        <f t="shared" si="397"/>
        <v>#DIV/0!</v>
      </c>
      <c r="CP127" s="18" t="e">
        <f t="shared" si="397"/>
        <v>#DIV/0!</v>
      </c>
      <c r="CQ127" s="18" t="e">
        <f t="shared" si="397"/>
        <v>#DIV/0!</v>
      </c>
      <c r="CR127" s="18" t="e">
        <f t="shared" si="397"/>
        <v>#DIV/0!</v>
      </c>
      <c r="CS127" s="18" t="e">
        <f t="shared" si="397"/>
        <v>#DIV/0!</v>
      </c>
      <c r="CT127" s="18" t="e">
        <f t="shared" si="397"/>
        <v>#DIV/0!</v>
      </c>
      <c r="CU127" s="18" t="e">
        <f t="shared" si="397"/>
        <v>#DIV/0!</v>
      </c>
      <c r="CV127" s="18" t="e">
        <f t="shared" si="397"/>
        <v>#DIV/0!</v>
      </c>
      <c r="CW127" s="18" t="e">
        <f t="shared" si="411"/>
        <v>#DIV/0!</v>
      </c>
      <c r="CX127" s="17">
        <f t="shared" si="433"/>
        <v>10.488219534665243</v>
      </c>
      <c r="CY127" s="17">
        <f t="shared" si="381"/>
        <v>2.4266874029969574</v>
      </c>
      <c r="CZ127" s="17">
        <f t="shared" si="381"/>
        <v>0.32699110167485967</v>
      </c>
      <c r="DA127" s="17">
        <f t="shared" si="381"/>
        <v>1.502964159371307E-2</v>
      </c>
      <c r="DB127" s="17">
        <f t="shared" si="381"/>
        <v>-6.1436662033015137E-4</v>
      </c>
      <c r="DC127" s="17">
        <f t="shared" si="381"/>
        <v>4.0472109376162812E-5</v>
      </c>
      <c r="DD127" s="17">
        <f t="shared" si="381"/>
        <v>0</v>
      </c>
      <c r="DE127" s="17">
        <f t="shared" si="381"/>
        <v>0</v>
      </c>
      <c r="DF127" s="3" t="e">
        <f>#REF!+$AG$35*0.004*(1+$R$28)*#REF!-S127*#REF!</f>
        <v>#REF!</v>
      </c>
      <c r="DG127" s="19">
        <f t="shared" si="434"/>
        <v>282.80872765702901</v>
      </c>
      <c r="DH127" s="19">
        <f t="shared" si="435"/>
        <v>251.21280681803231</v>
      </c>
      <c r="DI127" s="19">
        <f t="shared" si="436"/>
        <v>229.82470989588782</v>
      </c>
      <c r="DJ127" s="19">
        <f t="shared" si="437"/>
        <v>211.70065510211569</v>
      </c>
      <c r="DK127" s="19">
        <f t="shared" si="438"/>
        <v>220.56444169207791</v>
      </c>
      <c r="DL127" s="19">
        <f t="shared" si="439"/>
        <v>4.0472109376162812E-5</v>
      </c>
      <c r="DM127" s="19" t="e">
        <f t="shared" si="440"/>
        <v>#DIV/0!</v>
      </c>
      <c r="DN127" s="19" t="e">
        <f t="shared" si="441"/>
        <v>#DIV/0!</v>
      </c>
      <c r="DW127" s="26">
        <f t="shared" si="416"/>
        <v>0</v>
      </c>
      <c r="DX127" s="26">
        <f t="shared" si="416"/>
        <v>0</v>
      </c>
      <c r="DY127" s="26">
        <f t="shared" si="416"/>
        <v>0</v>
      </c>
      <c r="DZ127" s="26">
        <f t="shared" si="416"/>
        <v>0</v>
      </c>
      <c r="EA127" s="26">
        <f t="shared" si="416"/>
        <v>0</v>
      </c>
      <c r="EB127" s="26">
        <f t="shared" si="416"/>
        <v>0</v>
      </c>
      <c r="EC127" s="26">
        <f t="shared" si="416"/>
        <v>0</v>
      </c>
      <c r="ED127" s="26">
        <f t="shared" si="416"/>
        <v>0</v>
      </c>
      <c r="EE127" s="26">
        <f t="shared" si="416"/>
        <v>0</v>
      </c>
      <c r="EF127" s="26">
        <f t="shared" si="416"/>
        <v>0</v>
      </c>
      <c r="EG127" s="26">
        <f t="shared" si="416"/>
        <v>0</v>
      </c>
      <c r="EH127" s="26">
        <f t="shared" si="416"/>
        <v>0</v>
      </c>
      <c r="EI127" s="26">
        <f t="shared" si="416"/>
        <v>0</v>
      </c>
      <c r="ER127" s="26" t="e">
        <f t="shared" si="415"/>
        <v>#DIV/0!</v>
      </c>
      <c r="ES127" s="26" t="e">
        <f t="shared" si="413"/>
        <v>#DIV/0!</v>
      </c>
      <c r="ET127" s="26" t="e">
        <f t="shared" si="413"/>
        <v>#DIV/0!</v>
      </c>
      <c r="EU127" s="26" t="e">
        <f t="shared" si="413"/>
        <v>#DIV/0!</v>
      </c>
      <c r="EV127" s="26" t="e">
        <f t="shared" si="413"/>
        <v>#DIV/0!</v>
      </c>
      <c r="EW127" s="26" t="e">
        <f t="shared" si="413"/>
        <v>#DIV/0!</v>
      </c>
      <c r="EX127" s="26" t="e">
        <f t="shared" si="413"/>
        <v>#DIV/0!</v>
      </c>
      <c r="EY127" s="26" t="e">
        <f t="shared" si="413"/>
        <v>#DIV/0!</v>
      </c>
      <c r="EZ127" s="26" t="e">
        <f t="shared" si="413"/>
        <v>#DIV/0!</v>
      </c>
      <c r="FA127" s="26" t="e">
        <f t="shared" si="413"/>
        <v>#DIV/0!</v>
      </c>
      <c r="FB127" s="26" t="e">
        <f t="shared" si="413"/>
        <v>#DIV/0!</v>
      </c>
      <c r="FC127" s="26" t="e">
        <f t="shared" si="413"/>
        <v>#DIV/0!</v>
      </c>
      <c r="FD127" s="26" t="e">
        <f t="shared" si="413"/>
        <v>#DIV/0!</v>
      </c>
      <c r="FM127" s="26" t="e">
        <f t="shared" si="313"/>
        <v>#DIV/0!</v>
      </c>
      <c r="FN127" s="26" t="e">
        <f t="shared" si="313"/>
        <v>#DIV/0!</v>
      </c>
      <c r="FO127" s="26" t="e">
        <f t="shared" si="313"/>
        <v>#DIV/0!</v>
      </c>
      <c r="FP127" s="26" t="e">
        <f t="shared" si="313"/>
        <v>#DIV/0!</v>
      </c>
      <c r="FQ127" s="26" t="e">
        <f t="shared" si="313"/>
        <v>#DIV/0!</v>
      </c>
      <c r="FR127" s="26" t="e">
        <f t="shared" si="313"/>
        <v>#DIV/0!</v>
      </c>
      <c r="FS127" s="26" t="e">
        <f t="shared" si="398"/>
        <v>#DIV/0!</v>
      </c>
      <c r="FT127" s="26" t="e">
        <f t="shared" si="398"/>
        <v>#DIV/0!</v>
      </c>
      <c r="FU127" s="26" t="e">
        <f t="shared" si="398"/>
        <v>#DIV/0!</v>
      </c>
      <c r="FV127" s="26" t="e">
        <f t="shared" si="398"/>
        <v>#DIV/0!</v>
      </c>
      <c r="FW127" s="26" t="e">
        <f t="shared" si="398"/>
        <v>#DIV/0!</v>
      </c>
      <c r="GH127" s="26" t="e">
        <f t="shared" si="314"/>
        <v>#DIV/0!</v>
      </c>
      <c r="GI127" s="26" t="e">
        <f t="shared" si="314"/>
        <v>#DIV/0!</v>
      </c>
      <c r="GJ127" s="26" t="e">
        <f t="shared" si="314"/>
        <v>#DIV/0!</v>
      </c>
      <c r="GK127" s="26" t="e">
        <f t="shared" si="314"/>
        <v>#DIV/0!</v>
      </c>
      <c r="GL127" s="26" t="e">
        <f t="shared" si="314"/>
        <v>#DIV/0!</v>
      </c>
      <c r="GM127" s="26" t="e">
        <f t="shared" si="314"/>
        <v>#DIV/0!</v>
      </c>
      <c r="GN127" s="26" t="e">
        <f t="shared" si="399"/>
        <v>#DIV/0!</v>
      </c>
      <c r="GO127" s="26" t="e">
        <f t="shared" si="399"/>
        <v>#DIV/0!</v>
      </c>
      <c r="GP127" s="26" t="e">
        <f t="shared" si="399"/>
        <v>#DIV/0!</v>
      </c>
      <c r="GQ127" s="26" t="e">
        <f t="shared" si="399"/>
        <v>#DIV/0!</v>
      </c>
      <c r="GR127" s="26" t="e">
        <f t="shared" si="399"/>
        <v>#DIV/0!</v>
      </c>
      <c r="GS127" s="26" t="e">
        <f t="shared" si="399"/>
        <v>#DIV/0!</v>
      </c>
      <c r="GT127" s="26" t="e">
        <f t="shared" si="315"/>
        <v>#DIV/0!</v>
      </c>
      <c r="HC127" s="26" t="e">
        <f t="shared" si="316"/>
        <v>#DIV/0!</v>
      </c>
      <c r="HD127" s="26" t="e">
        <f t="shared" si="316"/>
        <v>#DIV/0!</v>
      </c>
      <c r="HE127" s="26" t="e">
        <f t="shared" si="316"/>
        <v>#DIV/0!</v>
      </c>
      <c r="HF127" s="26" t="e">
        <f t="shared" si="316"/>
        <v>#DIV/0!</v>
      </c>
      <c r="HG127" s="26" t="e">
        <f t="shared" si="316"/>
        <v>#DIV/0!</v>
      </c>
      <c r="HH127" s="26" t="e">
        <f t="shared" si="316"/>
        <v>#DIV/0!</v>
      </c>
      <c r="HI127" s="26" t="e">
        <f t="shared" si="400"/>
        <v>#DIV/0!</v>
      </c>
      <c r="HJ127" s="26" t="e">
        <f t="shared" si="400"/>
        <v>#DIV/0!</v>
      </c>
      <c r="HK127" s="26" t="e">
        <f t="shared" si="400"/>
        <v>#DIV/0!</v>
      </c>
      <c r="HL127" s="26" t="e">
        <f t="shared" si="400"/>
        <v>#DIV/0!</v>
      </c>
      <c r="HM127" s="26" t="e">
        <f t="shared" si="400"/>
        <v>#DIV/0!</v>
      </c>
      <c r="HN127" s="26" t="e">
        <f t="shared" si="400"/>
        <v>#DIV/0!</v>
      </c>
      <c r="HO127" s="26" t="e">
        <f t="shared" si="317"/>
        <v>#DIV/0!</v>
      </c>
      <c r="HP127" s="26">
        <f t="shared" si="442"/>
        <v>1031889.3409120624</v>
      </c>
      <c r="HX127" s="26" t="e">
        <f t="shared" si="443"/>
        <v>#DIV/0!</v>
      </c>
      <c r="HY127" s="26" t="e">
        <f t="shared" si="444"/>
        <v>#DIV/0!</v>
      </c>
      <c r="HZ127" s="26" t="e">
        <f t="shared" si="445"/>
        <v>#DIV/0!</v>
      </c>
      <c r="IA127" s="26" t="e">
        <f t="shared" si="446"/>
        <v>#DIV/0!</v>
      </c>
      <c r="IB127" s="26" t="e">
        <f t="shared" si="447"/>
        <v>#DIV/0!</v>
      </c>
      <c r="IC127" s="26" t="e">
        <f t="shared" si="448"/>
        <v>#DIV/0!</v>
      </c>
      <c r="ID127" s="26" t="e">
        <f t="shared" si="449"/>
        <v>#DIV/0!</v>
      </c>
      <c r="IE127" s="26" t="e">
        <f t="shared" si="450"/>
        <v>#DIV/0!</v>
      </c>
      <c r="IF127" s="26" t="e">
        <f t="shared" si="451"/>
        <v>#DIV/0!</v>
      </c>
      <c r="IG127" s="26" t="e">
        <f t="shared" si="452"/>
        <v>#DIV/0!</v>
      </c>
      <c r="IH127" s="26" t="e">
        <f t="shared" si="453"/>
        <v>#DIV/0!</v>
      </c>
      <c r="II127" s="26" t="e">
        <f t="shared" si="454"/>
        <v>#DIV/0!</v>
      </c>
      <c r="IR127" s="26" t="e">
        <f t="shared" si="455"/>
        <v>#DIV/0!</v>
      </c>
      <c r="IS127" s="26" t="e">
        <f t="shared" si="456"/>
        <v>#DIV/0!</v>
      </c>
      <c r="IT127" s="26" t="e">
        <f t="shared" si="457"/>
        <v>#DIV/0!</v>
      </c>
      <c r="IU127" s="26" t="e">
        <f t="shared" si="458"/>
        <v>#DIV/0!</v>
      </c>
      <c r="IV127" s="26" t="e">
        <f t="shared" si="459"/>
        <v>#DIV/0!</v>
      </c>
      <c r="IW127" s="26" t="e">
        <f t="shared" si="460"/>
        <v>#DIV/0!</v>
      </c>
      <c r="IX127" s="26" t="e">
        <f t="shared" si="461"/>
        <v>#DIV/0!</v>
      </c>
      <c r="IY127" s="26" t="e">
        <f t="shared" si="462"/>
        <v>#DIV/0!</v>
      </c>
      <c r="IZ127" s="26" t="e">
        <f t="shared" si="463"/>
        <v>#DIV/0!</v>
      </c>
      <c r="JA127" s="26" t="e">
        <f t="shared" si="464"/>
        <v>#DIV/0!</v>
      </c>
      <c r="JB127" s="26" t="e">
        <f t="shared" si="465"/>
        <v>#DIV/0!</v>
      </c>
      <c r="JC127" s="26" t="e">
        <f t="shared" si="466"/>
        <v>#DIV/0!</v>
      </c>
      <c r="JI127" s="26">
        <f t="shared" si="343"/>
        <v>0</v>
      </c>
      <c r="JJ127" s="26">
        <f t="shared" si="344"/>
        <v>0</v>
      </c>
      <c r="JK127" s="26" t="e">
        <f t="shared" si="345"/>
        <v>#DIV/0!</v>
      </c>
      <c r="JL127" s="26" t="e">
        <f t="shared" si="346"/>
        <v>#DIV/0!</v>
      </c>
      <c r="JM127" s="26" t="e">
        <f t="shared" si="347"/>
        <v>#DIV/0!</v>
      </c>
      <c r="JN127" s="26" t="e">
        <f t="shared" si="348"/>
        <v>#DIV/0!</v>
      </c>
      <c r="JO127" s="26" t="e">
        <f t="shared" si="349"/>
        <v>#DIV/0!</v>
      </c>
      <c r="JP127" s="26" t="e">
        <f t="shared" si="350"/>
        <v>#DIV/0!</v>
      </c>
      <c r="JQ127" s="26" t="e">
        <f t="shared" si="351"/>
        <v>#DIV/0!</v>
      </c>
      <c r="JR127" s="26" t="e">
        <f t="shared" si="352"/>
        <v>#DIV/0!</v>
      </c>
      <c r="JS127" s="26" t="e">
        <f t="shared" si="353"/>
        <v>#DIV/0!</v>
      </c>
      <c r="JT127" s="26" t="e">
        <f t="shared" si="354"/>
        <v>#DIV/0!</v>
      </c>
      <c r="JU127" s="26" t="e">
        <f t="shared" si="355"/>
        <v>#DIV/0!</v>
      </c>
      <c r="JV127" s="26" t="e">
        <f t="shared" si="356"/>
        <v>#DIV/0!</v>
      </c>
      <c r="JW127" s="26" t="e">
        <f t="shared" si="357"/>
        <v>#DIV/0!</v>
      </c>
      <c r="JY127" s="34">
        <f t="shared" si="467"/>
        <v>0.60750224618149151</v>
      </c>
      <c r="JZ127" s="4">
        <f t="shared" si="468"/>
        <v>0</v>
      </c>
      <c r="KA127" s="165"/>
    </row>
    <row r="128" spans="1:287" ht="15.75" x14ac:dyDescent="0.3">
      <c r="A128" s="34">
        <v>127</v>
      </c>
      <c r="B128" s="34">
        <v>100</v>
      </c>
      <c r="C128" s="2">
        <v>2955</v>
      </c>
      <c r="D128" s="1">
        <f t="shared" si="360"/>
        <v>1855</v>
      </c>
      <c r="E128" s="145">
        <f t="shared" si="361"/>
        <v>0.37225042301184436</v>
      </c>
      <c r="F128" s="146">
        <f t="shared" si="362"/>
        <v>0.62774957698815559</v>
      </c>
      <c r="G128" s="158">
        <f t="shared" si="417"/>
        <v>0.78468697123519449</v>
      </c>
      <c r="H128" s="43">
        <f t="shared" si="363"/>
        <v>332.81808962688825</v>
      </c>
      <c r="I128" s="43">
        <f t="shared" si="390"/>
        <v>424.14122041938754</v>
      </c>
      <c r="J128" s="43">
        <f t="shared" si="364"/>
        <v>2027.5</v>
      </c>
      <c r="K128" s="147">
        <f>SUM(J128:$J$138)</f>
        <v>3002.5</v>
      </c>
      <c r="L128" s="147">
        <f t="shared" si="365"/>
        <v>1.0160744500846024</v>
      </c>
      <c r="M128" s="43">
        <f t="shared" si="418"/>
        <v>2534.375</v>
      </c>
      <c r="N128" s="148">
        <f t="shared" si="419"/>
        <v>3753.125</v>
      </c>
      <c r="O128" s="147">
        <f t="shared" si="287"/>
        <v>1.2700930626057529</v>
      </c>
      <c r="P128" s="157">
        <f t="shared" si="420"/>
        <v>13.59801457661243</v>
      </c>
      <c r="Q128" s="43">
        <f t="shared" si="421"/>
        <v>3693.75</v>
      </c>
      <c r="R128" s="43">
        <f t="shared" si="422"/>
        <v>10.488219534665243</v>
      </c>
      <c r="S128" s="43">
        <f>SUM(R128:$R$138)</f>
        <v>13.256353786419821</v>
      </c>
      <c r="T128" s="43">
        <f t="shared" si="366"/>
        <v>16.379857211613199</v>
      </c>
      <c r="U128" s="153">
        <f>SUM(P128:$P$138)</f>
        <v>16.788813107634137</v>
      </c>
      <c r="V128" s="129">
        <f t="shared" si="423"/>
        <v>3.2939424108272912E-5</v>
      </c>
      <c r="W128" s="43">
        <f t="shared" si="424"/>
        <v>3.2939424108272912E-5</v>
      </c>
      <c r="X128" s="26">
        <f t="shared" si="367"/>
        <v>1.2346493727904571</v>
      </c>
      <c r="Y128" s="26">
        <f t="shared" si="368"/>
        <v>2.4223701131285934E-6</v>
      </c>
      <c r="Z128" s="43">
        <f t="shared" si="425"/>
        <v>4.0472109376162812E-5</v>
      </c>
      <c r="AA128" s="149">
        <f t="shared" si="369"/>
        <v>0.97487123871085668</v>
      </c>
      <c r="AB128" s="150">
        <f t="shared" si="370"/>
        <v>3.1907985310217075</v>
      </c>
      <c r="AC128" s="150">
        <f t="shared" si="371"/>
        <v>3.2939424108272912E-5</v>
      </c>
      <c r="AD128" s="26">
        <f t="shared" si="372"/>
        <v>0.23464937279045706</v>
      </c>
      <c r="AE128" s="26">
        <f t="shared" si="426"/>
        <v>1154390.7697508519</v>
      </c>
      <c r="AF128" s="43">
        <f t="shared" si="427"/>
        <v>934994.82135708618</v>
      </c>
      <c r="AG128" s="43">
        <f t="shared" si="428"/>
        <v>1190064.1033573982</v>
      </c>
      <c r="AH128" s="27">
        <f t="shared" si="429"/>
        <v>967731.11805999849</v>
      </c>
      <c r="AI128" s="28">
        <f t="shared" si="430"/>
        <v>1279638.8208144067</v>
      </c>
      <c r="AJ128" s="20">
        <f t="shared" si="431"/>
        <v>1040571.0946881705</v>
      </c>
      <c r="AK128" s="3">
        <f t="shared" si="432"/>
        <v>90182.828206308113</v>
      </c>
      <c r="AL128" s="3"/>
      <c r="AM128" s="46">
        <f t="shared" si="373"/>
        <v>3.1907985310217075</v>
      </c>
      <c r="AN128" s="46">
        <f t="shared" si="374"/>
        <v>0.36197756128412645</v>
      </c>
      <c r="AO128" s="46">
        <f t="shared" si="374"/>
        <v>1.4120788545205874E-2</v>
      </c>
      <c r="AP128" s="3">
        <f t="shared" si="414"/>
        <v>-5.5799384439414316E-4</v>
      </c>
      <c r="AQ128" s="3">
        <f t="shared" si="414"/>
        <v>3.2939424108272912E-5</v>
      </c>
      <c r="AR128" s="16">
        <f t="shared" si="414"/>
        <v>0</v>
      </c>
      <c r="AS128" s="16">
        <f t="shared" si="414"/>
        <v>0</v>
      </c>
      <c r="AT128" s="16">
        <f t="shared" si="414"/>
        <v>0</v>
      </c>
      <c r="AU128" s="16">
        <f t="shared" si="414"/>
        <v>0</v>
      </c>
      <c r="AV128" s="16">
        <f t="shared" si="414"/>
        <v>0</v>
      </c>
      <c r="AW128" s="16">
        <f t="shared" si="414"/>
        <v>0</v>
      </c>
      <c r="AX128" s="16">
        <f t="shared" si="469"/>
        <v>0</v>
      </c>
      <c r="AY128" s="16">
        <f t="shared" si="469"/>
        <v>0</v>
      </c>
      <c r="AZ128" s="16">
        <f t="shared" si="469"/>
        <v>0</v>
      </c>
      <c r="BA128" s="16">
        <f t="shared" si="469"/>
        <v>0</v>
      </c>
      <c r="BB128" s="16">
        <f t="shared" si="469"/>
        <v>0</v>
      </c>
      <c r="BC128" s="16">
        <f t="shared" si="469"/>
        <v>0</v>
      </c>
      <c r="BD128" s="16">
        <f t="shared" si="469"/>
        <v>0</v>
      </c>
      <c r="BE128" s="16">
        <f t="shared" si="469"/>
        <v>0</v>
      </c>
      <c r="BF128" s="16">
        <f t="shared" si="469"/>
        <v>0</v>
      </c>
      <c r="BG128" s="16">
        <f t="shared" si="469"/>
        <v>0</v>
      </c>
      <c r="BH128" s="172">
        <f t="shared" si="375"/>
        <v>2.8288209697375808</v>
      </c>
      <c r="BI128" s="16">
        <f t="shared" si="410"/>
        <v>0.34785677273892057</v>
      </c>
      <c r="BJ128" s="16">
        <f t="shared" si="410"/>
        <v>1.4678782389600017E-2</v>
      </c>
      <c r="BK128" s="16">
        <f t="shared" si="410"/>
        <v>-5.9093326850241602E-4</v>
      </c>
      <c r="BL128" s="16">
        <f t="shared" si="410"/>
        <v>3.2939424108272912E-5</v>
      </c>
      <c r="BM128" s="16">
        <f t="shared" si="410"/>
        <v>0</v>
      </c>
      <c r="BN128" s="16">
        <f t="shared" si="410"/>
        <v>0</v>
      </c>
      <c r="BO128" s="16">
        <f t="shared" si="410"/>
        <v>0</v>
      </c>
      <c r="BP128" s="16">
        <f t="shared" si="410"/>
        <v>0</v>
      </c>
      <c r="BQ128" s="16">
        <f t="shared" si="410"/>
        <v>0</v>
      </c>
      <c r="BR128" s="16">
        <f t="shared" si="410"/>
        <v>0</v>
      </c>
      <c r="BS128" s="16">
        <f t="shared" si="410"/>
        <v>0</v>
      </c>
      <c r="BT128" s="16">
        <f t="shared" si="410"/>
        <v>0</v>
      </c>
      <c r="BU128" s="16">
        <f t="shared" si="410"/>
        <v>0</v>
      </c>
      <c r="BV128" s="16">
        <f t="shared" si="412"/>
        <v>0</v>
      </c>
      <c r="BW128" s="16">
        <f t="shared" si="412"/>
        <v>0</v>
      </c>
      <c r="BX128" s="16">
        <f t="shared" si="412"/>
        <v>0</v>
      </c>
      <c r="BY128" s="16">
        <f t="shared" si="412"/>
        <v>0</v>
      </c>
      <c r="BZ128" s="16">
        <f t="shared" si="412"/>
        <v>0</v>
      </c>
      <c r="CA128" s="16">
        <f t="shared" si="412"/>
        <v>0</v>
      </c>
      <c r="CB128" s="16">
        <f t="shared" si="412"/>
        <v>0</v>
      </c>
      <c r="CC128" s="18">
        <f t="shared" si="376"/>
        <v>1.1279489319868816</v>
      </c>
      <c r="CD128" s="18">
        <f t="shared" si="376"/>
        <v>1.040498993336177</v>
      </c>
      <c r="CE128" s="18">
        <f t="shared" si="376"/>
        <v>0.95974235104669881</v>
      </c>
      <c r="CF128" s="18">
        <f t="shared" si="376"/>
        <v>1</v>
      </c>
      <c r="CG128" s="18">
        <f t="shared" si="280"/>
        <v>0</v>
      </c>
      <c r="CH128" s="18" t="e">
        <f t="shared" si="280"/>
        <v>#DIV/0!</v>
      </c>
      <c r="CI128" s="18" t="e">
        <f t="shared" si="280"/>
        <v>#DIV/0!</v>
      </c>
      <c r="CJ128" s="18" t="e">
        <f t="shared" si="280"/>
        <v>#DIV/0!</v>
      </c>
      <c r="CK128" s="18" t="e">
        <f t="shared" si="396"/>
        <v>#DIV/0!</v>
      </c>
      <c r="CL128" s="18" t="e">
        <f t="shared" si="396"/>
        <v>#DIV/0!</v>
      </c>
      <c r="CM128" s="18" t="e">
        <f t="shared" si="396"/>
        <v>#DIV/0!</v>
      </c>
      <c r="CN128" s="18" t="e">
        <f t="shared" si="396"/>
        <v>#DIV/0!</v>
      </c>
      <c r="CO128" s="18" t="e">
        <f t="shared" si="397"/>
        <v>#DIV/0!</v>
      </c>
      <c r="CP128" s="18" t="e">
        <f t="shared" si="397"/>
        <v>#DIV/0!</v>
      </c>
      <c r="CQ128" s="18" t="e">
        <f t="shared" si="397"/>
        <v>#DIV/0!</v>
      </c>
      <c r="CR128" s="18" t="e">
        <f t="shared" si="397"/>
        <v>#DIV/0!</v>
      </c>
      <c r="CS128" s="18" t="e">
        <f t="shared" si="397"/>
        <v>#DIV/0!</v>
      </c>
      <c r="CT128" s="18" t="e">
        <f t="shared" si="397"/>
        <v>#DIV/0!</v>
      </c>
      <c r="CU128" s="18" t="e">
        <f t="shared" si="397"/>
        <v>#DIV/0!</v>
      </c>
      <c r="CV128" s="18" t="e">
        <f t="shared" si="397"/>
        <v>#DIV/0!</v>
      </c>
      <c r="CW128" s="18" t="e">
        <f t="shared" si="411"/>
        <v>#DIV/0!</v>
      </c>
      <c r="CX128" s="17">
        <f t="shared" si="433"/>
        <v>2.4266874029969574</v>
      </c>
      <c r="CY128" s="17">
        <f t="shared" si="381"/>
        <v>0.32699110167485967</v>
      </c>
      <c r="CZ128" s="17">
        <f t="shared" si="381"/>
        <v>1.502964159371307E-2</v>
      </c>
      <c r="DA128" s="17">
        <f t="shared" si="381"/>
        <v>-6.1436662033015137E-4</v>
      </c>
      <c r="DB128" s="17">
        <f t="shared" si="381"/>
        <v>4.0472109376162812E-5</v>
      </c>
      <c r="DC128" s="17">
        <f t="shared" si="381"/>
        <v>0</v>
      </c>
      <c r="DD128" s="17">
        <f t="shared" si="381"/>
        <v>0</v>
      </c>
      <c r="DE128" s="17">
        <f t="shared" si="381"/>
        <v>0</v>
      </c>
      <c r="DF128" s="3" t="e">
        <f>#REF!+$AG$35*0.004*(1+$R$28)*#REF!-S128*#REF!</f>
        <v>#REF!</v>
      </c>
      <c r="DG128" s="19">
        <f t="shared" si="434"/>
        <v>251.43104391238987</v>
      </c>
      <c r="DH128" s="19">
        <f t="shared" si="435"/>
        <v>230.02602705710686</v>
      </c>
      <c r="DI128" s="19">
        <f t="shared" si="436"/>
        <v>211.88634735828495</v>
      </c>
      <c r="DJ128" s="19">
        <f t="shared" si="437"/>
        <v>220.75792305295224</v>
      </c>
      <c r="DK128" s="19">
        <f t="shared" si="438"/>
        <v>4.0472109376162812E-5</v>
      </c>
      <c r="DL128" s="19" t="e">
        <f t="shared" si="439"/>
        <v>#DIV/0!</v>
      </c>
      <c r="DM128" s="19" t="e">
        <f t="shared" si="440"/>
        <v>#DIV/0!</v>
      </c>
      <c r="DN128" s="19" t="e">
        <f t="shared" si="441"/>
        <v>#DIV/0!</v>
      </c>
      <c r="DW128" s="26">
        <f t="shared" si="416"/>
        <v>0</v>
      </c>
      <c r="DX128" s="26">
        <f t="shared" si="416"/>
        <v>0</v>
      </c>
      <c r="DY128" s="26">
        <f t="shared" si="416"/>
        <v>0</v>
      </c>
      <c r="DZ128" s="26">
        <f t="shared" si="416"/>
        <v>0</v>
      </c>
      <c r="EA128" s="26">
        <f t="shared" si="416"/>
        <v>0</v>
      </c>
      <c r="EB128" s="26">
        <f t="shared" si="416"/>
        <v>0</v>
      </c>
      <c r="EC128" s="26">
        <f t="shared" si="416"/>
        <v>0</v>
      </c>
      <c r="ED128" s="26">
        <f t="shared" si="416"/>
        <v>0</v>
      </c>
      <c r="EE128" s="26">
        <f t="shared" si="416"/>
        <v>0</v>
      </c>
      <c r="EF128" s="26">
        <f t="shared" si="416"/>
        <v>0</v>
      </c>
      <c r="EG128" s="26">
        <f t="shared" si="416"/>
        <v>0</v>
      </c>
      <c r="EH128" s="26">
        <f t="shared" si="416"/>
        <v>0</v>
      </c>
      <c r="EI128" s="26">
        <f t="shared" si="416"/>
        <v>0</v>
      </c>
      <c r="ER128" s="26" t="e">
        <f t="shared" si="415"/>
        <v>#DIV/0!</v>
      </c>
      <c r="ES128" s="26" t="e">
        <f t="shared" si="413"/>
        <v>#DIV/0!</v>
      </c>
      <c r="ET128" s="26" t="e">
        <f t="shared" si="413"/>
        <v>#DIV/0!</v>
      </c>
      <c r="EU128" s="26" t="e">
        <f t="shared" si="413"/>
        <v>#DIV/0!</v>
      </c>
      <c r="EV128" s="26" t="e">
        <f t="shared" si="413"/>
        <v>#DIV/0!</v>
      </c>
      <c r="EW128" s="26" t="e">
        <f t="shared" si="413"/>
        <v>#DIV/0!</v>
      </c>
      <c r="EX128" s="26" t="e">
        <f t="shared" si="413"/>
        <v>#DIV/0!</v>
      </c>
      <c r="EY128" s="26" t="e">
        <f t="shared" si="413"/>
        <v>#DIV/0!</v>
      </c>
      <c r="EZ128" s="26" t="e">
        <f t="shared" si="413"/>
        <v>#DIV/0!</v>
      </c>
      <c r="FA128" s="26" t="e">
        <f t="shared" si="413"/>
        <v>#DIV/0!</v>
      </c>
      <c r="FB128" s="26" t="e">
        <f t="shared" si="413"/>
        <v>#DIV/0!</v>
      </c>
      <c r="FC128" s="26" t="e">
        <f t="shared" si="413"/>
        <v>#DIV/0!</v>
      </c>
      <c r="FD128" s="26" t="e">
        <f t="shared" si="413"/>
        <v>#DIV/0!</v>
      </c>
      <c r="FM128" s="26" t="e">
        <f t="shared" si="313"/>
        <v>#DIV/0!</v>
      </c>
      <c r="FN128" s="26" t="e">
        <f t="shared" si="313"/>
        <v>#DIV/0!</v>
      </c>
      <c r="FO128" s="26" t="e">
        <f t="shared" si="313"/>
        <v>#DIV/0!</v>
      </c>
      <c r="FP128" s="26" t="e">
        <f t="shared" si="313"/>
        <v>#DIV/0!</v>
      </c>
      <c r="FQ128" s="26" t="e">
        <f t="shared" si="313"/>
        <v>#DIV/0!</v>
      </c>
      <c r="FR128" s="26" t="e">
        <f t="shared" si="313"/>
        <v>#DIV/0!</v>
      </c>
      <c r="FS128" s="26" t="e">
        <f t="shared" si="398"/>
        <v>#DIV/0!</v>
      </c>
      <c r="FT128" s="26" t="e">
        <f t="shared" si="398"/>
        <v>#DIV/0!</v>
      </c>
      <c r="FU128" s="26" t="e">
        <f t="shared" si="398"/>
        <v>#DIV/0!</v>
      </c>
      <c r="FV128" s="26" t="e">
        <f t="shared" si="398"/>
        <v>#DIV/0!</v>
      </c>
      <c r="FW128" s="26" t="e">
        <f t="shared" si="398"/>
        <v>#DIV/0!</v>
      </c>
      <c r="GH128" s="26" t="e">
        <f t="shared" si="314"/>
        <v>#DIV/0!</v>
      </c>
      <c r="GI128" s="26" t="e">
        <f t="shared" si="314"/>
        <v>#DIV/0!</v>
      </c>
      <c r="GJ128" s="26" t="e">
        <f t="shared" si="314"/>
        <v>#DIV/0!</v>
      </c>
      <c r="GK128" s="26" t="e">
        <f t="shared" si="314"/>
        <v>#DIV/0!</v>
      </c>
      <c r="GL128" s="26" t="e">
        <f t="shared" si="314"/>
        <v>#DIV/0!</v>
      </c>
      <c r="GM128" s="26" t="e">
        <f t="shared" si="314"/>
        <v>#DIV/0!</v>
      </c>
      <c r="GN128" s="26" t="e">
        <f t="shared" si="399"/>
        <v>#DIV/0!</v>
      </c>
      <c r="GO128" s="26" t="e">
        <f t="shared" si="399"/>
        <v>#DIV/0!</v>
      </c>
      <c r="GP128" s="26" t="e">
        <f t="shared" si="399"/>
        <v>#DIV/0!</v>
      </c>
      <c r="GQ128" s="26" t="e">
        <f t="shared" si="399"/>
        <v>#DIV/0!</v>
      </c>
      <c r="GR128" s="26" t="e">
        <f t="shared" si="399"/>
        <v>#DIV/0!</v>
      </c>
      <c r="GS128" s="26" t="e">
        <f t="shared" si="399"/>
        <v>#DIV/0!</v>
      </c>
      <c r="GT128" s="26" t="e">
        <f t="shared" si="315"/>
        <v>#DIV/0!</v>
      </c>
      <c r="HC128" s="26" t="e">
        <f t="shared" si="316"/>
        <v>#DIV/0!</v>
      </c>
      <c r="HD128" s="26" t="e">
        <f t="shared" si="316"/>
        <v>#DIV/0!</v>
      </c>
      <c r="HE128" s="26" t="e">
        <f t="shared" si="316"/>
        <v>#DIV/0!</v>
      </c>
      <c r="HF128" s="26" t="e">
        <f t="shared" si="316"/>
        <v>#DIV/0!</v>
      </c>
      <c r="HG128" s="26" t="e">
        <f t="shared" si="316"/>
        <v>#DIV/0!</v>
      </c>
      <c r="HH128" s="26" t="e">
        <f t="shared" si="316"/>
        <v>#DIV/0!</v>
      </c>
      <c r="HI128" s="26" t="e">
        <f t="shared" si="400"/>
        <v>#DIV/0!</v>
      </c>
      <c r="HJ128" s="26" t="e">
        <f t="shared" si="400"/>
        <v>#DIV/0!</v>
      </c>
      <c r="HK128" s="26" t="e">
        <f t="shared" si="400"/>
        <v>#DIV/0!</v>
      </c>
      <c r="HL128" s="26" t="e">
        <f t="shared" si="400"/>
        <v>#DIV/0!</v>
      </c>
      <c r="HM128" s="26" t="e">
        <f t="shared" si="400"/>
        <v>#DIV/0!</v>
      </c>
      <c r="HN128" s="26" t="e">
        <f t="shared" si="400"/>
        <v>#DIV/0!</v>
      </c>
      <c r="HO128" s="26" t="e">
        <f t="shared" si="317"/>
        <v>#DIV/0!</v>
      </c>
      <c r="HP128" s="26">
        <f t="shared" si="442"/>
        <v>1031889.3409120624</v>
      </c>
      <c r="HX128" s="26" t="e">
        <f t="shared" si="443"/>
        <v>#DIV/0!</v>
      </c>
      <c r="HY128" s="26" t="e">
        <f t="shared" si="444"/>
        <v>#DIV/0!</v>
      </c>
      <c r="HZ128" s="26" t="e">
        <f t="shared" si="445"/>
        <v>#DIV/0!</v>
      </c>
      <c r="IA128" s="26" t="e">
        <f t="shared" si="446"/>
        <v>#DIV/0!</v>
      </c>
      <c r="IB128" s="26" t="e">
        <f t="shared" si="447"/>
        <v>#DIV/0!</v>
      </c>
      <c r="IC128" s="26" t="e">
        <f t="shared" si="448"/>
        <v>#DIV/0!</v>
      </c>
      <c r="ID128" s="26" t="e">
        <f t="shared" si="449"/>
        <v>#DIV/0!</v>
      </c>
      <c r="IE128" s="26" t="e">
        <f t="shared" si="450"/>
        <v>#DIV/0!</v>
      </c>
      <c r="IF128" s="26" t="e">
        <f t="shared" si="451"/>
        <v>#DIV/0!</v>
      </c>
      <c r="IG128" s="26" t="e">
        <f t="shared" si="452"/>
        <v>#DIV/0!</v>
      </c>
      <c r="IH128" s="26" t="e">
        <f t="shared" si="453"/>
        <v>#DIV/0!</v>
      </c>
      <c r="II128" s="26" t="e">
        <f t="shared" si="454"/>
        <v>#DIV/0!</v>
      </c>
      <c r="IR128" s="26" t="e">
        <f t="shared" si="455"/>
        <v>#DIV/0!</v>
      </c>
      <c r="IS128" s="26" t="e">
        <f t="shared" si="456"/>
        <v>#DIV/0!</v>
      </c>
      <c r="IT128" s="26" t="e">
        <f t="shared" si="457"/>
        <v>#DIV/0!</v>
      </c>
      <c r="IU128" s="26" t="e">
        <f t="shared" si="458"/>
        <v>#DIV/0!</v>
      </c>
      <c r="IV128" s="26" t="e">
        <f t="shared" si="459"/>
        <v>#DIV/0!</v>
      </c>
      <c r="IW128" s="26" t="e">
        <f t="shared" si="460"/>
        <v>#DIV/0!</v>
      </c>
      <c r="IX128" s="26" t="e">
        <f t="shared" si="461"/>
        <v>#DIV/0!</v>
      </c>
      <c r="IY128" s="26" t="e">
        <f t="shared" si="462"/>
        <v>#DIV/0!</v>
      </c>
      <c r="IZ128" s="26" t="e">
        <f t="shared" si="463"/>
        <v>#DIV/0!</v>
      </c>
      <c r="JA128" s="26" t="e">
        <f t="shared" si="464"/>
        <v>#DIV/0!</v>
      </c>
      <c r="JB128" s="26" t="e">
        <f t="shared" si="465"/>
        <v>#DIV/0!</v>
      </c>
      <c r="JC128" s="26" t="e">
        <f t="shared" si="466"/>
        <v>#DIV/0!</v>
      </c>
      <c r="JI128" s="26">
        <f t="shared" si="343"/>
        <v>0</v>
      </c>
      <c r="JJ128" s="26">
        <f t="shared" si="344"/>
        <v>0</v>
      </c>
      <c r="JK128" s="26" t="e">
        <f t="shared" si="345"/>
        <v>#DIV/0!</v>
      </c>
      <c r="JL128" s="26" t="e">
        <f t="shared" si="346"/>
        <v>#DIV/0!</v>
      </c>
      <c r="JM128" s="26" t="e">
        <f t="shared" si="347"/>
        <v>#DIV/0!</v>
      </c>
      <c r="JN128" s="26" t="e">
        <f t="shared" si="348"/>
        <v>#DIV/0!</v>
      </c>
      <c r="JO128" s="26" t="e">
        <f t="shared" si="349"/>
        <v>#DIV/0!</v>
      </c>
      <c r="JP128" s="26" t="e">
        <f t="shared" si="350"/>
        <v>#DIV/0!</v>
      </c>
      <c r="JQ128" s="26" t="e">
        <f t="shared" si="351"/>
        <v>#DIV/0!</v>
      </c>
      <c r="JR128" s="26" t="e">
        <f t="shared" si="352"/>
        <v>#DIV/0!</v>
      </c>
      <c r="JS128" s="26" t="e">
        <f t="shared" si="353"/>
        <v>#DIV/0!</v>
      </c>
      <c r="JT128" s="26" t="e">
        <f t="shared" si="354"/>
        <v>#DIV/0!</v>
      </c>
      <c r="JU128" s="26" t="e">
        <f t="shared" si="355"/>
        <v>#DIV/0!</v>
      </c>
      <c r="JV128" s="26" t="e">
        <f t="shared" si="356"/>
        <v>#DIV/0!</v>
      </c>
      <c r="JW128" s="26" t="e">
        <f t="shared" si="357"/>
        <v>#DIV/0!</v>
      </c>
      <c r="JY128" s="34">
        <f t="shared" si="467"/>
        <v>0.67774957698815563</v>
      </c>
      <c r="JZ128" s="4">
        <f t="shared" si="468"/>
        <v>0</v>
      </c>
      <c r="KA128" s="165"/>
    </row>
    <row r="129" spans="1:287" ht="15.75" x14ac:dyDescent="0.3">
      <c r="A129" s="34">
        <v>128</v>
      </c>
      <c r="B129" s="34">
        <v>101</v>
      </c>
      <c r="C129" s="2">
        <v>1100</v>
      </c>
      <c r="D129" s="1">
        <f t="shared" si="360"/>
        <v>768</v>
      </c>
      <c r="E129" s="145">
        <f t="shared" si="361"/>
        <v>0.30181818181818182</v>
      </c>
      <c r="F129" s="146">
        <f t="shared" si="362"/>
        <v>0.69818181818181824</v>
      </c>
      <c r="G129" s="158">
        <f t="shared" si="417"/>
        <v>0.8727272727272728</v>
      </c>
      <c r="H129" s="43">
        <f t="shared" si="363"/>
        <v>79.70018687345393</v>
      </c>
      <c r="I129" s="43">
        <f t="shared" si="390"/>
        <v>91.323130792499285</v>
      </c>
      <c r="J129" s="43">
        <f t="shared" si="364"/>
        <v>716</v>
      </c>
      <c r="K129" s="147">
        <f>SUM(J129:$J$138)</f>
        <v>975</v>
      </c>
      <c r="L129" s="147">
        <f t="shared" si="365"/>
        <v>0.88636363636363635</v>
      </c>
      <c r="M129" s="43">
        <f t="shared" si="418"/>
        <v>895</v>
      </c>
      <c r="N129" s="148">
        <f t="shared" si="419"/>
        <v>1218.75</v>
      </c>
      <c r="O129" s="147">
        <f t="shared" si="287"/>
        <v>1.1079545454545454</v>
      </c>
      <c r="P129" s="157">
        <f t="shared" si="420"/>
        <v>2.8288209697375808</v>
      </c>
      <c r="Q129" s="43">
        <f t="shared" si="421"/>
        <v>1375</v>
      </c>
      <c r="R129" s="43">
        <f t="shared" si="422"/>
        <v>2.4266874029969574</v>
      </c>
      <c r="S129" s="43">
        <f>SUM(R129:$R$138)</f>
        <v>2.7681342517545762</v>
      </c>
      <c r="T129" s="43">
        <f t="shared" si="366"/>
        <v>3.1235034251933764</v>
      </c>
      <c r="U129" s="153">
        <f>SUM(P129:$P$138)</f>
        <v>3.1907985310217075</v>
      </c>
      <c r="V129" s="129">
        <f t="shared" si="423"/>
        <v>3.2939424108272912E-5</v>
      </c>
      <c r="W129" s="43">
        <f t="shared" si="424"/>
        <v>3.2939424108272912E-5</v>
      </c>
      <c r="X129" s="26">
        <f t="shared" si="367"/>
        <v>1.1279489319868816</v>
      </c>
      <c r="Y129" s="26">
        <f t="shared" si="368"/>
        <v>1.1644223675041754E-5</v>
      </c>
      <c r="Z129" s="43">
        <f t="shared" si="425"/>
        <v>4.0472109376162812E-5</v>
      </c>
      <c r="AA129" s="149">
        <f t="shared" si="369"/>
        <v>0.97853268526285908</v>
      </c>
      <c r="AB129" s="150">
        <f t="shared" si="370"/>
        <v>0.36197756128412645</v>
      </c>
      <c r="AC129" s="150">
        <f t="shared" si="371"/>
        <v>3.2939424108272912E-5</v>
      </c>
      <c r="AD129" s="26">
        <f t="shared" si="372"/>
        <v>0.12794893198688159</v>
      </c>
      <c r="AE129" s="26">
        <f t="shared" si="426"/>
        <v>1166833.2551459947</v>
      </c>
      <c r="AF129" s="43">
        <f t="shared" si="427"/>
        <v>1034473.4784141498</v>
      </c>
      <c r="AG129" s="43">
        <f t="shared" si="428"/>
        <v>1202789.8456110368</v>
      </c>
      <c r="AH129" s="27">
        <f t="shared" si="429"/>
        <v>1070194.1348287743</v>
      </c>
      <c r="AI129" s="28">
        <f t="shared" si="430"/>
        <v>1293322.4146355235</v>
      </c>
      <c r="AJ129" s="20">
        <f t="shared" si="431"/>
        <v>1150746.3815363166</v>
      </c>
      <c r="AK129" s="3">
        <f t="shared" si="432"/>
        <v>99731.353066480777</v>
      </c>
      <c r="AL129" s="3"/>
      <c r="AM129" s="46">
        <f t="shared" si="373"/>
        <v>0.36197756128412645</v>
      </c>
      <c r="AN129" s="46">
        <f t="shared" si="374"/>
        <v>1.4120788545205874E-2</v>
      </c>
      <c r="AO129" s="46">
        <f t="shared" si="374"/>
        <v>-5.5799384439414316E-4</v>
      </c>
      <c r="AP129" s="3">
        <f t="shared" si="414"/>
        <v>3.2939424108272912E-5</v>
      </c>
      <c r="AQ129" s="3">
        <f t="shared" si="414"/>
        <v>0</v>
      </c>
      <c r="AR129" s="16">
        <f t="shared" si="414"/>
        <v>0</v>
      </c>
      <c r="AS129" s="16">
        <f t="shared" si="414"/>
        <v>0</v>
      </c>
      <c r="AT129" s="16">
        <f t="shared" si="414"/>
        <v>0</v>
      </c>
      <c r="AU129" s="16">
        <f t="shared" si="414"/>
        <v>0</v>
      </c>
      <c r="AV129" s="16">
        <f t="shared" si="414"/>
        <v>0</v>
      </c>
      <c r="AW129" s="16">
        <f t="shared" si="414"/>
        <v>0</v>
      </c>
      <c r="AX129" s="16">
        <f t="shared" si="469"/>
        <v>0</v>
      </c>
      <c r="AY129" s="16">
        <f t="shared" si="469"/>
        <v>0</v>
      </c>
      <c r="AZ129" s="16">
        <f t="shared" si="469"/>
        <v>0</v>
      </c>
      <c r="BA129" s="16">
        <f t="shared" si="469"/>
        <v>0</v>
      </c>
      <c r="BB129" s="16">
        <f t="shared" si="469"/>
        <v>0</v>
      </c>
      <c r="BC129" s="16">
        <f t="shared" si="469"/>
        <v>0</v>
      </c>
      <c r="BD129" s="16">
        <f t="shared" si="469"/>
        <v>0</v>
      </c>
      <c r="BE129" s="16">
        <f t="shared" si="469"/>
        <v>0</v>
      </c>
      <c r="BF129" s="16">
        <f t="shared" si="469"/>
        <v>0</v>
      </c>
      <c r="BG129" s="16">
        <f t="shared" si="469"/>
        <v>0</v>
      </c>
      <c r="BH129" s="172">
        <f t="shared" si="375"/>
        <v>0.34785677273892057</v>
      </c>
      <c r="BI129" s="16">
        <f t="shared" si="410"/>
        <v>1.4678782389600017E-2</v>
      </c>
      <c r="BJ129" s="16">
        <f t="shared" si="410"/>
        <v>-5.9093326850241602E-4</v>
      </c>
      <c r="BK129" s="16">
        <f t="shared" ref="BI129:BX138" si="470">BJ130</f>
        <v>3.2939424108272912E-5</v>
      </c>
      <c r="BL129" s="16">
        <f t="shared" si="470"/>
        <v>0</v>
      </c>
      <c r="BM129" s="16">
        <f t="shared" si="470"/>
        <v>0</v>
      </c>
      <c r="BN129" s="16">
        <f t="shared" si="470"/>
        <v>0</v>
      </c>
      <c r="BO129" s="16">
        <f t="shared" si="470"/>
        <v>0</v>
      </c>
      <c r="BP129" s="16">
        <f t="shared" si="470"/>
        <v>0</v>
      </c>
      <c r="BQ129" s="16">
        <f t="shared" si="470"/>
        <v>0</v>
      </c>
      <c r="BR129" s="16">
        <f t="shared" si="470"/>
        <v>0</v>
      </c>
      <c r="BS129" s="16">
        <f t="shared" si="470"/>
        <v>0</v>
      </c>
      <c r="BT129" s="16">
        <f t="shared" si="470"/>
        <v>0</v>
      </c>
      <c r="BU129" s="16">
        <f t="shared" si="470"/>
        <v>0</v>
      </c>
      <c r="BV129" s="16">
        <f t="shared" si="412"/>
        <v>0</v>
      </c>
      <c r="BW129" s="16">
        <f t="shared" si="412"/>
        <v>0</v>
      </c>
      <c r="BX129" s="16">
        <f t="shared" si="412"/>
        <v>0</v>
      </c>
      <c r="BY129" s="16">
        <f t="shared" si="412"/>
        <v>0</v>
      </c>
      <c r="BZ129" s="16">
        <f t="shared" si="412"/>
        <v>0</v>
      </c>
      <c r="CA129" s="16">
        <f t="shared" si="412"/>
        <v>0</v>
      </c>
      <c r="CB129" s="16">
        <f t="shared" si="412"/>
        <v>0</v>
      </c>
      <c r="CC129" s="18">
        <f t="shared" si="376"/>
        <v>1.040498993336177</v>
      </c>
      <c r="CD129" s="18">
        <f t="shared" si="376"/>
        <v>0.95974235104669881</v>
      </c>
      <c r="CE129" s="18">
        <f t="shared" si="376"/>
        <v>1</v>
      </c>
      <c r="CF129" s="18">
        <f t="shared" si="376"/>
        <v>0</v>
      </c>
      <c r="CG129" s="18" t="e">
        <f t="shared" si="280"/>
        <v>#DIV/0!</v>
      </c>
      <c r="CH129" s="18" t="e">
        <f t="shared" si="280"/>
        <v>#DIV/0!</v>
      </c>
      <c r="CI129" s="18" t="e">
        <f t="shared" si="280"/>
        <v>#DIV/0!</v>
      </c>
      <c r="CJ129" s="18" t="e">
        <f t="shared" si="280"/>
        <v>#DIV/0!</v>
      </c>
      <c r="CK129" s="18" t="e">
        <f t="shared" si="396"/>
        <v>#DIV/0!</v>
      </c>
      <c r="CL129" s="18" t="e">
        <f t="shared" si="396"/>
        <v>#DIV/0!</v>
      </c>
      <c r="CM129" s="18" t="e">
        <f t="shared" si="396"/>
        <v>#DIV/0!</v>
      </c>
      <c r="CN129" s="18" t="e">
        <f t="shared" si="396"/>
        <v>#DIV/0!</v>
      </c>
      <c r="CO129" s="18" t="e">
        <f t="shared" si="397"/>
        <v>#DIV/0!</v>
      </c>
      <c r="CP129" s="18" t="e">
        <f t="shared" si="397"/>
        <v>#DIV/0!</v>
      </c>
      <c r="CQ129" s="18" t="e">
        <f t="shared" si="397"/>
        <v>#DIV/0!</v>
      </c>
      <c r="CR129" s="18" t="e">
        <f t="shared" si="397"/>
        <v>#DIV/0!</v>
      </c>
      <c r="CS129" s="18" t="e">
        <f t="shared" si="397"/>
        <v>#DIV/0!</v>
      </c>
      <c r="CT129" s="18" t="e">
        <f t="shared" si="397"/>
        <v>#DIV/0!</v>
      </c>
      <c r="CU129" s="18" t="e">
        <f t="shared" si="397"/>
        <v>#DIV/0!</v>
      </c>
      <c r="CV129" s="18" t="e">
        <f t="shared" si="397"/>
        <v>#DIV/0!</v>
      </c>
      <c r="CW129" s="18" t="e">
        <f t="shared" si="411"/>
        <v>#DIV/0!</v>
      </c>
      <c r="CX129" s="17">
        <f t="shared" si="433"/>
        <v>0.32699110167485967</v>
      </c>
      <c r="CY129" s="17">
        <f t="shared" si="381"/>
        <v>1.502964159371307E-2</v>
      </c>
      <c r="CZ129" s="17">
        <f t="shared" si="381"/>
        <v>-6.1436662033015137E-4</v>
      </c>
      <c r="DA129" s="17">
        <f t="shared" si="381"/>
        <v>4.0472109376162812E-5</v>
      </c>
      <c r="DB129" s="17">
        <f t="shared" ref="CY129:DE134" si="471">DA130</f>
        <v>0</v>
      </c>
      <c r="DC129" s="17">
        <f t="shared" si="471"/>
        <v>0</v>
      </c>
      <c r="DD129" s="17">
        <f t="shared" si="471"/>
        <v>0</v>
      </c>
      <c r="DE129" s="17">
        <f t="shared" si="471"/>
        <v>0</v>
      </c>
      <c r="DF129" s="3" t="e">
        <f>#REF!+$AG$35*0.004*(1+$R$28)*#REF!-S129*#REF!</f>
        <v>#REF!</v>
      </c>
      <c r="DG129" s="19">
        <f t="shared" si="434"/>
        <v>230.19473202098371</v>
      </c>
      <c r="DH129" s="19">
        <f t="shared" si="435"/>
        <v>212.04195855993086</v>
      </c>
      <c r="DI129" s="19">
        <f t="shared" si="436"/>
        <v>220.92006157010346</v>
      </c>
      <c r="DJ129" s="19">
        <f t="shared" si="437"/>
        <v>4.0472109376162812E-5</v>
      </c>
      <c r="DK129" s="19" t="e">
        <f t="shared" si="438"/>
        <v>#DIV/0!</v>
      </c>
      <c r="DL129" s="19" t="e">
        <f t="shared" si="439"/>
        <v>#DIV/0!</v>
      </c>
      <c r="DM129" s="19" t="e">
        <f t="shared" si="440"/>
        <v>#DIV/0!</v>
      </c>
      <c r="DN129" s="19" t="e">
        <f t="shared" si="441"/>
        <v>#DIV/0!</v>
      </c>
      <c r="DW129" s="26">
        <f t="shared" si="416"/>
        <v>0</v>
      </c>
      <c r="DX129" s="26">
        <f t="shared" si="416"/>
        <v>0</v>
      </c>
      <c r="DY129" s="26">
        <f t="shared" si="416"/>
        <v>0</v>
      </c>
      <c r="DZ129" s="26">
        <f t="shared" si="416"/>
        <v>0</v>
      </c>
      <c r="EA129" s="26">
        <f t="shared" si="416"/>
        <v>0</v>
      </c>
      <c r="EB129" s="26">
        <f t="shared" si="416"/>
        <v>0</v>
      </c>
      <c r="EC129" s="26">
        <f t="shared" si="416"/>
        <v>0</v>
      </c>
      <c r="ED129" s="26">
        <f t="shared" si="416"/>
        <v>0</v>
      </c>
      <c r="EE129" s="26">
        <f t="shared" si="416"/>
        <v>0</v>
      </c>
      <c r="EF129" s="26">
        <f t="shared" si="416"/>
        <v>0</v>
      </c>
      <c r="EG129" s="26">
        <f t="shared" si="416"/>
        <v>0</v>
      </c>
      <c r="EH129" s="26">
        <f t="shared" si="416"/>
        <v>0</v>
      </c>
      <c r="EI129" s="26">
        <f t="shared" si="416"/>
        <v>0</v>
      </c>
      <c r="ER129" s="26" t="e">
        <f t="shared" si="415"/>
        <v>#DIV/0!</v>
      </c>
      <c r="ES129" s="26" t="e">
        <f t="shared" si="413"/>
        <v>#DIV/0!</v>
      </c>
      <c r="ET129" s="26" t="e">
        <f t="shared" si="413"/>
        <v>#DIV/0!</v>
      </c>
      <c r="EU129" s="26" t="e">
        <f t="shared" si="413"/>
        <v>#DIV/0!</v>
      </c>
      <c r="EV129" s="26" t="e">
        <f t="shared" si="413"/>
        <v>#DIV/0!</v>
      </c>
      <c r="EW129" s="26" t="e">
        <f t="shared" si="413"/>
        <v>#DIV/0!</v>
      </c>
      <c r="EX129" s="26" t="e">
        <f t="shared" si="413"/>
        <v>#DIV/0!</v>
      </c>
      <c r="EY129" s="26" t="e">
        <f t="shared" si="413"/>
        <v>#DIV/0!</v>
      </c>
      <c r="EZ129" s="26" t="e">
        <f t="shared" si="413"/>
        <v>#DIV/0!</v>
      </c>
      <c r="FA129" s="26" t="e">
        <f t="shared" si="413"/>
        <v>#DIV/0!</v>
      </c>
      <c r="FB129" s="26" t="e">
        <f t="shared" si="413"/>
        <v>#DIV/0!</v>
      </c>
      <c r="FC129" s="26" t="e">
        <f t="shared" si="413"/>
        <v>#DIV/0!</v>
      </c>
      <c r="FD129" s="26" t="e">
        <f t="shared" si="413"/>
        <v>#DIV/0!</v>
      </c>
      <c r="FM129" s="26" t="e">
        <f t="shared" si="313"/>
        <v>#DIV/0!</v>
      </c>
      <c r="FN129" s="26" t="e">
        <f t="shared" si="313"/>
        <v>#DIV/0!</v>
      </c>
      <c r="FO129" s="26" t="e">
        <f t="shared" si="313"/>
        <v>#DIV/0!</v>
      </c>
      <c r="FP129" s="26" t="e">
        <f t="shared" si="313"/>
        <v>#DIV/0!</v>
      </c>
      <c r="FQ129" s="26" t="e">
        <f t="shared" si="313"/>
        <v>#DIV/0!</v>
      </c>
      <c r="FR129" s="26" t="e">
        <f t="shared" si="313"/>
        <v>#DIV/0!</v>
      </c>
      <c r="FS129" s="26" t="e">
        <f t="shared" si="398"/>
        <v>#DIV/0!</v>
      </c>
      <c r="FT129" s="26" t="e">
        <f t="shared" si="398"/>
        <v>#DIV/0!</v>
      </c>
      <c r="FU129" s="26" t="e">
        <f t="shared" si="398"/>
        <v>#DIV/0!</v>
      </c>
      <c r="FV129" s="26" t="e">
        <f t="shared" si="398"/>
        <v>#DIV/0!</v>
      </c>
      <c r="FW129" s="26" t="e">
        <f t="shared" si="398"/>
        <v>#DIV/0!</v>
      </c>
      <c r="GH129" s="26" t="e">
        <f t="shared" si="314"/>
        <v>#DIV/0!</v>
      </c>
      <c r="GI129" s="26" t="e">
        <f t="shared" si="314"/>
        <v>#DIV/0!</v>
      </c>
      <c r="GJ129" s="26" t="e">
        <f t="shared" si="314"/>
        <v>#DIV/0!</v>
      </c>
      <c r="GK129" s="26" t="e">
        <f t="shared" si="314"/>
        <v>#DIV/0!</v>
      </c>
      <c r="GL129" s="26" t="e">
        <f t="shared" si="314"/>
        <v>#DIV/0!</v>
      </c>
      <c r="GM129" s="26" t="e">
        <f t="shared" si="314"/>
        <v>#DIV/0!</v>
      </c>
      <c r="GN129" s="26" t="e">
        <f t="shared" si="399"/>
        <v>#DIV/0!</v>
      </c>
      <c r="GO129" s="26" t="e">
        <f t="shared" si="399"/>
        <v>#DIV/0!</v>
      </c>
      <c r="GP129" s="26" t="e">
        <f t="shared" si="399"/>
        <v>#DIV/0!</v>
      </c>
      <c r="GQ129" s="26" t="e">
        <f t="shared" si="399"/>
        <v>#DIV/0!</v>
      </c>
      <c r="GR129" s="26" t="e">
        <f t="shared" si="399"/>
        <v>#DIV/0!</v>
      </c>
      <c r="GS129" s="26" t="e">
        <f t="shared" si="399"/>
        <v>#DIV/0!</v>
      </c>
      <c r="GT129" s="26" t="e">
        <f t="shared" si="315"/>
        <v>#DIV/0!</v>
      </c>
      <c r="HC129" s="26" t="e">
        <f t="shared" si="316"/>
        <v>#DIV/0!</v>
      </c>
      <c r="HD129" s="26" t="e">
        <f t="shared" si="316"/>
        <v>#DIV/0!</v>
      </c>
      <c r="HE129" s="26" t="e">
        <f t="shared" si="316"/>
        <v>#DIV/0!</v>
      </c>
      <c r="HF129" s="26" t="e">
        <f t="shared" si="316"/>
        <v>#DIV/0!</v>
      </c>
      <c r="HG129" s="26" t="e">
        <f t="shared" si="316"/>
        <v>#DIV/0!</v>
      </c>
      <c r="HH129" s="26" t="e">
        <f t="shared" si="316"/>
        <v>#DIV/0!</v>
      </c>
      <c r="HI129" s="26" t="e">
        <f t="shared" si="400"/>
        <v>#DIV/0!</v>
      </c>
      <c r="HJ129" s="26" t="e">
        <f t="shared" si="400"/>
        <v>#DIV/0!</v>
      </c>
      <c r="HK129" s="26" t="e">
        <f t="shared" si="400"/>
        <v>#DIV/0!</v>
      </c>
      <c r="HL129" s="26" t="e">
        <f t="shared" si="400"/>
        <v>#DIV/0!</v>
      </c>
      <c r="HM129" s="26" t="e">
        <f t="shared" si="400"/>
        <v>#DIV/0!</v>
      </c>
      <c r="HN129" s="26" t="e">
        <f t="shared" si="400"/>
        <v>#DIV/0!</v>
      </c>
      <c r="HO129" s="26" t="e">
        <f t="shared" si="317"/>
        <v>#DIV/0!</v>
      </c>
      <c r="HP129" s="26">
        <f t="shared" si="442"/>
        <v>1031889.3409120624</v>
      </c>
      <c r="HX129" s="26" t="e">
        <f t="shared" si="443"/>
        <v>#DIV/0!</v>
      </c>
      <c r="HY129" s="26" t="e">
        <f t="shared" si="444"/>
        <v>#DIV/0!</v>
      </c>
      <c r="HZ129" s="26" t="e">
        <f t="shared" si="445"/>
        <v>#DIV/0!</v>
      </c>
      <c r="IA129" s="26" t="e">
        <f t="shared" si="446"/>
        <v>#DIV/0!</v>
      </c>
      <c r="IB129" s="26" t="e">
        <f t="shared" si="447"/>
        <v>#DIV/0!</v>
      </c>
      <c r="IC129" s="26" t="e">
        <f t="shared" si="448"/>
        <v>#DIV/0!</v>
      </c>
      <c r="ID129" s="26" t="e">
        <f t="shared" si="449"/>
        <v>#DIV/0!</v>
      </c>
      <c r="IE129" s="26" t="e">
        <f t="shared" si="450"/>
        <v>#DIV/0!</v>
      </c>
      <c r="IF129" s="26" t="e">
        <f t="shared" si="451"/>
        <v>#DIV/0!</v>
      </c>
      <c r="IG129" s="26" t="e">
        <f t="shared" si="452"/>
        <v>#DIV/0!</v>
      </c>
      <c r="IH129" s="26" t="e">
        <f t="shared" si="453"/>
        <v>#DIV/0!</v>
      </c>
      <c r="II129" s="26" t="e">
        <f t="shared" si="454"/>
        <v>#DIV/0!</v>
      </c>
      <c r="IR129" s="26" t="e">
        <f t="shared" si="455"/>
        <v>#DIV/0!</v>
      </c>
      <c r="IS129" s="26" t="e">
        <f t="shared" si="456"/>
        <v>#DIV/0!</v>
      </c>
      <c r="IT129" s="26" t="e">
        <f t="shared" si="457"/>
        <v>#DIV/0!</v>
      </c>
      <c r="IU129" s="26" t="e">
        <f t="shared" si="458"/>
        <v>#DIV/0!</v>
      </c>
      <c r="IV129" s="26" t="e">
        <f t="shared" si="459"/>
        <v>#DIV/0!</v>
      </c>
      <c r="IW129" s="26" t="e">
        <f t="shared" si="460"/>
        <v>#DIV/0!</v>
      </c>
      <c r="IX129" s="26" t="e">
        <f t="shared" si="461"/>
        <v>#DIV/0!</v>
      </c>
      <c r="IY129" s="26" t="e">
        <f t="shared" si="462"/>
        <v>#DIV/0!</v>
      </c>
      <c r="IZ129" s="26" t="e">
        <f t="shared" si="463"/>
        <v>#DIV/0!</v>
      </c>
      <c r="JA129" s="26" t="e">
        <f t="shared" si="464"/>
        <v>#DIV/0!</v>
      </c>
      <c r="JB129" s="26" t="e">
        <f t="shared" si="465"/>
        <v>#DIV/0!</v>
      </c>
      <c r="JC129" s="26" t="e">
        <f t="shared" si="466"/>
        <v>#DIV/0!</v>
      </c>
      <c r="JI129" s="26">
        <f t="shared" si="343"/>
        <v>0</v>
      </c>
      <c r="JJ129" s="26">
        <f t="shared" si="344"/>
        <v>0</v>
      </c>
      <c r="JK129" s="26" t="e">
        <f t="shared" si="345"/>
        <v>#DIV/0!</v>
      </c>
      <c r="JL129" s="26" t="e">
        <f t="shared" si="346"/>
        <v>#DIV/0!</v>
      </c>
      <c r="JM129" s="26" t="e">
        <f t="shared" si="347"/>
        <v>#DIV/0!</v>
      </c>
      <c r="JN129" s="26" t="e">
        <f t="shared" si="348"/>
        <v>#DIV/0!</v>
      </c>
      <c r="JO129" s="26" t="e">
        <f t="shared" si="349"/>
        <v>#DIV/0!</v>
      </c>
      <c r="JP129" s="26" t="e">
        <f t="shared" si="350"/>
        <v>#DIV/0!</v>
      </c>
      <c r="JQ129" s="26" t="e">
        <f t="shared" si="351"/>
        <v>#DIV/0!</v>
      </c>
      <c r="JR129" s="26" t="e">
        <f t="shared" si="352"/>
        <v>#DIV/0!</v>
      </c>
      <c r="JS129" s="26" t="e">
        <f t="shared" si="353"/>
        <v>#DIV/0!</v>
      </c>
      <c r="JT129" s="26" t="e">
        <f t="shared" si="354"/>
        <v>#DIV/0!</v>
      </c>
      <c r="JU129" s="26" t="e">
        <f t="shared" si="355"/>
        <v>#DIV/0!</v>
      </c>
      <c r="JV129" s="26" t="e">
        <f t="shared" si="356"/>
        <v>#DIV/0!</v>
      </c>
      <c r="JW129" s="26" t="e">
        <f t="shared" si="357"/>
        <v>#DIV/0!</v>
      </c>
      <c r="JY129" s="34">
        <f t="shared" si="467"/>
        <v>0.74818181818181828</v>
      </c>
      <c r="JZ129" s="4">
        <f t="shared" si="468"/>
        <v>0</v>
      </c>
      <c r="KA129" s="165"/>
    </row>
    <row r="130" spans="1:287" ht="15.75" x14ac:dyDescent="0.3">
      <c r="A130" s="34">
        <v>129</v>
      </c>
      <c r="B130" s="34">
        <v>102</v>
      </c>
      <c r="C130" s="2">
        <v>332</v>
      </c>
      <c r="D130" s="1">
        <f t="shared" si="360"/>
        <v>254</v>
      </c>
      <c r="E130" s="145">
        <f t="shared" si="361"/>
        <v>0.23493975903614459</v>
      </c>
      <c r="F130" s="146">
        <f t="shared" si="362"/>
        <v>0.76506024096385539</v>
      </c>
      <c r="G130" s="158">
        <f t="shared" si="417"/>
        <v>0.95632530120481918</v>
      </c>
      <c r="H130" s="43">
        <f t="shared" si="363"/>
        <v>11.115315344267771</v>
      </c>
      <c r="I130" s="43">
        <f t="shared" si="390"/>
        <v>11.622943919045355</v>
      </c>
      <c r="J130" s="43">
        <f t="shared" si="364"/>
        <v>205</v>
      </c>
      <c r="K130" s="147">
        <f>SUM(J130:$J$138)</f>
        <v>259</v>
      </c>
      <c r="L130" s="147">
        <f t="shared" si="365"/>
        <v>0.78012048192771088</v>
      </c>
      <c r="M130" s="43">
        <f t="shared" si="418"/>
        <v>256.25</v>
      </c>
      <c r="N130" s="148">
        <f t="shared" si="419"/>
        <v>323.75</v>
      </c>
      <c r="O130" s="147">
        <f t="shared" si="287"/>
        <v>0.97515060240963858</v>
      </c>
      <c r="P130" s="157">
        <f t="shared" si="420"/>
        <v>0.34785677273892057</v>
      </c>
      <c r="Q130" s="43">
        <f t="shared" si="421"/>
        <v>415</v>
      </c>
      <c r="R130" s="43">
        <f t="shared" si="422"/>
        <v>0.32699110167485967</v>
      </c>
      <c r="S130" s="43">
        <f>SUM(R130:$R$138)</f>
        <v>0.34144684875761877</v>
      </c>
      <c r="T130" s="43">
        <f t="shared" si="366"/>
        <v>0.35536917343880009</v>
      </c>
      <c r="U130" s="153">
        <f>SUM(P130:$P$138)</f>
        <v>0.36197756128412645</v>
      </c>
      <c r="V130" s="129">
        <f t="shared" si="423"/>
        <v>3.2939424108272912E-5</v>
      </c>
      <c r="W130" s="43">
        <f t="shared" si="424"/>
        <v>3.2939424108272912E-5</v>
      </c>
      <c r="X130" s="26">
        <f t="shared" si="367"/>
        <v>1.040498993336177</v>
      </c>
      <c r="Y130" s="26">
        <f t="shared" si="368"/>
        <v>9.4692490385964604E-5</v>
      </c>
      <c r="Z130" s="43">
        <f t="shared" si="425"/>
        <v>4.0472109376162812E-5</v>
      </c>
      <c r="AA130" s="149">
        <f t="shared" si="369"/>
        <v>0.98145674715518838</v>
      </c>
      <c r="AB130" s="150">
        <f t="shared" si="370"/>
        <v>1.4120788545205874E-2</v>
      </c>
      <c r="AC130" s="150">
        <f t="shared" si="371"/>
        <v>3.2939424108272912E-5</v>
      </c>
      <c r="AD130" s="26">
        <f t="shared" si="372"/>
        <v>4.0498993336177055E-2</v>
      </c>
      <c r="AE130" s="26">
        <f t="shared" si="426"/>
        <v>1177035.1647899332</v>
      </c>
      <c r="AF130" s="43">
        <f t="shared" si="427"/>
        <v>1131221.8198462422</v>
      </c>
      <c r="AG130" s="43">
        <f t="shared" si="428"/>
        <v>1213224.03550479</v>
      </c>
      <c r="AH130" s="27">
        <f t="shared" si="429"/>
        <v>1169844.9265038294</v>
      </c>
      <c r="AI130" s="28">
        <f t="shared" si="430"/>
        <v>1304541.9736610646</v>
      </c>
      <c r="AJ130" s="20">
        <f t="shared" si="431"/>
        <v>1257897.7704342252</v>
      </c>
      <c r="AK130" s="3">
        <f t="shared" si="432"/>
        <v>109017.80677096618</v>
      </c>
      <c r="AL130" s="3"/>
      <c r="AM130" s="46">
        <f t="shared" si="373"/>
        <v>1.4120788545205874E-2</v>
      </c>
      <c r="AN130" s="46">
        <f t="shared" si="374"/>
        <v>-5.5799384439414316E-4</v>
      </c>
      <c r="AO130" s="46">
        <f t="shared" si="374"/>
        <v>3.2939424108272912E-5</v>
      </c>
      <c r="AP130" s="3">
        <f t="shared" si="414"/>
        <v>0</v>
      </c>
      <c r="AQ130" s="3">
        <f t="shared" si="414"/>
        <v>0</v>
      </c>
      <c r="AR130" s="16">
        <f t="shared" si="414"/>
        <v>0</v>
      </c>
      <c r="AS130" s="16">
        <f t="shared" si="414"/>
        <v>0</v>
      </c>
      <c r="AT130" s="16">
        <f t="shared" si="414"/>
        <v>0</v>
      </c>
      <c r="AU130" s="16">
        <f t="shared" si="414"/>
        <v>0</v>
      </c>
      <c r="AV130" s="16">
        <f t="shared" si="414"/>
        <v>0</v>
      </c>
      <c r="AW130" s="16">
        <f t="shared" si="414"/>
        <v>0</v>
      </c>
      <c r="AX130" s="16">
        <f t="shared" si="469"/>
        <v>0</v>
      </c>
      <c r="AY130" s="16">
        <f t="shared" si="469"/>
        <v>0</v>
      </c>
      <c r="AZ130" s="16">
        <f t="shared" si="469"/>
        <v>0</v>
      </c>
      <c r="BA130" s="16">
        <f t="shared" si="469"/>
        <v>0</v>
      </c>
      <c r="BB130" s="16">
        <f t="shared" si="469"/>
        <v>0</v>
      </c>
      <c r="BC130" s="16">
        <f t="shared" si="469"/>
        <v>0</v>
      </c>
      <c r="BD130" s="16">
        <f t="shared" si="469"/>
        <v>0</v>
      </c>
      <c r="BE130" s="16">
        <f t="shared" si="469"/>
        <v>0</v>
      </c>
      <c r="BF130" s="16">
        <f t="shared" si="469"/>
        <v>0</v>
      </c>
      <c r="BG130" s="16">
        <f t="shared" si="469"/>
        <v>0</v>
      </c>
      <c r="BH130" s="172">
        <f t="shared" si="375"/>
        <v>1.4678782389600017E-2</v>
      </c>
      <c r="BI130" s="16">
        <f t="shared" si="470"/>
        <v>-5.9093326850241602E-4</v>
      </c>
      <c r="BJ130" s="16">
        <f t="shared" si="470"/>
        <v>3.2939424108272912E-5</v>
      </c>
      <c r="BK130" s="16">
        <f t="shared" si="470"/>
        <v>0</v>
      </c>
      <c r="BL130" s="16">
        <f t="shared" si="470"/>
        <v>0</v>
      </c>
      <c r="BM130" s="16">
        <f t="shared" si="470"/>
        <v>0</v>
      </c>
      <c r="BN130" s="16">
        <f t="shared" si="470"/>
        <v>0</v>
      </c>
      <c r="BO130" s="16">
        <f t="shared" si="470"/>
        <v>0</v>
      </c>
      <c r="BP130" s="16">
        <f t="shared" si="470"/>
        <v>0</v>
      </c>
      <c r="BQ130" s="16">
        <f t="shared" si="470"/>
        <v>0</v>
      </c>
      <c r="BR130" s="16">
        <f t="shared" si="470"/>
        <v>0</v>
      </c>
      <c r="BS130" s="16">
        <f t="shared" si="470"/>
        <v>0</v>
      </c>
      <c r="BT130" s="16">
        <f t="shared" si="470"/>
        <v>0</v>
      </c>
      <c r="BU130" s="16">
        <f t="shared" si="470"/>
        <v>0</v>
      </c>
      <c r="BV130" s="16">
        <f t="shared" si="412"/>
        <v>0</v>
      </c>
      <c r="BW130" s="16">
        <f t="shared" si="412"/>
        <v>0</v>
      </c>
      <c r="BX130" s="16">
        <f t="shared" si="412"/>
        <v>0</v>
      </c>
      <c r="BY130" s="16">
        <f t="shared" si="412"/>
        <v>0</v>
      </c>
      <c r="BZ130" s="16">
        <f t="shared" si="412"/>
        <v>0</v>
      </c>
      <c r="CA130" s="16">
        <f t="shared" si="412"/>
        <v>0</v>
      </c>
      <c r="CB130" s="16">
        <f t="shared" si="412"/>
        <v>0</v>
      </c>
      <c r="CC130" s="18">
        <f t="shared" si="376"/>
        <v>0.95974235104669881</v>
      </c>
      <c r="CD130" s="18">
        <f t="shared" si="376"/>
        <v>1</v>
      </c>
      <c r="CE130" s="18">
        <f t="shared" si="376"/>
        <v>0</v>
      </c>
      <c r="CF130" s="18" t="e">
        <f t="shared" si="376"/>
        <v>#DIV/0!</v>
      </c>
      <c r="CG130" s="18" t="e">
        <f t="shared" si="280"/>
        <v>#DIV/0!</v>
      </c>
      <c r="CH130" s="18" t="e">
        <f t="shared" si="280"/>
        <v>#DIV/0!</v>
      </c>
      <c r="CI130" s="18" t="e">
        <f t="shared" si="280"/>
        <v>#DIV/0!</v>
      </c>
      <c r="CJ130" s="18" t="e">
        <f t="shared" si="280"/>
        <v>#DIV/0!</v>
      </c>
      <c r="CK130" s="18" t="e">
        <f t="shared" si="396"/>
        <v>#DIV/0!</v>
      </c>
      <c r="CL130" s="18" t="e">
        <f t="shared" si="396"/>
        <v>#DIV/0!</v>
      </c>
      <c r="CM130" s="18" t="e">
        <f t="shared" si="396"/>
        <v>#DIV/0!</v>
      </c>
      <c r="CN130" s="18" t="e">
        <f t="shared" si="396"/>
        <v>#DIV/0!</v>
      </c>
      <c r="CO130" s="18" t="e">
        <f t="shared" si="397"/>
        <v>#DIV/0!</v>
      </c>
      <c r="CP130" s="18" t="e">
        <f t="shared" si="397"/>
        <v>#DIV/0!</v>
      </c>
      <c r="CQ130" s="18" t="e">
        <f t="shared" si="397"/>
        <v>#DIV/0!</v>
      </c>
      <c r="CR130" s="18" t="e">
        <f t="shared" si="397"/>
        <v>#DIV/0!</v>
      </c>
      <c r="CS130" s="18" t="e">
        <f t="shared" si="397"/>
        <v>#DIV/0!</v>
      </c>
      <c r="CT130" s="18" t="e">
        <f t="shared" si="397"/>
        <v>#DIV/0!</v>
      </c>
      <c r="CU130" s="18" t="e">
        <f t="shared" si="397"/>
        <v>#DIV/0!</v>
      </c>
      <c r="CV130" s="18" t="e">
        <f t="shared" si="397"/>
        <v>#DIV/0!</v>
      </c>
      <c r="CW130" s="18" t="e">
        <f t="shared" si="411"/>
        <v>#DIV/0!</v>
      </c>
      <c r="CX130" s="17">
        <f t="shared" si="433"/>
        <v>1.502964159371307E-2</v>
      </c>
      <c r="CY130" s="17">
        <f t="shared" si="471"/>
        <v>-6.1436662033015137E-4</v>
      </c>
      <c r="CZ130" s="17">
        <f t="shared" si="471"/>
        <v>4.0472109376162812E-5</v>
      </c>
      <c r="DA130" s="17">
        <f t="shared" si="471"/>
        <v>0</v>
      </c>
      <c r="DB130" s="17">
        <f t="shared" si="471"/>
        <v>0</v>
      </c>
      <c r="DC130" s="17">
        <f t="shared" si="471"/>
        <v>0</v>
      </c>
      <c r="DD130" s="17">
        <f t="shared" si="471"/>
        <v>0</v>
      </c>
      <c r="DE130" s="17">
        <f t="shared" si="471"/>
        <v>0</v>
      </c>
      <c r="DF130" s="3" t="e">
        <f>#REF!+$AG$35*0.004*(1+$R$28)*#REF!-S130*#REF!</f>
        <v>#REF!</v>
      </c>
      <c r="DG130" s="19">
        <f t="shared" si="434"/>
        <v>212.16941612845704</v>
      </c>
      <c r="DH130" s="19">
        <f t="shared" si="435"/>
        <v>221.05286551314836</v>
      </c>
      <c r="DI130" s="19">
        <f t="shared" si="436"/>
        <v>4.0472109376162812E-5</v>
      </c>
      <c r="DJ130" s="19" t="e">
        <f t="shared" si="437"/>
        <v>#DIV/0!</v>
      </c>
      <c r="DK130" s="19" t="e">
        <f t="shared" si="438"/>
        <v>#DIV/0!</v>
      </c>
      <c r="DL130" s="19" t="e">
        <f t="shared" si="439"/>
        <v>#DIV/0!</v>
      </c>
      <c r="DM130" s="19" t="e">
        <f t="shared" si="440"/>
        <v>#DIV/0!</v>
      </c>
      <c r="DN130" s="19" t="e">
        <f t="shared" si="441"/>
        <v>#DIV/0!</v>
      </c>
      <c r="DW130" s="26">
        <f t="shared" si="416"/>
        <v>0</v>
      </c>
      <c r="DX130" s="26">
        <f t="shared" si="416"/>
        <v>0</v>
      </c>
      <c r="DY130" s="26">
        <f t="shared" si="416"/>
        <v>0</v>
      </c>
      <c r="DZ130" s="26">
        <f t="shared" si="416"/>
        <v>0</v>
      </c>
      <c r="EA130" s="26">
        <f t="shared" si="416"/>
        <v>0</v>
      </c>
      <c r="EB130" s="26">
        <f t="shared" si="416"/>
        <v>0</v>
      </c>
      <c r="EC130" s="26">
        <f t="shared" si="416"/>
        <v>0</v>
      </c>
      <c r="ED130" s="26">
        <f t="shared" si="416"/>
        <v>0</v>
      </c>
      <c r="EE130" s="26">
        <f t="shared" si="416"/>
        <v>0</v>
      </c>
      <c r="EF130" s="26">
        <f t="shared" si="416"/>
        <v>0</v>
      </c>
      <c r="EG130" s="26">
        <f t="shared" si="416"/>
        <v>0</v>
      </c>
      <c r="EH130" s="26">
        <f t="shared" si="416"/>
        <v>0</v>
      </c>
      <c r="EI130" s="26">
        <f t="shared" si="416"/>
        <v>0</v>
      </c>
      <c r="ER130" s="26" t="e">
        <f t="shared" si="415"/>
        <v>#DIV/0!</v>
      </c>
      <c r="ES130" s="26" t="e">
        <f t="shared" si="413"/>
        <v>#DIV/0!</v>
      </c>
      <c r="ET130" s="26" t="e">
        <f t="shared" si="413"/>
        <v>#DIV/0!</v>
      </c>
      <c r="EU130" s="26" t="e">
        <f t="shared" si="413"/>
        <v>#DIV/0!</v>
      </c>
      <c r="EV130" s="26" t="e">
        <f t="shared" si="413"/>
        <v>#DIV/0!</v>
      </c>
      <c r="EW130" s="26" t="e">
        <f t="shared" si="413"/>
        <v>#DIV/0!</v>
      </c>
      <c r="EX130" s="26" t="e">
        <f t="shared" si="413"/>
        <v>#DIV/0!</v>
      </c>
      <c r="EY130" s="26" t="e">
        <f t="shared" si="413"/>
        <v>#DIV/0!</v>
      </c>
      <c r="EZ130" s="26" t="e">
        <f t="shared" si="413"/>
        <v>#DIV/0!</v>
      </c>
      <c r="FA130" s="26" t="e">
        <f t="shared" si="413"/>
        <v>#DIV/0!</v>
      </c>
      <c r="FB130" s="26" t="e">
        <f t="shared" si="413"/>
        <v>#DIV/0!</v>
      </c>
      <c r="FC130" s="26" t="e">
        <f t="shared" si="413"/>
        <v>#DIV/0!</v>
      </c>
      <c r="FD130" s="26" t="e">
        <f t="shared" si="413"/>
        <v>#DIV/0!</v>
      </c>
      <c r="FM130" s="26" t="e">
        <f t="shared" si="313"/>
        <v>#DIV/0!</v>
      </c>
      <c r="FN130" s="26" t="e">
        <f t="shared" si="313"/>
        <v>#DIV/0!</v>
      </c>
      <c r="FO130" s="26" t="e">
        <f t="shared" si="313"/>
        <v>#DIV/0!</v>
      </c>
      <c r="FP130" s="26" t="e">
        <f t="shared" si="313"/>
        <v>#DIV/0!</v>
      </c>
      <c r="FQ130" s="26" t="e">
        <f t="shared" si="313"/>
        <v>#DIV/0!</v>
      </c>
      <c r="FR130" s="26" t="e">
        <f t="shared" si="313"/>
        <v>#DIV/0!</v>
      </c>
      <c r="FS130" s="26" t="e">
        <f t="shared" si="398"/>
        <v>#DIV/0!</v>
      </c>
      <c r="FT130" s="26" t="e">
        <f t="shared" si="398"/>
        <v>#DIV/0!</v>
      </c>
      <c r="FU130" s="26" t="e">
        <f t="shared" si="398"/>
        <v>#DIV/0!</v>
      </c>
      <c r="FV130" s="26" t="e">
        <f t="shared" si="398"/>
        <v>#DIV/0!</v>
      </c>
      <c r="FW130" s="26" t="e">
        <f t="shared" si="398"/>
        <v>#DIV/0!</v>
      </c>
      <c r="GH130" s="26" t="e">
        <f t="shared" si="314"/>
        <v>#DIV/0!</v>
      </c>
      <c r="GI130" s="26" t="e">
        <f t="shared" si="314"/>
        <v>#DIV/0!</v>
      </c>
      <c r="GJ130" s="26" t="e">
        <f t="shared" si="314"/>
        <v>#DIV/0!</v>
      </c>
      <c r="GK130" s="26" t="e">
        <f t="shared" si="314"/>
        <v>#DIV/0!</v>
      </c>
      <c r="GL130" s="26" t="e">
        <f t="shared" si="314"/>
        <v>#DIV/0!</v>
      </c>
      <c r="GM130" s="26" t="e">
        <f t="shared" si="314"/>
        <v>#DIV/0!</v>
      </c>
      <c r="GN130" s="26" t="e">
        <f t="shared" si="399"/>
        <v>#DIV/0!</v>
      </c>
      <c r="GO130" s="26" t="e">
        <f t="shared" si="399"/>
        <v>#DIV/0!</v>
      </c>
      <c r="GP130" s="26" t="e">
        <f t="shared" si="399"/>
        <v>#DIV/0!</v>
      </c>
      <c r="GQ130" s="26" t="e">
        <f t="shared" si="399"/>
        <v>#DIV/0!</v>
      </c>
      <c r="GR130" s="26" t="e">
        <f t="shared" si="399"/>
        <v>#DIV/0!</v>
      </c>
      <c r="GS130" s="26" t="e">
        <f t="shared" si="399"/>
        <v>#DIV/0!</v>
      </c>
      <c r="GT130" s="26" t="e">
        <f t="shared" si="315"/>
        <v>#DIV/0!</v>
      </c>
      <c r="HC130" s="26" t="e">
        <f t="shared" si="316"/>
        <v>#DIV/0!</v>
      </c>
      <c r="HD130" s="26" t="e">
        <f t="shared" si="316"/>
        <v>#DIV/0!</v>
      </c>
      <c r="HE130" s="26" t="e">
        <f t="shared" si="316"/>
        <v>#DIV/0!</v>
      </c>
      <c r="HF130" s="26" t="e">
        <f t="shared" si="316"/>
        <v>#DIV/0!</v>
      </c>
      <c r="HG130" s="26" t="e">
        <f t="shared" si="316"/>
        <v>#DIV/0!</v>
      </c>
      <c r="HH130" s="26" t="e">
        <f t="shared" si="316"/>
        <v>#DIV/0!</v>
      </c>
      <c r="HI130" s="26" t="e">
        <f t="shared" si="400"/>
        <v>#DIV/0!</v>
      </c>
      <c r="HJ130" s="26" t="e">
        <f t="shared" si="400"/>
        <v>#DIV/0!</v>
      </c>
      <c r="HK130" s="26" t="e">
        <f t="shared" si="400"/>
        <v>#DIV/0!</v>
      </c>
      <c r="HL130" s="26" t="e">
        <f t="shared" si="400"/>
        <v>#DIV/0!</v>
      </c>
      <c r="HM130" s="26" t="e">
        <f t="shared" si="400"/>
        <v>#DIV/0!</v>
      </c>
      <c r="HN130" s="26" t="e">
        <f t="shared" si="400"/>
        <v>#DIV/0!</v>
      </c>
      <c r="HO130" s="26" t="e">
        <f t="shared" si="317"/>
        <v>#DIV/0!</v>
      </c>
      <c r="HP130" s="26">
        <f t="shared" si="442"/>
        <v>1031889.3409120624</v>
      </c>
      <c r="HX130" s="26" t="e">
        <f t="shared" si="443"/>
        <v>#DIV/0!</v>
      </c>
      <c r="HY130" s="26" t="e">
        <f t="shared" si="444"/>
        <v>#DIV/0!</v>
      </c>
      <c r="HZ130" s="26" t="e">
        <f t="shared" si="445"/>
        <v>#DIV/0!</v>
      </c>
      <c r="IA130" s="26" t="e">
        <f t="shared" si="446"/>
        <v>#DIV/0!</v>
      </c>
      <c r="IB130" s="26" t="e">
        <f t="shared" si="447"/>
        <v>#DIV/0!</v>
      </c>
      <c r="IC130" s="26" t="e">
        <f t="shared" si="448"/>
        <v>#DIV/0!</v>
      </c>
      <c r="ID130" s="26" t="e">
        <f t="shared" si="449"/>
        <v>#DIV/0!</v>
      </c>
      <c r="IE130" s="26" t="e">
        <f t="shared" si="450"/>
        <v>#DIV/0!</v>
      </c>
      <c r="IF130" s="26" t="e">
        <f t="shared" si="451"/>
        <v>#DIV/0!</v>
      </c>
      <c r="IG130" s="26" t="e">
        <f t="shared" si="452"/>
        <v>#DIV/0!</v>
      </c>
      <c r="IH130" s="26" t="e">
        <f t="shared" si="453"/>
        <v>#DIV/0!</v>
      </c>
      <c r="II130" s="26" t="e">
        <f t="shared" si="454"/>
        <v>#DIV/0!</v>
      </c>
      <c r="IR130" s="26" t="e">
        <f t="shared" si="455"/>
        <v>#DIV/0!</v>
      </c>
      <c r="IS130" s="26" t="e">
        <f t="shared" si="456"/>
        <v>#DIV/0!</v>
      </c>
      <c r="IT130" s="26" t="e">
        <f t="shared" si="457"/>
        <v>#DIV/0!</v>
      </c>
      <c r="IU130" s="26" t="e">
        <f t="shared" si="458"/>
        <v>#DIV/0!</v>
      </c>
      <c r="IV130" s="26" t="e">
        <f t="shared" si="459"/>
        <v>#DIV/0!</v>
      </c>
      <c r="IW130" s="26" t="e">
        <f t="shared" si="460"/>
        <v>#DIV/0!</v>
      </c>
      <c r="IX130" s="26" t="e">
        <f t="shared" si="461"/>
        <v>#DIV/0!</v>
      </c>
      <c r="IY130" s="26" t="e">
        <f t="shared" si="462"/>
        <v>#DIV/0!</v>
      </c>
      <c r="IZ130" s="26" t="e">
        <f t="shared" si="463"/>
        <v>#DIV/0!</v>
      </c>
      <c r="JA130" s="26" t="e">
        <f t="shared" si="464"/>
        <v>#DIV/0!</v>
      </c>
      <c r="JB130" s="26" t="e">
        <f t="shared" si="465"/>
        <v>#DIV/0!</v>
      </c>
      <c r="JC130" s="26" t="e">
        <f t="shared" si="466"/>
        <v>#DIV/0!</v>
      </c>
      <c r="JI130" s="26">
        <f t="shared" si="343"/>
        <v>0</v>
      </c>
      <c r="JJ130" s="26">
        <f t="shared" si="344"/>
        <v>0</v>
      </c>
      <c r="JK130" s="26" t="e">
        <f t="shared" si="345"/>
        <v>#DIV/0!</v>
      </c>
      <c r="JL130" s="26" t="e">
        <f t="shared" si="346"/>
        <v>#DIV/0!</v>
      </c>
      <c r="JM130" s="26" t="e">
        <f t="shared" si="347"/>
        <v>#DIV/0!</v>
      </c>
      <c r="JN130" s="26" t="e">
        <f t="shared" si="348"/>
        <v>#DIV/0!</v>
      </c>
      <c r="JO130" s="26" t="e">
        <f t="shared" si="349"/>
        <v>#DIV/0!</v>
      </c>
      <c r="JP130" s="26" t="e">
        <f t="shared" si="350"/>
        <v>#DIV/0!</v>
      </c>
      <c r="JQ130" s="26" t="e">
        <f t="shared" si="351"/>
        <v>#DIV/0!</v>
      </c>
      <c r="JR130" s="26" t="e">
        <f t="shared" si="352"/>
        <v>#DIV/0!</v>
      </c>
      <c r="JS130" s="26" t="e">
        <f t="shared" si="353"/>
        <v>#DIV/0!</v>
      </c>
      <c r="JT130" s="26" t="e">
        <f t="shared" si="354"/>
        <v>#DIV/0!</v>
      </c>
      <c r="JU130" s="26" t="e">
        <f t="shared" si="355"/>
        <v>#DIV/0!</v>
      </c>
      <c r="JV130" s="26" t="e">
        <f t="shared" si="356"/>
        <v>#DIV/0!</v>
      </c>
      <c r="JW130" s="26" t="e">
        <f t="shared" si="357"/>
        <v>#DIV/0!</v>
      </c>
      <c r="JY130" s="34">
        <f t="shared" si="467"/>
        <v>0.81506024096385543</v>
      </c>
      <c r="JZ130" s="4">
        <f t="shared" si="468"/>
        <v>0</v>
      </c>
      <c r="KA130" s="165"/>
    </row>
    <row r="131" spans="1:287" ht="15.75" x14ac:dyDescent="0.3">
      <c r="A131" s="34">
        <v>130</v>
      </c>
      <c r="B131" s="34">
        <v>103</v>
      </c>
      <c r="C131" s="2">
        <v>78</v>
      </c>
      <c r="D131" s="1">
        <f t="shared" si="360"/>
        <v>65</v>
      </c>
      <c r="E131" s="145">
        <f t="shared" si="361"/>
        <v>0.16666666666666666</v>
      </c>
      <c r="F131" s="146">
        <f t="shared" si="362"/>
        <v>0.83333333333333337</v>
      </c>
      <c r="G131" s="158">
        <f t="shared" si="417"/>
        <v>1.0416666666666667</v>
      </c>
      <c r="H131" s="43">
        <f t="shared" si="363"/>
        <v>0.52877976539331684</v>
      </c>
      <c r="I131" s="43">
        <f t="shared" si="390"/>
        <v>0.50762857477758416</v>
      </c>
      <c r="J131" s="43">
        <f t="shared" si="364"/>
        <v>45.5</v>
      </c>
      <c r="K131" s="147">
        <f>SUM(J131:$J$138)</f>
        <v>54</v>
      </c>
      <c r="L131" s="147">
        <f t="shared" si="365"/>
        <v>0.69230769230769229</v>
      </c>
      <c r="M131" s="43">
        <f t="shared" si="418"/>
        <v>56.875</v>
      </c>
      <c r="N131" s="148">
        <f t="shared" si="419"/>
        <v>67.5</v>
      </c>
      <c r="O131" s="147">
        <f t="shared" si="287"/>
        <v>0.86538461538461542</v>
      </c>
      <c r="P131" s="157">
        <f t="shared" si="420"/>
        <v>1.4678782389600017E-2</v>
      </c>
      <c r="Q131" s="43">
        <f t="shared" si="421"/>
        <v>97.5</v>
      </c>
      <c r="R131" s="43">
        <f t="shared" si="422"/>
        <v>1.502964159371307E-2</v>
      </c>
      <c r="S131" s="43">
        <f>SUM(R131:$R$138)</f>
        <v>1.4455747082759081E-2</v>
      </c>
      <c r="T131" s="43">
        <f t="shared" si="366"/>
        <v>1.3922324681181254E-2</v>
      </c>
      <c r="U131" s="153">
        <f>SUM(P131:$P$138)</f>
        <v>1.4120788545205874E-2</v>
      </c>
      <c r="V131" s="129">
        <f t="shared" si="423"/>
        <v>3.2939424108272912E-5</v>
      </c>
      <c r="W131" s="43">
        <f t="shared" si="424"/>
        <v>3.2939424108272912E-5</v>
      </c>
      <c r="X131" s="26">
        <f t="shared" si="367"/>
        <v>0.95974235104669881</v>
      </c>
      <c r="Y131" s="26">
        <f t="shared" si="368"/>
        <v>2.2440161066500067E-3</v>
      </c>
      <c r="Z131" s="43">
        <f t="shared" si="425"/>
        <v>4.0472109376162812E-5</v>
      </c>
      <c r="AA131" s="149">
        <f t="shared" si="369"/>
        <v>0.98204841456033887</v>
      </c>
      <c r="AB131" s="150">
        <f t="shared" si="370"/>
        <v>-5.5799384439414316E-4</v>
      </c>
      <c r="AC131" s="150">
        <f t="shared" si="371"/>
        <v>3.2939424108272912E-5</v>
      </c>
      <c r="AD131" s="26">
        <f t="shared" si="372"/>
        <v>-4.0257648953301119E-2</v>
      </c>
      <c r="AE131" s="26">
        <f t="shared" si="426"/>
        <v>1186572.9710873405</v>
      </c>
      <c r="AF131" s="43">
        <f t="shared" si="427"/>
        <v>1236345.3272571117</v>
      </c>
      <c r="AG131" s="43">
        <f t="shared" si="428"/>
        <v>1222979.845743343</v>
      </c>
      <c r="AH131" s="27">
        <f t="shared" si="429"/>
        <v>1278122.139137025</v>
      </c>
      <c r="AI131" s="28">
        <f t="shared" si="430"/>
        <v>1315032.092197143</v>
      </c>
      <c r="AJ131" s="20">
        <f t="shared" si="431"/>
        <v>1374324.8807925</v>
      </c>
      <c r="AK131" s="3">
        <f t="shared" si="432"/>
        <v>119108.15633535001</v>
      </c>
      <c r="AL131" s="3"/>
      <c r="AM131" s="46">
        <f t="shared" si="373"/>
        <v>-5.5799384439414316E-4</v>
      </c>
      <c r="AN131" s="46">
        <f t="shared" si="374"/>
        <v>3.2939424108272912E-5</v>
      </c>
      <c r="AO131" s="46">
        <f t="shared" si="374"/>
        <v>0</v>
      </c>
      <c r="AP131" s="3">
        <f t="shared" si="414"/>
        <v>0</v>
      </c>
      <c r="AQ131" s="3">
        <f t="shared" si="414"/>
        <v>0</v>
      </c>
      <c r="AR131" s="16">
        <f t="shared" si="414"/>
        <v>0</v>
      </c>
      <c r="AS131" s="16">
        <f t="shared" si="414"/>
        <v>0</v>
      </c>
      <c r="AT131" s="16">
        <f t="shared" si="414"/>
        <v>0</v>
      </c>
      <c r="AU131" s="16">
        <f t="shared" si="414"/>
        <v>0</v>
      </c>
      <c r="AV131" s="16">
        <f t="shared" si="414"/>
        <v>0</v>
      </c>
      <c r="AW131" s="16">
        <f t="shared" si="414"/>
        <v>0</v>
      </c>
      <c r="AX131" s="16">
        <f t="shared" si="469"/>
        <v>0</v>
      </c>
      <c r="AY131" s="16">
        <f t="shared" si="469"/>
        <v>0</v>
      </c>
      <c r="AZ131" s="16">
        <f t="shared" si="469"/>
        <v>0</v>
      </c>
      <c r="BA131" s="16">
        <f t="shared" si="469"/>
        <v>0</v>
      </c>
      <c r="BB131" s="16">
        <f t="shared" si="469"/>
        <v>0</v>
      </c>
      <c r="BC131" s="16">
        <f t="shared" si="469"/>
        <v>0</v>
      </c>
      <c r="BD131" s="16">
        <f t="shared" si="469"/>
        <v>0</v>
      </c>
      <c r="BE131" s="16">
        <f t="shared" si="469"/>
        <v>0</v>
      </c>
      <c r="BF131" s="16">
        <f t="shared" si="469"/>
        <v>0</v>
      </c>
      <c r="BG131" s="16">
        <f t="shared" si="469"/>
        <v>0</v>
      </c>
      <c r="BH131" s="172">
        <f t="shared" si="375"/>
        <v>-5.9093326850241602E-4</v>
      </c>
      <c r="BI131" s="16">
        <f t="shared" si="470"/>
        <v>3.2939424108272912E-5</v>
      </c>
      <c r="BJ131" s="16">
        <f t="shared" si="470"/>
        <v>0</v>
      </c>
      <c r="BK131" s="16">
        <f t="shared" si="470"/>
        <v>0</v>
      </c>
      <c r="BL131" s="16">
        <f t="shared" si="470"/>
        <v>0</v>
      </c>
      <c r="BM131" s="16">
        <f t="shared" si="470"/>
        <v>0</v>
      </c>
      <c r="BN131" s="16">
        <f t="shared" si="470"/>
        <v>0</v>
      </c>
      <c r="BO131" s="16">
        <f t="shared" si="470"/>
        <v>0</v>
      </c>
      <c r="BP131" s="16">
        <f t="shared" si="470"/>
        <v>0</v>
      </c>
      <c r="BQ131" s="16">
        <f t="shared" si="470"/>
        <v>0</v>
      </c>
      <c r="BR131" s="16">
        <f t="shared" si="470"/>
        <v>0</v>
      </c>
      <c r="BS131" s="16">
        <f t="shared" si="470"/>
        <v>0</v>
      </c>
      <c r="BT131" s="16">
        <f t="shared" si="470"/>
        <v>0</v>
      </c>
      <c r="BU131" s="16">
        <f t="shared" si="470"/>
        <v>0</v>
      </c>
      <c r="BV131" s="16">
        <f t="shared" si="412"/>
        <v>0</v>
      </c>
      <c r="BW131" s="16">
        <f t="shared" si="412"/>
        <v>0</v>
      </c>
      <c r="BX131" s="16">
        <f t="shared" si="412"/>
        <v>0</v>
      </c>
      <c r="BY131" s="16">
        <f t="shared" si="412"/>
        <v>0</v>
      </c>
      <c r="BZ131" s="16">
        <f t="shared" si="412"/>
        <v>0</v>
      </c>
      <c r="CA131" s="16">
        <f t="shared" si="412"/>
        <v>0</v>
      </c>
      <c r="CB131" s="16">
        <f t="shared" si="412"/>
        <v>0</v>
      </c>
      <c r="CC131" s="18">
        <f t="shared" si="376"/>
        <v>1</v>
      </c>
      <c r="CD131" s="18">
        <f t="shared" si="376"/>
        <v>0</v>
      </c>
      <c r="CE131" s="18" t="e">
        <f t="shared" si="376"/>
        <v>#DIV/0!</v>
      </c>
      <c r="CF131" s="18" t="e">
        <f t="shared" si="376"/>
        <v>#DIV/0!</v>
      </c>
      <c r="CG131" s="18" t="e">
        <f t="shared" si="280"/>
        <v>#DIV/0!</v>
      </c>
      <c r="CH131" s="18" t="e">
        <f t="shared" si="280"/>
        <v>#DIV/0!</v>
      </c>
      <c r="CI131" s="18" t="e">
        <f t="shared" si="280"/>
        <v>#DIV/0!</v>
      </c>
      <c r="CJ131" s="18" t="e">
        <f t="shared" si="280"/>
        <v>#DIV/0!</v>
      </c>
      <c r="CK131" s="18" t="e">
        <f t="shared" si="396"/>
        <v>#DIV/0!</v>
      </c>
      <c r="CL131" s="18" t="e">
        <f t="shared" si="396"/>
        <v>#DIV/0!</v>
      </c>
      <c r="CM131" s="18" t="e">
        <f t="shared" si="396"/>
        <v>#DIV/0!</v>
      </c>
      <c r="CN131" s="18" t="e">
        <f t="shared" si="396"/>
        <v>#DIV/0!</v>
      </c>
      <c r="CO131" s="18" t="e">
        <f t="shared" si="397"/>
        <v>#DIV/0!</v>
      </c>
      <c r="CP131" s="18" t="e">
        <f t="shared" si="397"/>
        <v>#DIV/0!</v>
      </c>
      <c r="CQ131" s="18" t="e">
        <f t="shared" si="397"/>
        <v>#DIV/0!</v>
      </c>
      <c r="CR131" s="18" t="e">
        <f t="shared" si="397"/>
        <v>#DIV/0!</v>
      </c>
      <c r="CS131" s="18" t="e">
        <f t="shared" si="397"/>
        <v>#DIV/0!</v>
      </c>
      <c r="CT131" s="18" t="e">
        <f t="shared" si="397"/>
        <v>#DIV/0!</v>
      </c>
      <c r="CU131" s="18" t="e">
        <f t="shared" si="397"/>
        <v>#DIV/0!</v>
      </c>
      <c r="CV131" s="18" t="e">
        <f t="shared" si="397"/>
        <v>#DIV/0!</v>
      </c>
      <c r="CW131" s="18" t="e">
        <f t="shared" si="411"/>
        <v>#DIV/0!</v>
      </c>
      <c r="CX131" s="17">
        <f t="shared" si="433"/>
        <v>-6.1436662033015137E-4</v>
      </c>
      <c r="CY131" s="17">
        <f t="shared" si="471"/>
        <v>4.0472109376162812E-5</v>
      </c>
      <c r="CZ131" s="17">
        <f t="shared" si="471"/>
        <v>0</v>
      </c>
      <c r="DA131" s="17">
        <f t="shared" si="471"/>
        <v>0</v>
      </c>
      <c r="DB131" s="17">
        <f t="shared" si="471"/>
        <v>0</v>
      </c>
      <c r="DC131" s="17">
        <f t="shared" si="471"/>
        <v>0</v>
      </c>
      <c r="DD131" s="17">
        <f t="shared" si="471"/>
        <v>0</v>
      </c>
      <c r="DE131" s="17">
        <f t="shared" si="471"/>
        <v>0</v>
      </c>
      <c r="DF131" s="3" t="e">
        <f>#REF!+$AG$35*0.004*(1+$R$28)*#REF!-S131*#REF!</f>
        <v>#REF!</v>
      </c>
      <c r="DG131" s="19">
        <f t="shared" si="434"/>
        <v>221.16263150017338</v>
      </c>
      <c r="DH131" s="19">
        <f t="shared" si="435"/>
        <v>4.0472109376162812E-5</v>
      </c>
      <c r="DI131" s="19" t="e">
        <f t="shared" si="436"/>
        <v>#DIV/0!</v>
      </c>
      <c r="DJ131" s="19" t="e">
        <f t="shared" si="437"/>
        <v>#DIV/0!</v>
      </c>
      <c r="DK131" s="19" t="e">
        <f t="shared" si="438"/>
        <v>#DIV/0!</v>
      </c>
      <c r="DL131" s="19" t="e">
        <f t="shared" si="439"/>
        <v>#DIV/0!</v>
      </c>
      <c r="DM131" s="19" t="e">
        <f t="shared" si="440"/>
        <v>#DIV/0!</v>
      </c>
      <c r="DN131" s="19" t="e">
        <f t="shared" si="441"/>
        <v>#DIV/0!</v>
      </c>
      <c r="DW131" s="26">
        <f t="shared" si="416"/>
        <v>0</v>
      </c>
      <c r="DX131" s="26">
        <f t="shared" si="416"/>
        <v>0</v>
      </c>
      <c r="DY131" s="26">
        <f t="shared" si="416"/>
        <v>0</v>
      </c>
      <c r="DZ131" s="26">
        <f t="shared" si="416"/>
        <v>0</v>
      </c>
      <c r="EA131" s="26">
        <f t="shared" si="416"/>
        <v>0</v>
      </c>
      <c r="EB131" s="26">
        <f t="shared" si="416"/>
        <v>0</v>
      </c>
      <c r="EC131" s="26">
        <f t="shared" si="416"/>
        <v>0</v>
      </c>
      <c r="ED131" s="26">
        <f t="shared" si="416"/>
        <v>0</v>
      </c>
      <c r="EE131" s="26">
        <f t="shared" si="416"/>
        <v>0</v>
      </c>
      <c r="EF131" s="26">
        <f t="shared" si="416"/>
        <v>0</v>
      </c>
      <c r="EG131" s="26">
        <f t="shared" si="416"/>
        <v>0</v>
      </c>
      <c r="EH131" s="26">
        <f t="shared" si="416"/>
        <v>0</v>
      </c>
      <c r="EI131" s="26">
        <f t="shared" si="416"/>
        <v>0</v>
      </c>
      <c r="ER131" s="26" t="e">
        <f t="shared" si="415"/>
        <v>#DIV/0!</v>
      </c>
      <c r="ES131" s="26" t="e">
        <f t="shared" si="413"/>
        <v>#DIV/0!</v>
      </c>
      <c r="ET131" s="26" t="e">
        <f t="shared" si="413"/>
        <v>#DIV/0!</v>
      </c>
      <c r="EU131" s="26" t="e">
        <f t="shared" si="413"/>
        <v>#DIV/0!</v>
      </c>
      <c r="EV131" s="26" t="e">
        <f t="shared" si="413"/>
        <v>#DIV/0!</v>
      </c>
      <c r="EW131" s="26" t="e">
        <f t="shared" si="413"/>
        <v>#DIV/0!</v>
      </c>
      <c r="EX131" s="26" t="e">
        <f t="shared" si="413"/>
        <v>#DIV/0!</v>
      </c>
      <c r="EY131" s="26" t="e">
        <f t="shared" si="413"/>
        <v>#DIV/0!</v>
      </c>
      <c r="EZ131" s="26" t="e">
        <f t="shared" si="413"/>
        <v>#DIV/0!</v>
      </c>
      <c r="FA131" s="26" t="e">
        <f t="shared" si="413"/>
        <v>#DIV/0!</v>
      </c>
      <c r="FB131" s="26" t="e">
        <f t="shared" si="413"/>
        <v>#DIV/0!</v>
      </c>
      <c r="FC131" s="26" t="e">
        <f t="shared" si="413"/>
        <v>#DIV/0!</v>
      </c>
      <c r="FD131" s="26" t="e">
        <f t="shared" si="413"/>
        <v>#DIV/0!</v>
      </c>
      <c r="FM131" s="26" t="e">
        <f t="shared" si="313"/>
        <v>#DIV/0!</v>
      </c>
      <c r="FN131" s="26" t="e">
        <f t="shared" si="313"/>
        <v>#DIV/0!</v>
      </c>
      <c r="FO131" s="26" t="e">
        <f t="shared" si="313"/>
        <v>#DIV/0!</v>
      </c>
      <c r="FP131" s="26" t="e">
        <f t="shared" si="313"/>
        <v>#DIV/0!</v>
      </c>
      <c r="FQ131" s="26" t="e">
        <f t="shared" si="313"/>
        <v>#DIV/0!</v>
      </c>
      <c r="FR131" s="26" t="e">
        <f t="shared" si="313"/>
        <v>#DIV/0!</v>
      </c>
      <c r="FS131" s="26" t="e">
        <f t="shared" si="398"/>
        <v>#DIV/0!</v>
      </c>
      <c r="FT131" s="26" t="e">
        <f t="shared" si="398"/>
        <v>#DIV/0!</v>
      </c>
      <c r="FU131" s="26" t="e">
        <f t="shared" si="398"/>
        <v>#DIV/0!</v>
      </c>
      <c r="FV131" s="26" t="e">
        <f t="shared" si="398"/>
        <v>#DIV/0!</v>
      </c>
      <c r="FW131" s="26" t="e">
        <f t="shared" si="398"/>
        <v>#DIV/0!</v>
      </c>
      <c r="GH131" s="26" t="e">
        <f t="shared" si="314"/>
        <v>#DIV/0!</v>
      </c>
      <c r="GI131" s="26" t="e">
        <f t="shared" si="314"/>
        <v>#DIV/0!</v>
      </c>
      <c r="GJ131" s="26" t="e">
        <f t="shared" si="314"/>
        <v>#DIV/0!</v>
      </c>
      <c r="GK131" s="26" t="e">
        <f t="shared" si="314"/>
        <v>#DIV/0!</v>
      </c>
      <c r="GL131" s="26" t="e">
        <f t="shared" si="314"/>
        <v>#DIV/0!</v>
      </c>
      <c r="GM131" s="26" t="e">
        <f t="shared" si="314"/>
        <v>#DIV/0!</v>
      </c>
      <c r="GN131" s="26" t="e">
        <f t="shared" si="399"/>
        <v>#DIV/0!</v>
      </c>
      <c r="GO131" s="26" t="e">
        <f t="shared" si="399"/>
        <v>#DIV/0!</v>
      </c>
      <c r="GP131" s="26" t="e">
        <f t="shared" si="399"/>
        <v>#DIV/0!</v>
      </c>
      <c r="GQ131" s="26" t="e">
        <f t="shared" si="399"/>
        <v>#DIV/0!</v>
      </c>
      <c r="GR131" s="26" t="e">
        <f t="shared" si="399"/>
        <v>#DIV/0!</v>
      </c>
      <c r="GS131" s="26" t="e">
        <f t="shared" si="399"/>
        <v>#DIV/0!</v>
      </c>
      <c r="GT131" s="26" t="e">
        <f t="shared" si="315"/>
        <v>#DIV/0!</v>
      </c>
      <c r="HC131" s="26" t="e">
        <f t="shared" si="316"/>
        <v>#DIV/0!</v>
      </c>
      <c r="HD131" s="26" t="e">
        <f t="shared" si="316"/>
        <v>#DIV/0!</v>
      </c>
      <c r="HE131" s="26" t="e">
        <f t="shared" si="316"/>
        <v>#DIV/0!</v>
      </c>
      <c r="HF131" s="26" t="e">
        <f t="shared" si="316"/>
        <v>#DIV/0!</v>
      </c>
      <c r="HG131" s="26" t="e">
        <f t="shared" si="316"/>
        <v>#DIV/0!</v>
      </c>
      <c r="HH131" s="26" t="e">
        <f t="shared" si="316"/>
        <v>#DIV/0!</v>
      </c>
      <c r="HI131" s="26" t="e">
        <f t="shared" si="400"/>
        <v>#DIV/0!</v>
      </c>
      <c r="HJ131" s="26" t="e">
        <f t="shared" si="400"/>
        <v>#DIV/0!</v>
      </c>
      <c r="HK131" s="26" t="e">
        <f t="shared" si="400"/>
        <v>#DIV/0!</v>
      </c>
      <c r="HL131" s="26" t="e">
        <f t="shared" si="400"/>
        <v>#DIV/0!</v>
      </c>
      <c r="HM131" s="26" t="e">
        <f t="shared" si="400"/>
        <v>#DIV/0!</v>
      </c>
      <c r="HN131" s="26" t="e">
        <f t="shared" si="400"/>
        <v>#DIV/0!</v>
      </c>
      <c r="HO131" s="26" t="e">
        <f t="shared" si="317"/>
        <v>#DIV/0!</v>
      </c>
      <c r="HP131" s="26">
        <f t="shared" si="442"/>
        <v>1031889.3409120624</v>
      </c>
      <c r="HX131" s="26" t="e">
        <f t="shared" si="443"/>
        <v>#DIV/0!</v>
      </c>
      <c r="HY131" s="26" t="e">
        <f t="shared" si="444"/>
        <v>#DIV/0!</v>
      </c>
      <c r="HZ131" s="26" t="e">
        <f t="shared" si="445"/>
        <v>#DIV/0!</v>
      </c>
      <c r="IA131" s="26" t="e">
        <f t="shared" si="446"/>
        <v>#DIV/0!</v>
      </c>
      <c r="IB131" s="26" t="e">
        <f t="shared" si="447"/>
        <v>#DIV/0!</v>
      </c>
      <c r="IC131" s="26" t="e">
        <f t="shared" si="448"/>
        <v>#DIV/0!</v>
      </c>
      <c r="ID131" s="26" t="e">
        <f t="shared" si="449"/>
        <v>#DIV/0!</v>
      </c>
      <c r="IE131" s="26" t="e">
        <f t="shared" si="450"/>
        <v>#DIV/0!</v>
      </c>
      <c r="IF131" s="26" t="e">
        <f t="shared" si="451"/>
        <v>#DIV/0!</v>
      </c>
      <c r="IG131" s="26" t="e">
        <f t="shared" si="452"/>
        <v>#DIV/0!</v>
      </c>
      <c r="IH131" s="26" t="e">
        <f t="shared" si="453"/>
        <v>#DIV/0!</v>
      </c>
      <c r="II131" s="26" t="e">
        <f t="shared" si="454"/>
        <v>#DIV/0!</v>
      </c>
      <c r="IR131" s="26" t="e">
        <f t="shared" si="455"/>
        <v>#DIV/0!</v>
      </c>
      <c r="IS131" s="26" t="e">
        <f t="shared" si="456"/>
        <v>#DIV/0!</v>
      </c>
      <c r="IT131" s="26" t="e">
        <f t="shared" si="457"/>
        <v>#DIV/0!</v>
      </c>
      <c r="IU131" s="26" t="e">
        <f t="shared" si="458"/>
        <v>#DIV/0!</v>
      </c>
      <c r="IV131" s="26" t="e">
        <f t="shared" si="459"/>
        <v>#DIV/0!</v>
      </c>
      <c r="IW131" s="26" t="e">
        <f t="shared" si="460"/>
        <v>#DIV/0!</v>
      </c>
      <c r="IX131" s="26" t="e">
        <f t="shared" si="461"/>
        <v>#DIV/0!</v>
      </c>
      <c r="IY131" s="26" t="e">
        <f t="shared" si="462"/>
        <v>#DIV/0!</v>
      </c>
      <c r="IZ131" s="26" t="e">
        <f t="shared" si="463"/>
        <v>#DIV/0!</v>
      </c>
      <c r="JA131" s="26" t="e">
        <f t="shared" si="464"/>
        <v>#DIV/0!</v>
      </c>
      <c r="JB131" s="26" t="e">
        <f t="shared" si="465"/>
        <v>#DIV/0!</v>
      </c>
      <c r="JC131" s="26" t="e">
        <f t="shared" si="466"/>
        <v>#DIV/0!</v>
      </c>
      <c r="JI131" s="26">
        <f t="shared" si="343"/>
        <v>0</v>
      </c>
      <c r="JJ131" s="26">
        <f t="shared" si="344"/>
        <v>0</v>
      </c>
      <c r="JK131" s="26" t="e">
        <f t="shared" si="345"/>
        <v>#DIV/0!</v>
      </c>
      <c r="JL131" s="26" t="e">
        <f t="shared" si="346"/>
        <v>#DIV/0!</v>
      </c>
      <c r="JM131" s="26" t="e">
        <f t="shared" si="347"/>
        <v>#DIV/0!</v>
      </c>
      <c r="JN131" s="26" t="e">
        <f t="shared" si="348"/>
        <v>#DIV/0!</v>
      </c>
      <c r="JO131" s="26" t="e">
        <f t="shared" si="349"/>
        <v>#DIV/0!</v>
      </c>
      <c r="JP131" s="26" t="e">
        <f t="shared" si="350"/>
        <v>#DIV/0!</v>
      </c>
      <c r="JQ131" s="26" t="e">
        <f t="shared" si="351"/>
        <v>#DIV/0!</v>
      </c>
      <c r="JR131" s="26" t="e">
        <f t="shared" si="352"/>
        <v>#DIV/0!</v>
      </c>
      <c r="JS131" s="26" t="e">
        <f t="shared" si="353"/>
        <v>#DIV/0!</v>
      </c>
      <c r="JT131" s="26" t="e">
        <f t="shared" si="354"/>
        <v>#DIV/0!</v>
      </c>
      <c r="JU131" s="26" t="e">
        <f t="shared" si="355"/>
        <v>#DIV/0!</v>
      </c>
      <c r="JV131" s="26" t="e">
        <f t="shared" si="356"/>
        <v>#DIV/0!</v>
      </c>
      <c r="JW131" s="26" t="e">
        <f t="shared" si="357"/>
        <v>#DIV/0!</v>
      </c>
      <c r="JY131" s="34">
        <f t="shared" si="467"/>
        <v>0.88333333333333341</v>
      </c>
      <c r="JZ131" s="4">
        <f t="shared" si="468"/>
        <v>0</v>
      </c>
      <c r="KA131" s="165"/>
    </row>
    <row r="132" spans="1:287" ht="15.75" x14ac:dyDescent="0.3">
      <c r="A132" s="34">
        <v>131</v>
      </c>
      <c r="B132" s="34">
        <v>104</v>
      </c>
      <c r="C132" s="2">
        <v>13</v>
      </c>
      <c r="D132" s="1">
        <f t="shared" si="360"/>
        <v>11</v>
      </c>
      <c r="E132" s="145">
        <f t="shared" si="361"/>
        <v>0.15384615384615385</v>
      </c>
      <c r="F132" s="146">
        <f t="shared" si="362"/>
        <v>0.84615384615384615</v>
      </c>
      <c r="G132" s="158">
        <f t="shared" si="417"/>
        <v>1.0576923076923077</v>
      </c>
      <c r="H132" s="43">
        <f t="shared" si="363"/>
        <v>-2.2371451612794174E-2</v>
      </c>
      <c r="I132" s="43">
        <f t="shared" si="390"/>
        <v>-2.1151190615732673E-2</v>
      </c>
      <c r="J132" s="43">
        <f t="shared" si="364"/>
        <v>7.5</v>
      </c>
      <c r="K132" s="147">
        <f>SUM(J132:$J$138)</f>
        <v>8.5</v>
      </c>
      <c r="L132" s="147">
        <f t="shared" si="365"/>
        <v>0.65384615384615385</v>
      </c>
      <c r="M132" s="43">
        <f t="shared" si="418"/>
        <v>9.375</v>
      </c>
      <c r="N132" s="148">
        <f t="shared" si="419"/>
        <v>10.625</v>
      </c>
      <c r="O132" s="147">
        <f t="shared" si="287"/>
        <v>0.81730769230769229</v>
      </c>
      <c r="P132" s="157">
        <f t="shared" si="420"/>
        <v>-5.9093326850241602E-4</v>
      </c>
      <c r="Q132" s="43">
        <f t="shared" si="421"/>
        <v>16.25</v>
      </c>
      <c r="R132" s="43">
        <f t="shared" si="422"/>
        <v>-6.1436662033015137E-4</v>
      </c>
      <c r="S132" s="43">
        <f>SUM(R132:$R$138)</f>
        <v>-5.7389451095398857E-4</v>
      </c>
      <c r="T132" s="43">
        <f t="shared" si="366"/>
        <v>-5.3342240157782576E-4</v>
      </c>
      <c r="U132" s="153">
        <f>SUM(P132:$P$138)</f>
        <v>-5.5799384439414316E-4</v>
      </c>
      <c r="V132" s="129">
        <f t="shared" si="423"/>
        <v>3.2939424108272912E-5</v>
      </c>
      <c r="W132" s="43">
        <f t="shared" si="424"/>
        <v>3.2939424108272912E-5</v>
      </c>
      <c r="X132" s="26">
        <f t="shared" si="367"/>
        <v>1</v>
      </c>
      <c r="Y132" s="26">
        <f t="shared" si="368"/>
        <v>-5.5741360089186176E-2</v>
      </c>
      <c r="Z132" s="43">
        <f t="shared" si="425"/>
        <v>4.0472109376162812E-5</v>
      </c>
      <c r="AA132" s="149">
        <f t="shared" si="369"/>
        <v>1.0396548190409414</v>
      </c>
      <c r="AB132" s="150">
        <f t="shared" si="370"/>
        <v>3.2939424108272912E-5</v>
      </c>
      <c r="AC132" s="150">
        <f t="shared" si="371"/>
        <v>3.2939424108272912E-5</v>
      </c>
      <c r="AD132" s="26">
        <f t="shared" si="372"/>
        <v>0</v>
      </c>
      <c r="AE132" s="26">
        <f t="shared" si="426"/>
        <v>1178612.7636958105</v>
      </c>
      <c r="AF132" s="43">
        <f t="shared" si="427"/>
        <v>1178612.7636958105</v>
      </c>
      <c r="AG132" s="43">
        <f t="shared" si="428"/>
        <v>1214814.7954490008</v>
      </c>
      <c r="AH132" s="27">
        <f t="shared" si="429"/>
        <v>1218657.5986688847</v>
      </c>
      <c r="AI132" s="28">
        <f t="shared" si="430"/>
        <v>1306252.4682247322</v>
      </c>
      <c r="AJ132" s="20">
        <f t="shared" si="431"/>
        <v>1310384.5146977257</v>
      </c>
      <c r="AK132" s="3">
        <f t="shared" si="432"/>
        <v>113566.65794046957</v>
      </c>
      <c r="AL132" s="3"/>
      <c r="AM132" s="46">
        <f t="shared" si="373"/>
        <v>3.2939424108272912E-5</v>
      </c>
      <c r="AN132" s="46">
        <f t="shared" si="374"/>
        <v>0</v>
      </c>
      <c r="AO132" s="46">
        <f t="shared" si="374"/>
        <v>0</v>
      </c>
      <c r="AP132" s="3">
        <f t="shared" si="414"/>
        <v>0</v>
      </c>
      <c r="AQ132" s="3">
        <f t="shared" si="414"/>
        <v>0</v>
      </c>
      <c r="AR132" s="16">
        <f t="shared" si="414"/>
        <v>0</v>
      </c>
      <c r="AS132" s="16">
        <f t="shared" si="414"/>
        <v>0</v>
      </c>
      <c r="AT132" s="16">
        <f t="shared" si="414"/>
        <v>0</v>
      </c>
      <c r="AU132" s="16">
        <f t="shared" si="414"/>
        <v>0</v>
      </c>
      <c r="AV132" s="16">
        <f t="shared" si="414"/>
        <v>0</v>
      </c>
      <c r="AW132" s="16">
        <f t="shared" si="414"/>
        <v>0</v>
      </c>
      <c r="AX132" s="16">
        <f t="shared" si="469"/>
        <v>0</v>
      </c>
      <c r="AY132" s="16">
        <f t="shared" si="469"/>
        <v>0</v>
      </c>
      <c r="AZ132" s="16">
        <f t="shared" si="469"/>
        <v>0</v>
      </c>
      <c r="BA132" s="16">
        <f t="shared" si="469"/>
        <v>0</v>
      </c>
      <c r="BB132" s="16">
        <f t="shared" si="469"/>
        <v>0</v>
      </c>
      <c r="BC132" s="16">
        <f t="shared" si="469"/>
        <v>0</v>
      </c>
      <c r="BD132" s="16">
        <f t="shared" si="469"/>
        <v>0</v>
      </c>
      <c r="BE132" s="16">
        <f t="shared" si="469"/>
        <v>0</v>
      </c>
      <c r="BF132" s="16">
        <f t="shared" si="469"/>
        <v>0</v>
      </c>
      <c r="BG132" s="16">
        <f t="shared" si="469"/>
        <v>0</v>
      </c>
      <c r="BH132" s="172">
        <f t="shared" si="375"/>
        <v>3.2939424108272912E-5</v>
      </c>
      <c r="BI132" s="16">
        <f t="shared" si="470"/>
        <v>0</v>
      </c>
      <c r="BJ132" s="16">
        <f t="shared" si="470"/>
        <v>0</v>
      </c>
      <c r="BK132" s="16">
        <f t="shared" si="470"/>
        <v>0</v>
      </c>
      <c r="BL132" s="16">
        <f t="shared" si="470"/>
        <v>0</v>
      </c>
      <c r="BM132" s="16">
        <f t="shared" si="470"/>
        <v>0</v>
      </c>
      <c r="BN132" s="16">
        <f t="shared" si="470"/>
        <v>0</v>
      </c>
      <c r="BO132" s="16">
        <f t="shared" si="470"/>
        <v>0</v>
      </c>
      <c r="BP132" s="16">
        <f t="shared" si="470"/>
        <v>0</v>
      </c>
      <c r="BQ132" s="16">
        <f t="shared" si="470"/>
        <v>0</v>
      </c>
      <c r="BR132" s="16">
        <f t="shared" si="470"/>
        <v>0</v>
      </c>
      <c r="BS132" s="16">
        <f t="shared" si="470"/>
        <v>0</v>
      </c>
      <c r="BT132" s="16">
        <f t="shared" si="470"/>
        <v>0</v>
      </c>
      <c r="BU132" s="16">
        <f t="shared" si="470"/>
        <v>0</v>
      </c>
      <c r="BV132" s="16">
        <f t="shared" si="412"/>
        <v>0</v>
      </c>
      <c r="BW132" s="16">
        <f t="shared" si="412"/>
        <v>0</v>
      </c>
      <c r="BX132" s="16">
        <f t="shared" si="412"/>
        <v>0</v>
      </c>
      <c r="BY132" s="16">
        <f t="shared" si="412"/>
        <v>0</v>
      </c>
      <c r="BZ132" s="16">
        <f t="shared" si="412"/>
        <v>0</v>
      </c>
      <c r="CA132" s="16">
        <f t="shared" si="412"/>
        <v>0</v>
      </c>
      <c r="CB132" s="16">
        <f t="shared" si="412"/>
        <v>0</v>
      </c>
      <c r="CC132" s="18">
        <f t="shared" si="376"/>
        <v>0</v>
      </c>
      <c r="CD132" s="18" t="e">
        <f t="shared" si="376"/>
        <v>#DIV/0!</v>
      </c>
      <c r="CE132" s="18" t="e">
        <f t="shared" si="376"/>
        <v>#DIV/0!</v>
      </c>
      <c r="CF132" s="18" t="e">
        <f t="shared" si="376"/>
        <v>#DIV/0!</v>
      </c>
      <c r="CG132" s="18" t="e">
        <f t="shared" si="280"/>
        <v>#DIV/0!</v>
      </c>
      <c r="CH132" s="18" t="e">
        <f t="shared" si="280"/>
        <v>#DIV/0!</v>
      </c>
      <c r="CI132" s="18" t="e">
        <f t="shared" si="280"/>
        <v>#DIV/0!</v>
      </c>
      <c r="CJ132" s="18" t="e">
        <f t="shared" si="280"/>
        <v>#DIV/0!</v>
      </c>
      <c r="CK132" s="18" t="e">
        <f t="shared" si="396"/>
        <v>#DIV/0!</v>
      </c>
      <c r="CL132" s="18" t="e">
        <f t="shared" si="396"/>
        <v>#DIV/0!</v>
      </c>
      <c r="CM132" s="18" t="e">
        <f t="shared" si="396"/>
        <v>#DIV/0!</v>
      </c>
      <c r="CN132" s="18" t="e">
        <f t="shared" si="396"/>
        <v>#DIV/0!</v>
      </c>
      <c r="CO132" s="18" t="e">
        <f t="shared" si="397"/>
        <v>#DIV/0!</v>
      </c>
      <c r="CP132" s="18" t="e">
        <f t="shared" si="397"/>
        <v>#DIV/0!</v>
      </c>
      <c r="CQ132" s="18" t="e">
        <f t="shared" si="397"/>
        <v>#DIV/0!</v>
      </c>
      <c r="CR132" s="18" t="e">
        <f t="shared" si="397"/>
        <v>#DIV/0!</v>
      </c>
      <c r="CS132" s="18" t="e">
        <f t="shared" si="397"/>
        <v>#DIV/0!</v>
      </c>
      <c r="CT132" s="18" t="e">
        <f t="shared" si="397"/>
        <v>#DIV/0!</v>
      </c>
      <c r="CU132" s="18" t="e">
        <f t="shared" si="397"/>
        <v>#DIV/0!</v>
      </c>
      <c r="CV132" s="18" t="e">
        <f t="shared" si="397"/>
        <v>#DIV/0!</v>
      </c>
      <c r="CW132" s="18" t="e">
        <f t="shared" si="411"/>
        <v>#DIV/0!</v>
      </c>
      <c r="CX132" s="17">
        <f t="shared" si="433"/>
        <v>4.0472109376162812E-5</v>
      </c>
      <c r="CY132" s="17">
        <f t="shared" si="471"/>
        <v>0</v>
      </c>
      <c r="CZ132" s="17">
        <f t="shared" si="471"/>
        <v>0</v>
      </c>
      <c r="DA132" s="17">
        <f t="shared" si="471"/>
        <v>0</v>
      </c>
      <c r="DB132" s="17">
        <f t="shared" si="471"/>
        <v>0</v>
      </c>
      <c r="DC132" s="17">
        <f t="shared" si="471"/>
        <v>0</v>
      </c>
      <c r="DD132" s="17">
        <f t="shared" si="471"/>
        <v>0</v>
      </c>
      <c r="DE132" s="17">
        <f t="shared" si="471"/>
        <v>0</v>
      </c>
      <c r="DF132" s="3" t="e">
        <f>#REF!+$AG$35*0.004*(1+$R$28)*#REF!-S132*#REF!</f>
        <v>#REF!</v>
      </c>
      <c r="DG132" s="19">
        <f t="shared" si="434"/>
        <v>4.0472109376162812E-5</v>
      </c>
      <c r="DH132" s="19" t="e">
        <f t="shared" si="435"/>
        <v>#DIV/0!</v>
      </c>
      <c r="DI132" s="19" t="e">
        <f t="shared" si="436"/>
        <v>#DIV/0!</v>
      </c>
      <c r="DJ132" s="19" t="e">
        <f t="shared" si="437"/>
        <v>#DIV/0!</v>
      </c>
      <c r="DK132" s="19" t="e">
        <f t="shared" si="438"/>
        <v>#DIV/0!</v>
      </c>
      <c r="DL132" s="19" t="e">
        <f t="shared" si="439"/>
        <v>#DIV/0!</v>
      </c>
      <c r="DM132" s="19" t="e">
        <f t="shared" si="440"/>
        <v>#DIV/0!</v>
      </c>
      <c r="DN132" s="19" t="e">
        <f t="shared" si="441"/>
        <v>#DIV/0!</v>
      </c>
      <c r="DW132" s="26">
        <f t="shared" si="416"/>
        <v>0</v>
      </c>
      <c r="DX132" s="26">
        <f t="shared" si="416"/>
        <v>0</v>
      </c>
      <c r="DY132" s="26">
        <f t="shared" si="416"/>
        <v>0</v>
      </c>
      <c r="DZ132" s="26">
        <f t="shared" si="416"/>
        <v>0</v>
      </c>
      <c r="EA132" s="26">
        <f t="shared" si="416"/>
        <v>0</v>
      </c>
      <c r="EB132" s="26">
        <f t="shared" si="416"/>
        <v>0</v>
      </c>
      <c r="EC132" s="26">
        <f t="shared" si="416"/>
        <v>0</v>
      </c>
      <c r="ED132" s="26">
        <f t="shared" si="416"/>
        <v>0</v>
      </c>
      <c r="EE132" s="26">
        <f t="shared" si="416"/>
        <v>0</v>
      </c>
      <c r="EF132" s="26">
        <f t="shared" si="416"/>
        <v>0</v>
      </c>
      <c r="EG132" s="26">
        <f t="shared" si="416"/>
        <v>0</v>
      </c>
      <c r="EH132" s="26">
        <f t="shared" si="416"/>
        <v>0</v>
      </c>
      <c r="EI132" s="26">
        <f t="shared" si="416"/>
        <v>0</v>
      </c>
      <c r="ER132" s="26" t="e">
        <f t="shared" si="415"/>
        <v>#DIV/0!</v>
      </c>
      <c r="ES132" s="26" t="e">
        <f t="shared" si="413"/>
        <v>#DIV/0!</v>
      </c>
      <c r="ET132" s="26" t="e">
        <f t="shared" si="413"/>
        <v>#DIV/0!</v>
      </c>
      <c r="EU132" s="26" t="e">
        <f t="shared" si="413"/>
        <v>#DIV/0!</v>
      </c>
      <c r="EV132" s="26" t="e">
        <f t="shared" si="413"/>
        <v>#DIV/0!</v>
      </c>
      <c r="EW132" s="26" t="e">
        <f t="shared" si="413"/>
        <v>#DIV/0!</v>
      </c>
      <c r="EX132" s="26" t="e">
        <f t="shared" si="413"/>
        <v>#DIV/0!</v>
      </c>
      <c r="EY132" s="26" t="e">
        <f t="shared" si="413"/>
        <v>#DIV/0!</v>
      </c>
      <c r="EZ132" s="26" t="e">
        <f t="shared" si="413"/>
        <v>#DIV/0!</v>
      </c>
      <c r="FA132" s="26" t="e">
        <f t="shared" si="413"/>
        <v>#DIV/0!</v>
      </c>
      <c r="FB132" s="26" t="e">
        <f t="shared" si="413"/>
        <v>#DIV/0!</v>
      </c>
      <c r="FC132" s="26" t="e">
        <f t="shared" si="413"/>
        <v>#DIV/0!</v>
      </c>
      <c r="FD132" s="26" t="e">
        <f t="shared" si="413"/>
        <v>#DIV/0!</v>
      </c>
      <c r="FM132" s="26" t="e">
        <f t="shared" si="313"/>
        <v>#DIV/0!</v>
      </c>
      <c r="FN132" s="26" t="e">
        <f t="shared" si="313"/>
        <v>#DIV/0!</v>
      </c>
      <c r="FO132" s="26" t="e">
        <f t="shared" si="313"/>
        <v>#DIV/0!</v>
      </c>
      <c r="FP132" s="26" t="e">
        <f t="shared" si="313"/>
        <v>#DIV/0!</v>
      </c>
      <c r="FQ132" s="26" t="e">
        <f t="shared" si="313"/>
        <v>#DIV/0!</v>
      </c>
      <c r="FR132" s="26" t="e">
        <f t="shared" si="313"/>
        <v>#DIV/0!</v>
      </c>
      <c r="FS132" s="26" t="e">
        <f t="shared" si="398"/>
        <v>#DIV/0!</v>
      </c>
      <c r="FT132" s="26" t="e">
        <f t="shared" si="398"/>
        <v>#DIV/0!</v>
      </c>
      <c r="FU132" s="26" t="e">
        <f t="shared" si="398"/>
        <v>#DIV/0!</v>
      </c>
      <c r="FV132" s="26" t="e">
        <f t="shared" si="398"/>
        <v>#DIV/0!</v>
      </c>
      <c r="FW132" s="26" t="e">
        <f t="shared" si="398"/>
        <v>#DIV/0!</v>
      </c>
      <c r="GH132" s="26" t="e">
        <f t="shared" si="314"/>
        <v>#DIV/0!</v>
      </c>
      <c r="GI132" s="26" t="e">
        <f t="shared" si="314"/>
        <v>#DIV/0!</v>
      </c>
      <c r="GJ132" s="26" t="e">
        <f t="shared" si="314"/>
        <v>#DIV/0!</v>
      </c>
      <c r="GK132" s="26" t="e">
        <f t="shared" si="314"/>
        <v>#DIV/0!</v>
      </c>
      <c r="GL132" s="26" t="e">
        <f t="shared" si="314"/>
        <v>#DIV/0!</v>
      </c>
      <c r="GM132" s="26" t="e">
        <f t="shared" si="314"/>
        <v>#DIV/0!</v>
      </c>
      <c r="GN132" s="26" t="e">
        <f t="shared" si="399"/>
        <v>#DIV/0!</v>
      </c>
      <c r="GO132" s="26" t="e">
        <f t="shared" si="399"/>
        <v>#DIV/0!</v>
      </c>
      <c r="GP132" s="26" t="e">
        <f t="shared" si="399"/>
        <v>#DIV/0!</v>
      </c>
      <c r="GQ132" s="26" t="e">
        <f t="shared" si="399"/>
        <v>#DIV/0!</v>
      </c>
      <c r="GR132" s="26" t="e">
        <f t="shared" si="399"/>
        <v>#DIV/0!</v>
      </c>
      <c r="GS132" s="26" t="e">
        <f t="shared" si="399"/>
        <v>#DIV/0!</v>
      </c>
      <c r="GT132" s="26" t="e">
        <f t="shared" si="315"/>
        <v>#DIV/0!</v>
      </c>
      <c r="HC132" s="26" t="e">
        <f t="shared" si="316"/>
        <v>#DIV/0!</v>
      </c>
      <c r="HD132" s="26" t="e">
        <f t="shared" si="316"/>
        <v>#DIV/0!</v>
      </c>
      <c r="HE132" s="26" t="e">
        <f t="shared" si="316"/>
        <v>#DIV/0!</v>
      </c>
      <c r="HF132" s="26" t="e">
        <f t="shared" si="316"/>
        <v>#DIV/0!</v>
      </c>
      <c r="HG132" s="26" t="e">
        <f t="shared" si="316"/>
        <v>#DIV/0!</v>
      </c>
      <c r="HH132" s="26" t="e">
        <f t="shared" si="316"/>
        <v>#DIV/0!</v>
      </c>
      <c r="HI132" s="26" t="e">
        <f t="shared" si="400"/>
        <v>#DIV/0!</v>
      </c>
      <c r="HJ132" s="26" t="e">
        <f t="shared" si="400"/>
        <v>#DIV/0!</v>
      </c>
      <c r="HK132" s="26" t="e">
        <f t="shared" si="400"/>
        <v>#DIV/0!</v>
      </c>
      <c r="HL132" s="26" t="e">
        <f t="shared" si="400"/>
        <v>#DIV/0!</v>
      </c>
      <c r="HM132" s="26" t="e">
        <f t="shared" si="400"/>
        <v>#DIV/0!</v>
      </c>
      <c r="HN132" s="26" t="e">
        <f t="shared" si="400"/>
        <v>#DIV/0!</v>
      </c>
      <c r="HO132" s="26" t="e">
        <f t="shared" si="317"/>
        <v>#DIV/0!</v>
      </c>
      <c r="HP132" s="26">
        <f t="shared" si="442"/>
        <v>1031889.3409120624</v>
      </c>
      <c r="HX132" s="26" t="e">
        <f t="shared" si="443"/>
        <v>#DIV/0!</v>
      </c>
      <c r="HY132" s="26" t="e">
        <f t="shared" si="444"/>
        <v>#DIV/0!</v>
      </c>
      <c r="HZ132" s="26" t="e">
        <f t="shared" si="445"/>
        <v>#DIV/0!</v>
      </c>
      <c r="IA132" s="26" t="e">
        <f t="shared" si="446"/>
        <v>#DIV/0!</v>
      </c>
      <c r="IB132" s="26" t="e">
        <f t="shared" si="447"/>
        <v>#DIV/0!</v>
      </c>
      <c r="IC132" s="26" t="e">
        <f t="shared" si="448"/>
        <v>#DIV/0!</v>
      </c>
      <c r="ID132" s="26" t="e">
        <f t="shared" si="449"/>
        <v>#DIV/0!</v>
      </c>
      <c r="IE132" s="26" t="e">
        <f t="shared" si="450"/>
        <v>#DIV/0!</v>
      </c>
      <c r="IF132" s="26" t="e">
        <f t="shared" si="451"/>
        <v>#DIV/0!</v>
      </c>
      <c r="IG132" s="26" t="e">
        <f t="shared" si="452"/>
        <v>#DIV/0!</v>
      </c>
      <c r="IH132" s="26" t="e">
        <f t="shared" si="453"/>
        <v>#DIV/0!</v>
      </c>
      <c r="II132" s="26" t="e">
        <f t="shared" si="454"/>
        <v>#DIV/0!</v>
      </c>
      <c r="IR132" s="26" t="e">
        <f t="shared" si="455"/>
        <v>#DIV/0!</v>
      </c>
      <c r="IS132" s="26" t="e">
        <f t="shared" si="456"/>
        <v>#DIV/0!</v>
      </c>
      <c r="IT132" s="26" t="e">
        <f t="shared" si="457"/>
        <v>#DIV/0!</v>
      </c>
      <c r="IU132" s="26" t="e">
        <f t="shared" si="458"/>
        <v>#DIV/0!</v>
      </c>
      <c r="IV132" s="26" t="e">
        <f t="shared" si="459"/>
        <v>#DIV/0!</v>
      </c>
      <c r="IW132" s="26" t="e">
        <f t="shared" si="460"/>
        <v>#DIV/0!</v>
      </c>
      <c r="IX132" s="26" t="e">
        <f t="shared" si="461"/>
        <v>#DIV/0!</v>
      </c>
      <c r="IY132" s="26" t="e">
        <f t="shared" si="462"/>
        <v>#DIV/0!</v>
      </c>
      <c r="IZ132" s="26" t="e">
        <f t="shared" si="463"/>
        <v>#DIV/0!</v>
      </c>
      <c r="JA132" s="26" t="e">
        <f t="shared" si="464"/>
        <v>#DIV/0!</v>
      </c>
      <c r="JB132" s="26" t="e">
        <f t="shared" si="465"/>
        <v>#DIV/0!</v>
      </c>
      <c r="JC132" s="26" t="e">
        <f t="shared" si="466"/>
        <v>#DIV/0!</v>
      </c>
      <c r="JI132" s="26">
        <f t="shared" si="343"/>
        <v>0</v>
      </c>
      <c r="JJ132" s="26">
        <f t="shared" si="344"/>
        <v>0</v>
      </c>
      <c r="JK132" s="26" t="e">
        <f t="shared" si="345"/>
        <v>#DIV/0!</v>
      </c>
      <c r="JL132" s="26" t="e">
        <f t="shared" si="346"/>
        <v>#DIV/0!</v>
      </c>
      <c r="JM132" s="26" t="e">
        <f t="shared" si="347"/>
        <v>#DIV/0!</v>
      </c>
      <c r="JN132" s="26" t="e">
        <f t="shared" si="348"/>
        <v>#DIV/0!</v>
      </c>
      <c r="JO132" s="26" t="e">
        <f t="shared" si="349"/>
        <v>#DIV/0!</v>
      </c>
      <c r="JP132" s="26" t="e">
        <f t="shared" si="350"/>
        <v>#DIV/0!</v>
      </c>
      <c r="JQ132" s="26" t="e">
        <f t="shared" si="351"/>
        <v>#DIV/0!</v>
      </c>
      <c r="JR132" s="26" t="e">
        <f t="shared" si="352"/>
        <v>#DIV/0!</v>
      </c>
      <c r="JS132" s="26" t="e">
        <f t="shared" si="353"/>
        <v>#DIV/0!</v>
      </c>
      <c r="JT132" s="26" t="e">
        <f t="shared" si="354"/>
        <v>#DIV/0!</v>
      </c>
      <c r="JU132" s="26" t="e">
        <f t="shared" si="355"/>
        <v>#DIV/0!</v>
      </c>
      <c r="JV132" s="26" t="e">
        <f t="shared" si="356"/>
        <v>#DIV/0!</v>
      </c>
      <c r="JW132" s="26" t="e">
        <f t="shared" si="357"/>
        <v>#DIV/0!</v>
      </c>
      <c r="JY132" s="34">
        <f t="shared" si="467"/>
        <v>0.89615384615384619</v>
      </c>
      <c r="JZ132" s="4">
        <f t="shared" si="468"/>
        <v>0</v>
      </c>
      <c r="KA132" s="165"/>
    </row>
    <row r="133" spans="1:287" ht="15.75" x14ac:dyDescent="0.3">
      <c r="A133" s="34">
        <v>132</v>
      </c>
      <c r="B133" s="34">
        <v>105</v>
      </c>
      <c r="C133" s="2">
        <v>2</v>
      </c>
      <c r="D133" s="1">
        <f t="shared" si="360"/>
        <v>2</v>
      </c>
      <c r="E133" s="145">
        <f t="shared" si="361"/>
        <v>0</v>
      </c>
      <c r="F133" s="146">
        <f t="shared" si="362"/>
        <v>1</v>
      </c>
      <c r="G133" s="158">
        <f t="shared" si="417"/>
        <v>1.25</v>
      </c>
      <c r="H133" s="43">
        <f t="shared" si="363"/>
        <v>1.5253262463268752E-3</v>
      </c>
      <c r="I133" s="43">
        <f t="shared" si="390"/>
        <v>1.2202609970615001E-3</v>
      </c>
      <c r="J133" s="43">
        <f t="shared" si="364"/>
        <v>1</v>
      </c>
      <c r="K133" s="147">
        <f>SUM(J133:$J$138)</f>
        <v>1</v>
      </c>
      <c r="L133" s="147">
        <f t="shared" si="365"/>
        <v>0.5</v>
      </c>
      <c r="M133" s="43">
        <f t="shared" si="418"/>
        <v>1.25</v>
      </c>
      <c r="N133" s="148">
        <f t="shared" si="419"/>
        <v>1.25</v>
      </c>
      <c r="O133" s="147">
        <f t="shared" si="287"/>
        <v>0.625</v>
      </c>
      <c r="P133" s="157">
        <f t="shared" si="420"/>
        <v>3.2939424108272912E-5</v>
      </c>
      <c r="Q133" s="43">
        <f t="shared" si="421"/>
        <v>2.5</v>
      </c>
      <c r="R133" s="43">
        <f t="shared" si="422"/>
        <v>4.0472109376162812E-5</v>
      </c>
      <c r="S133" s="43">
        <f>SUM(R133:$R$138)</f>
        <v>4.0472109376162812E-5</v>
      </c>
      <c r="T133" s="43">
        <f t="shared" si="366"/>
        <v>4.0472109376162812E-5</v>
      </c>
      <c r="U133" s="153">
        <f>SUM(P133:$P$138)</f>
        <v>3.2939424108272912E-5</v>
      </c>
      <c r="V133" s="129">
        <f t="shared" si="423"/>
        <v>3.2939424108272912E-5</v>
      </c>
      <c r="W133" s="43">
        <f t="shared" si="424"/>
        <v>3.2939424108272912E-5</v>
      </c>
      <c r="X133" s="26">
        <f t="shared" si="367"/>
        <v>0</v>
      </c>
      <c r="Y133" s="26">
        <f t="shared" si="368"/>
        <v>1</v>
      </c>
      <c r="Z133" s="43">
        <f t="shared" si="425"/>
        <v>4.0472109376162812E-5</v>
      </c>
      <c r="AA133" s="149">
        <f t="shared" si="369"/>
        <v>0</v>
      </c>
      <c r="AB133" s="150">
        <f t="shared" si="370"/>
        <v>0</v>
      </c>
      <c r="AC133" s="150">
        <f t="shared" si="371"/>
        <v>0</v>
      </c>
      <c r="AD133" s="26">
        <f t="shared" si="372"/>
        <v>0</v>
      </c>
      <c r="AE133" s="26">
        <f t="shared" si="426"/>
        <v>1240047.053298505</v>
      </c>
      <c r="AF133" s="43" t="e">
        <f t="shared" si="427"/>
        <v>#DIV/0!</v>
      </c>
      <c r="AG133" s="43">
        <f t="shared" si="428"/>
        <v>1277248.4648974603</v>
      </c>
      <c r="AH133" s="27" t="e">
        <f t="shared" si="429"/>
        <v>#DIV/0!</v>
      </c>
      <c r="AI133" s="28">
        <f t="shared" si="430"/>
        <v>1373385.4461263015</v>
      </c>
      <c r="AJ133" s="20" t="e">
        <f t="shared" si="431"/>
        <v>#DIV/0!</v>
      </c>
      <c r="AK133" s="3" t="e">
        <f t="shared" si="432"/>
        <v>#DIV/0!</v>
      </c>
      <c r="AL133" s="3"/>
      <c r="AM133" s="46">
        <f t="shared" si="373"/>
        <v>0</v>
      </c>
      <c r="AN133" s="46">
        <f t="shared" si="374"/>
        <v>0</v>
      </c>
      <c r="AO133" s="46">
        <f t="shared" si="374"/>
        <v>0</v>
      </c>
      <c r="AP133" s="3">
        <f t="shared" si="414"/>
        <v>0</v>
      </c>
      <c r="AQ133" s="3">
        <f t="shared" si="414"/>
        <v>0</v>
      </c>
      <c r="AR133" s="16">
        <f t="shared" si="414"/>
        <v>0</v>
      </c>
      <c r="AS133" s="16">
        <f t="shared" si="414"/>
        <v>0</v>
      </c>
      <c r="AT133" s="16">
        <f t="shared" si="414"/>
        <v>0</v>
      </c>
      <c r="AU133" s="16">
        <f t="shared" si="414"/>
        <v>0</v>
      </c>
      <c r="AV133" s="16">
        <f t="shared" si="414"/>
        <v>0</v>
      </c>
      <c r="AW133" s="16">
        <f t="shared" si="414"/>
        <v>0</v>
      </c>
      <c r="AX133" s="16">
        <f t="shared" si="469"/>
        <v>0</v>
      </c>
      <c r="AY133" s="16">
        <f t="shared" si="469"/>
        <v>0</v>
      </c>
      <c r="AZ133" s="16">
        <f t="shared" si="469"/>
        <v>0</v>
      </c>
      <c r="BA133" s="16">
        <f t="shared" si="469"/>
        <v>0</v>
      </c>
      <c r="BB133" s="16">
        <f t="shared" si="469"/>
        <v>0</v>
      </c>
      <c r="BC133" s="16">
        <f t="shared" si="469"/>
        <v>0</v>
      </c>
      <c r="BD133" s="16">
        <f t="shared" si="469"/>
        <v>0</v>
      </c>
      <c r="BE133" s="16">
        <f t="shared" si="469"/>
        <v>0</v>
      </c>
      <c r="BF133" s="16">
        <f t="shared" si="469"/>
        <v>0</v>
      </c>
      <c r="BG133" s="16">
        <f t="shared" si="469"/>
        <v>0</v>
      </c>
      <c r="BH133" s="172">
        <f t="shared" si="375"/>
        <v>0</v>
      </c>
      <c r="BI133" s="16">
        <f t="shared" si="470"/>
        <v>0</v>
      </c>
      <c r="BJ133" s="16">
        <f t="shared" si="470"/>
        <v>0</v>
      </c>
      <c r="BK133" s="16">
        <f t="shared" si="470"/>
        <v>0</v>
      </c>
      <c r="BL133" s="16">
        <f t="shared" si="470"/>
        <v>0</v>
      </c>
      <c r="BM133" s="16">
        <f t="shared" si="470"/>
        <v>0</v>
      </c>
      <c r="BN133" s="16">
        <f t="shared" si="470"/>
        <v>0</v>
      </c>
      <c r="BO133" s="16">
        <f t="shared" si="470"/>
        <v>0</v>
      </c>
      <c r="BP133" s="16">
        <f t="shared" si="470"/>
        <v>0</v>
      </c>
      <c r="BQ133" s="16">
        <f t="shared" si="470"/>
        <v>0</v>
      </c>
      <c r="BR133" s="16">
        <f t="shared" si="470"/>
        <v>0</v>
      </c>
      <c r="BS133" s="16">
        <f t="shared" si="470"/>
        <v>0</v>
      </c>
      <c r="BT133" s="16">
        <f t="shared" si="470"/>
        <v>0</v>
      </c>
      <c r="BU133" s="16">
        <f t="shared" si="470"/>
        <v>0</v>
      </c>
      <c r="BV133" s="16">
        <f t="shared" si="470"/>
        <v>0</v>
      </c>
      <c r="BW133" s="16">
        <f t="shared" si="470"/>
        <v>0</v>
      </c>
      <c r="BX133" s="16">
        <f t="shared" si="470"/>
        <v>0</v>
      </c>
      <c r="BY133" s="16">
        <f t="shared" ref="BV133:CB138" si="472">BX134</f>
        <v>0</v>
      </c>
      <c r="BZ133" s="16">
        <f t="shared" si="472"/>
        <v>0</v>
      </c>
      <c r="CA133" s="16">
        <f t="shared" si="472"/>
        <v>0</v>
      </c>
      <c r="CB133" s="16">
        <f t="shared" si="472"/>
        <v>0</v>
      </c>
      <c r="CC133" s="18" t="e">
        <f t="shared" si="376"/>
        <v>#DIV/0!</v>
      </c>
      <c r="CD133" s="18" t="e">
        <f t="shared" si="376"/>
        <v>#DIV/0!</v>
      </c>
      <c r="CE133" s="18" t="e">
        <f t="shared" si="376"/>
        <v>#DIV/0!</v>
      </c>
      <c r="CF133" s="18" t="e">
        <f t="shared" si="376"/>
        <v>#DIV/0!</v>
      </c>
      <c r="CG133" s="18" t="e">
        <f t="shared" si="280"/>
        <v>#DIV/0!</v>
      </c>
      <c r="CH133" s="18" t="e">
        <f t="shared" si="280"/>
        <v>#DIV/0!</v>
      </c>
      <c r="CI133" s="18" t="e">
        <f t="shared" si="280"/>
        <v>#DIV/0!</v>
      </c>
      <c r="CJ133" s="18" t="e">
        <f t="shared" si="280"/>
        <v>#DIV/0!</v>
      </c>
      <c r="CK133" s="18" t="e">
        <f t="shared" si="396"/>
        <v>#DIV/0!</v>
      </c>
      <c r="CL133" s="18" t="e">
        <f t="shared" si="396"/>
        <v>#DIV/0!</v>
      </c>
      <c r="CM133" s="18" t="e">
        <f t="shared" si="396"/>
        <v>#DIV/0!</v>
      </c>
      <c r="CN133" s="18" t="e">
        <f t="shared" si="396"/>
        <v>#DIV/0!</v>
      </c>
      <c r="CO133" s="18" t="e">
        <f t="shared" si="397"/>
        <v>#DIV/0!</v>
      </c>
      <c r="CP133" s="18" t="e">
        <f t="shared" si="397"/>
        <v>#DIV/0!</v>
      </c>
      <c r="CQ133" s="18" t="e">
        <f t="shared" si="397"/>
        <v>#DIV/0!</v>
      </c>
      <c r="CR133" s="18" t="e">
        <f t="shared" si="397"/>
        <v>#DIV/0!</v>
      </c>
      <c r="CS133" s="18" t="e">
        <f t="shared" si="397"/>
        <v>#DIV/0!</v>
      </c>
      <c r="CT133" s="18" t="e">
        <f t="shared" si="397"/>
        <v>#DIV/0!</v>
      </c>
      <c r="CU133" s="18" t="e">
        <f t="shared" si="397"/>
        <v>#DIV/0!</v>
      </c>
      <c r="CV133" s="18" t="e">
        <f t="shared" si="397"/>
        <v>#DIV/0!</v>
      </c>
      <c r="CW133" s="18" t="e">
        <f t="shared" si="411"/>
        <v>#DIV/0!</v>
      </c>
      <c r="CX133" s="17">
        <f t="shared" si="433"/>
        <v>0</v>
      </c>
      <c r="CY133" s="17">
        <f t="shared" si="471"/>
        <v>0</v>
      </c>
      <c r="CZ133" s="17">
        <f t="shared" si="471"/>
        <v>0</v>
      </c>
      <c r="DA133" s="17">
        <f t="shared" si="471"/>
        <v>0</v>
      </c>
      <c r="DB133" s="17">
        <f t="shared" si="471"/>
        <v>0</v>
      </c>
      <c r="DC133" s="17">
        <f t="shared" si="471"/>
        <v>0</v>
      </c>
      <c r="DD133" s="17">
        <f t="shared" si="471"/>
        <v>0</v>
      </c>
      <c r="DE133" s="17">
        <f t="shared" si="471"/>
        <v>0</v>
      </c>
      <c r="DF133" s="3" t="e">
        <f>#REF!+$AG$35*0.004*(1+$R$28)*#REF!-S133*#REF!</f>
        <v>#REF!</v>
      </c>
      <c r="DG133" s="19" t="e">
        <f t="shared" si="434"/>
        <v>#DIV/0!</v>
      </c>
      <c r="DH133" s="19" t="e">
        <f t="shared" si="435"/>
        <v>#DIV/0!</v>
      </c>
      <c r="DI133" s="19" t="e">
        <f t="shared" si="436"/>
        <v>#DIV/0!</v>
      </c>
      <c r="DJ133" s="19" t="e">
        <f t="shared" si="437"/>
        <v>#DIV/0!</v>
      </c>
      <c r="DK133" s="19" t="e">
        <f t="shared" si="438"/>
        <v>#DIV/0!</v>
      </c>
      <c r="DL133" s="19" t="e">
        <f t="shared" si="439"/>
        <v>#DIV/0!</v>
      </c>
      <c r="DM133" s="19" t="e">
        <f t="shared" si="440"/>
        <v>#DIV/0!</v>
      </c>
      <c r="DN133" s="19" t="e">
        <f t="shared" si="441"/>
        <v>#DIV/0!</v>
      </c>
      <c r="DW133" s="26">
        <f t="shared" si="416"/>
        <v>0</v>
      </c>
      <c r="DX133" s="26">
        <f t="shared" si="416"/>
        <v>0</v>
      </c>
      <c r="DY133" s="26">
        <f t="shared" si="416"/>
        <v>0</v>
      </c>
      <c r="DZ133" s="26">
        <f t="shared" si="416"/>
        <v>0</v>
      </c>
      <c r="EA133" s="26">
        <f t="shared" si="416"/>
        <v>0</v>
      </c>
      <c r="EB133" s="26">
        <f t="shared" si="416"/>
        <v>0</v>
      </c>
      <c r="EC133" s="26">
        <f t="shared" si="416"/>
        <v>0</v>
      </c>
      <c r="ED133" s="26">
        <f t="shared" si="416"/>
        <v>0</v>
      </c>
      <c r="EE133" s="26">
        <f t="shared" si="416"/>
        <v>0</v>
      </c>
      <c r="EF133" s="26">
        <f t="shared" si="416"/>
        <v>0</v>
      </c>
      <c r="EG133" s="26">
        <f t="shared" si="416"/>
        <v>0</v>
      </c>
      <c r="EH133" s="26">
        <f t="shared" si="416"/>
        <v>0</v>
      </c>
      <c r="EI133" s="26">
        <f t="shared" si="416"/>
        <v>0</v>
      </c>
      <c r="ER133" s="26" t="e">
        <f t="shared" si="415"/>
        <v>#DIV/0!</v>
      </c>
      <c r="ES133" s="26" t="e">
        <f t="shared" si="413"/>
        <v>#DIV/0!</v>
      </c>
      <c r="ET133" s="26" t="e">
        <f t="shared" si="413"/>
        <v>#DIV/0!</v>
      </c>
      <c r="EU133" s="26" t="e">
        <f t="shared" si="413"/>
        <v>#DIV/0!</v>
      </c>
      <c r="EV133" s="26" t="e">
        <f t="shared" si="413"/>
        <v>#DIV/0!</v>
      </c>
      <c r="EW133" s="26" t="e">
        <f t="shared" si="413"/>
        <v>#DIV/0!</v>
      </c>
      <c r="EX133" s="26" t="e">
        <f t="shared" si="413"/>
        <v>#DIV/0!</v>
      </c>
      <c r="EY133" s="26" t="e">
        <f t="shared" si="413"/>
        <v>#DIV/0!</v>
      </c>
      <c r="EZ133" s="26" t="e">
        <f t="shared" si="413"/>
        <v>#DIV/0!</v>
      </c>
      <c r="FA133" s="26" t="e">
        <f t="shared" si="413"/>
        <v>#DIV/0!</v>
      </c>
      <c r="FB133" s="26" t="e">
        <f t="shared" si="413"/>
        <v>#DIV/0!</v>
      </c>
      <c r="FC133" s="26" t="e">
        <f t="shared" si="413"/>
        <v>#DIV/0!</v>
      </c>
      <c r="FD133" s="26" t="e">
        <f t="shared" si="413"/>
        <v>#DIV/0!</v>
      </c>
      <c r="FM133" s="26" t="e">
        <f t="shared" si="313"/>
        <v>#DIV/0!</v>
      </c>
      <c r="FN133" s="26" t="e">
        <f t="shared" si="313"/>
        <v>#DIV/0!</v>
      </c>
      <c r="FO133" s="26" t="e">
        <f t="shared" si="313"/>
        <v>#DIV/0!</v>
      </c>
      <c r="FP133" s="26" t="e">
        <f t="shared" si="313"/>
        <v>#DIV/0!</v>
      </c>
      <c r="FQ133" s="26" t="e">
        <f t="shared" si="313"/>
        <v>#DIV/0!</v>
      </c>
      <c r="FR133" s="26" t="e">
        <f t="shared" si="313"/>
        <v>#DIV/0!</v>
      </c>
      <c r="FS133" s="26" t="e">
        <f t="shared" si="398"/>
        <v>#DIV/0!</v>
      </c>
      <c r="FT133" s="26" t="e">
        <f t="shared" si="398"/>
        <v>#DIV/0!</v>
      </c>
      <c r="FU133" s="26" t="e">
        <f t="shared" si="398"/>
        <v>#DIV/0!</v>
      </c>
      <c r="FV133" s="26" t="e">
        <f t="shared" si="398"/>
        <v>#DIV/0!</v>
      </c>
      <c r="FW133" s="26" t="e">
        <f t="shared" si="398"/>
        <v>#DIV/0!</v>
      </c>
      <c r="GH133" s="26" t="e">
        <f t="shared" si="314"/>
        <v>#DIV/0!</v>
      </c>
      <c r="GI133" s="26" t="e">
        <f t="shared" si="314"/>
        <v>#DIV/0!</v>
      </c>
      <c r="GJ133" s="26" t="e">
        <f t="shared" si="314"/>
        <v>#DIV/0!</v>
      </c>
      <c r="GK133" s="26" t="e">
        <f t="shared" si="314"/>
        <v>#DIV/0!</v>
      </c>
      <c r="GL133" s="26" t="e">
        <f t="shared" si="314"/>
        <v>#DIV/0!</v>
      </c>
      <c r="GM133" s="26" t="e">
        <f t="shared" si="314"/>
        <v>#DIV/0!</v>
      </c>
      <c r="GN133" s="26" t="e">
        <f t="shared" si="399"/>
        <v>#DIV/0!</v>
      </c>
      <c r="GO133" s="26" t="e">
        <f t="shared" si="399"/>
        <v>#DIV/0!</v>
      </c>
      <c r="GP133" s="26" t="e">
        <f t="shared" si="399"/>
        <v>#DIV/0!</v>
      </c>
      <c r="GQ133" s="26" t="e">
        <f t="shared" si="399"/>
        <v>#DIV/0!</v>
      </c>
      <c r="GR133" s="26" t="e">
        <f t="shared" si="399"/>
        <v>#DIV/0!</v>
      </c>
      <c r="GS133" s="26" t="e">
        <f t="shared" si="399"/>
        <v>#DIV/0!</v>
      </c>
      <c r="GT133" s="26" t="e">
        <f t="shared" si="315"/>
        <v>#DIV/0!</v>
      </c>
      <c r="HC133" s="26" t="e">
        <f t="shared" si="316"/>
        <v>#DIV/0!</v>
      </c>
      <c r="HD133" s="26" t="e">
        <f t="shared" si="316"/>
        <v>#DIV/0!</v>
      </c>
      <c r="HE133" s="26" t="e">
        <f t="shared" si="316"/>
        <v>#DIV/0!</v>
      </c>
      <c r="HF133" s="26" t="e">
        <f t="shared" si="316"/>
        <v>#DIV/0!</v>
      </c>
      <c r="HG133" s="26" t="e">
        <f t="shared" si="316"/>
        <v>#DIV/0!</v>
      </c>
      <c r="HH133" s="26" t="e">
        <f t="shared" si="316"/>
        <v>#DIV/0!</v>
      </c>
      <c r="HI133" s="26" t="e">
        <f t="shared" si="400"/>
        <v>#DIV/0!</v>
      </c>
      <c r="HJ133" s="26" t="e">
        <f t="shared" si="400"/>
        <v>#DIV/0!</v>
      </c>
      <c r="HK133" s="26" t="e">
        <f t="shared" si="400"/>
        <v>#DIV/0!</v>
      </c>
      <c r="HL133" s="26" t="e">
        <f t="shared" si="400"/>
        <v>#DIV/0!</v>
      </c>
      <c r="HM133" s="26" t="e">
        <f t="shared" si="400"/>
        <v>#DIV/0!</v>
      </c>
      <c r="HN133" s="26" t="e">
        <f t="shared" si="400"/>
        <v>#DIV/0!</v>
      </c>
      <c r="HO133" s="26" t="e">
        <f t="shared" si="317"/>
        <v>#DIV/0!</v>
      </c>
      <c r="HP133" s="26">
        <f t="shared" si="442"/>
        <v>1031889.3409120624</v>
      </c>
      <c r="HX133" s="26" t="e">
        <f t="shared" si="443"/>
        <v>#DIV/0!</v>
      </c>
      <c r="HY133" s="26" t="e">
        <f t="shared" si="444"/>
        <v>#DIV/0!</v>
      </c>
      <c r="HZ133" s="26" t="e">
        <f t="shared" si="445"/>
        <v>#DIV/0!</v>
      </c>
      <c r="IA133" s="26" t="e">
        <f t="shared" si="446"/>
        <v>#DIV/0!</v>
      </c>
      <c r="IB133" s="26" t="e">
        <f t="shared" si="447"/>
        <v>#DIV/0!</v>
      </c>
      <c r="IC133" s="26" t="e">
        <f t="shared" si="448"/>
        <v>#DIV/0!</v>
      </c>
      <c r="ID133" s="26" t="e">
        <f t="shared" si="449"/>
        <v>#DIV/0!</v>
      </c>
      <c r="IE133" s="26" t="e">
        <f t="shared" si="450"/>
        <v>#DIV/0!</v>
      </c>
      <c r="IF133" s="26" t="e">
        <f t="shared" si="451"/>
        <v>#DIV/0!</v>
      </c>
      <c r="IG133" s="26" t="e">
        <f t="shared" si="452"/>
        <v>#DIV/0!</v>
      </c>
      <c r="IH133" s="26" t="e">
        <f t="shared" si="453"/>
        <v>#DIV/0!</v>
      </c>
      <c r="II133" s="26" t="e">
        <f t="shared" si="454"/>
        <v>#DIV/0!</v>
      </c>
      <c r="IR133" s="26" t="e">
        <f t="shared" si="455"/>
        <v>#DIV/0!</v>
      </c>
      <c r="IS133" s="26" t="e">
        <f t="shared" si="456"/>
        <v>#DIV/0!</v>
      </c>
      <c r="IT133" s="26" t="e">
        <f t="shared" si="457"/>
        <v>#DIV/0!</v>
      </c>
      <c r="IU133" s="26" t="e">
        <f t="shared" si="458"/>
        <v>#DIV/0!</v>
      </c>
      <c r="IV133" s="26" t="e">
        <f t="shared" si="459"/>
        <v>#DIV/0!</v>
      </c>
      <c r="IW133" s="26" t="e">
        <f t="shared" si="460"/>
        <v>#DIV/0!</v>
      </c>
      <c r="IX133" s="26" t="e">
        <f t="shared" si="461"/>
        <v>#DIV/0!</v>
      </c>
      <c r="IY133" s="26" t="e">
        <f t="shared" si="462"/>
        <v>#DIV/0!</v>
      </c>
      <c r="IZ133" s="26" t="e">
        <f t="shared" si="463"/>
        <v>#DIV/0!</v>
      </c>
      <c r="JA133" s="26" t="e">
        <f t="shared" si="464"/>
        <v>#DIV/0!</v>
      </c>
      <c r="JB133" s="26" t="e">
        <f t="shared" si="465"/>
        <v>#DIV/0!</v>
      </c>
      <c r="JC133" s="26" t="e">
        <f t="shared" si="466"/>
        <v>#DIV/0!</v>
      </c>
      <c r="JI133" s="26" t="e">
        <f t="shared" si="343"/>
        <v>#DIV/0!</v>
      </c>
      <c r="JJ133" s="26" t="e">
        <f t="shared" si="344"/>
        <v>#DIV/0!</v>
      </c>
      <c r="JK133" s="26" t="e">
        <f t="shared" si="345"/>
        <v>#DIV/0!</v>
      </c>
      <c r="JL133" s="26" t="e">
        <f t="shared" si="346"/>
        <v>#DIV/0!</v>
      </c>
      <c r="JM133" s="26" t="e">
        <f t="shared" si="347"/>
        <v>#DIV/0!</v>
      </c>
      <c r="JN133" s="26" t="e">
        <f t="shared" si="348"/>
        <v>#DIV/0!</v>
      </c>
      <c r="JO133" s="26" t="e">
        <f t="shared" si="349"/>
        <v>#DIV/0!</v>
      </c>
      <c r="JP133" s="26" t="e">
        <f t="shared" si="350"/>
        <v>#DIV/0!</v>
      </c>
      <c r="JQ133" s="26" t="e">
        <f t="shared" si="351"/>
        <v>#DIV/0!</v>
      </c>
      <c r="JR133" s="26" t="e">
        <f t="shared" si="352"/>
        <v>#DIV/0!</v>
      </c>
      <c r="JS133" s="26" t="e">
        <f t="shared" si="353"/>
        <v>#DIV/0!</v>
      </c>
      <c r="JT133" s="26" t="e">
        <f t="shared" si="354"/>
        <v>#DIV/0!</v>
      </c>
      <c r="JU133" s="26" t="e">
        <f t="shared" si="355"/>
        <v>#DIV/0!</v>
      </c>
      <c r="JV133" s="26" t="e">
        <f t="shared" si="356"/>
        <v>#DIV/0!</v>
      </c>
      <c r="JW133" s="26" t="e">
        <f t="shared" si="357"/>
        <v>#DIV/0!</v>
      </c>
      <c r="JY133" s="34">
        <f t="shared" si="467"/>
        <v>1.05</v>
      </c>
      <c r="JZ133" s="4" t="e">
        <f t="shared" si="468"/>
        <v>#DIV/0!</v>
      </c>
      <c r="KA133" s="165"/>
    </row>
    <row r="134" spans="1:287" x14ac:dyDescent="0.25">
      <c r="A134" s="34"/>
      <c r="B134" s="34"/>
      <c r="C134" s="2"/>
      <c r="D134" s="1"/>
      <c r="E134" s="145"/>
      <c r="F134" s="146"/>
      <c r="G134" s="152"/>
      <c r="H134" s="43"/>
      <c r="I134" s="43"/>
      <c r="J134" s="43"/>
      <c r="K134" s="147"/>
      <c r="L134" s="147"/>
      <c r="M134" s="43"/>
      <c r="N134" s="148"/>
      <c r="O134" s="147"/>
      <c r="P134" s="157"/>
      <c r="Q134" s="43"/>
      <c r="R134" s="43"/>
      <c r="S134" s="43"/>
      <c r="T134" s="43"/>
      <c r="U134" s="153"/>
      <c r="V134" s="129"/>
      <c r="W134" s="43"/>
      <c r="X134" s="26"/>
      <c r="Y134" s="26"/>
      <c r="Z134" s="43"/>
      <c r="AA134" s="149"/>
      <c r="AB134" s="150"/>
      <c r="AC134" s="150"/>
      <c r="AD134" s="26"/>
      <c r="AE134" s="26"/>
      <c r="AF134" s="43"/>
      <c r="AG134" s="43"/>
      <c r="AI134" s="28"/>
      <c r="AJ134" s="20"/>
      <c r="AU134" s="16">
        <f t="shared" si="414"/>
        <v>0</v>
      </c>
      <c r="AV134" s="16">
        <f t="shared" si="414"/>
        <v>0</v>
      </c>
      <c r="AW134" s="16">
        <f t="shared" si="414"/>
        <v>0</v>
      </c>
      <c r="AX134" s="16">
        <f t="shared" si="469"/>
        <v>0</v>
      </c>
      <c r="AY134" s="16">
        <f t="shared" si="469"/>
        <v>0</v>
      </c>
      <c r="AZ134" s="16">
        <f t="shared" si="469"/>
        <v>0</v>
      </c>
      <c r="BA134" s="16">
        <f t="shared" si="469"/>
        <v>0</v>
      </c>
      <c r="BB134" s="16">
        <f t="shared" si="469"/>
        <v>0</v>
      </c>
      <c r="BC134" s="16">
        <f t="shared" si="469"/>
        <v>0</v>
      </c>
      <c r="BD134" s="16">
        <f t="shared" si="469"/>
        <v>0</v>
      </c>
      <c r="BE134" s="16">
        <f t="shared" si="469"/>
        <v>0</v>
      </c>
      <c r="BF134" s="16">
        <f t="shared" si="469"/>
        <v>0</v>
      </c>
      <c r="BG134" s="16">
        <f t="shared" si="469"/>
        <v>0</v>
      </c>
      <c r="BL134" s="16">
        <f t="shared" si="470"/>
        <v>0</v>
      </c>
      <c r="BM134" s="16">
        <f t="shared" si="470"/>
        <v>0</v>
      </c>
      <c r="BN134" s="16">
        <f t="shared" si="470"/>
        <v>0</v>
      </c>
      <c r="BO134" s="16">
        <f t="shared" si="470"/>
        <v>0</v>
      </c>
      <c r="BP134" s="16">
        <f t="shared" si="470"/>
        <v>0</v>
      </c>
      <c r="BQ134" s="16">
        <f t="shared" si="470"/>
        <v>0</v>
      </c>
      <c r="BR134" s="16">
        <f t="shared" si="470"/>
        <v>0</v>
      </c>
      <c r="BS134" s="16">
        <f t="shared" si="470"/>
        <v>0</v>
      </c>
      <c r="BT134" s="16">
        <f t="shared" si="470"/>
        <v>0</v>
      </c>
      <c r="BU134" s="16">
        <f t="shared" si="470"/>
        <v>0</v>
      </c>
      <c r="BV134" s="16">
        <f t="shared" si="472"/>
        <v>0</v>
      </c>
      <c r="BW134" s="16">
        <f t="shared" si="472"/>
        <v>0</v>
      </c>
      <c r="BX134" s="16">
        <f t="shared" si="472"/>
        <v>0</v>
      </c>
      <c r="BY134" s="16">
        <f t="shared" si="472"/>
        <v>0</v>
      </c>
      <c r="BZ134" s="16">
        <f t="shared" si="472"/>
        <v>0</v>
      </c>
      <c r="CA134" s="16">
        <f t="shared" si="472"/>
        <v>0</v>
      </c>
      <c r="CB134" s="16">
        <f t="shared" si="472"/>
        <v>0</v>
      </c>
      <c r="CC134" s="18" t="e">
        <f t="shared" si="376"/>
        <v>#DIV/0!</v>
      </c>
      <c r="CD134" s="18" t="e">
        <f t="shared" si="376"/>
        <v>#DIV/0!</v>
      </c>
      <c r="CE134" s="18" t="e">
        <f t="shared" si="376"/>
        <v>#DIV/0!</v>
      </c>
      <c r="CF134" s="18" t="e">
        <f t="shared" si="376"/>
        <v>#DIV/0!</v>
      </c>
      <c r="CG134" s="18" t="e">
        <f t="shared" si="280"/>
        <v>#DIV/0!</v>
      </c>
      <c r="CH134" s="18" t="e">
        <f t="shared" si="280"/>
        <v>#DIV/0!</v>
      </c>
      <c r="CI134" s="18" t="e">
        <f t="shared" si="280"/>
        <v>#DIV/0!</v>
      </c>
      <c r="CJ134" s="18" t="e">
        <f t="shared" si="280"/>
        <v>#DIV/0!</v>
      </c>
      <c r="CK134" s="18" t="e">
        <f t="shared" si="396"/>
        <v>#DIV/0!</v>
      </c>
      <c r="CL134" s="18" t="e">
        <f t="shared" si="396"/>
        <v>#DIV/0!</v>
      </c>
      <c r="CM134" s="18" t="e">
        <f t="shared" si="396"/>
        <v>#DIV/0!</v>
      </c>
      <c r="CN134" s="18" t="e">
        <f t="shared" si="396"/>
        <v>#DIV/0!</v>
      </c>
      <c r="CO134" s="18" t="e">
        <f t="shared" si="397"/>
        <v>#DIV/0!</v>
      </c>
      <c r="CP134" s="18" t="e">
        <f t="shared" si="397"/>
        <v>#DIV/0!</v>
      </c>
      <c r="CQ134" s="18" t="e">
        <f t="shared" si="397"/>
        <v>#DIV/0!</v>
      </c>
      <c r="CR134" s="18" t="e">
        <f t="shared" si="397"/>
        <v>#DIV/0!</v>
      </c>
      <c r="CS134" s="18" t="e">
        <f t="shared" si="397"/>
        <v>#DIV/0!</v>
      </c>
      <c r="CT134" s="18" t="e">
        <f t="shared" si="397"/>
        <v>#DIV/0!</v>
      </c>
      <c r="CU134" s="18" t="e">
        <f t="shared" si="397"/>
        <v>#DIV/0!</v>
      </c>
      <c r="CV134" s="18" t="e">
        <f t="shared" si="397"/>
        <v>#DIV/0!</v>
      </c>
      <c r="CW134" s="18" t="e">
        <f t="shared" si="411"/>
        <v>#DIV/0!</v>
      </c>
      <c r="CX134" s="17">
        <f t="shared" si="433"/>
        <v>0</v>
      </c>
      <c r="CY134" s="17">
        <f t="shared" si="471"/>
        <v>0</v>
      </c>
      <c r="CZ134" s="17">
        <f t="shared" si="471"/>
        <v>0</v>
      </c>
      <c r="DA134" s="17">
        <f t="shared" si="471"/>
        <v>0</v>
      </c>
      <c r="DB134" s="17">
        <f t="shared" si="471"/>
        <v>0</v>
      </c>
      <c r="DC134" s="17">
        <f t="shared" si="471"/>
        <v>0</v>
      </c>
      <c r="DD134" s="17">
        <f t="shared" si="471"/>
        <v>0</v>
      </c>
      <c r="DE134" s="17">
        <f t="shared" si="471"/>
        <v>0</v>
      </c>
      <c r="DF134" s="3" t="e">
        <f>#REF!+$AG$35*0.004*(1+$R$28)*#REF!-S134*#REF!</f>
        <v>#REF!</v>
      </c>
      <c r="DG134" s="19" t="e">
        <f t="shared" si="434"/>
        <v>#DIV/0!</v>
      </c>
      <c r="DH134" s="19" t="e">
        <f t="shared" si="435"/>
        <v>#DIV/0!</v>
      </c>
      <c r="DI134" s="19" t="e">
        <f t="shared" si="436"/>
        <v>#DIV/0!</v>
      </c>
      <c r="DJ134" s="19" t="e">
        <f t="shared" si="437"/>
        <v>#DIV/0!</v>
      </c>
      <c r="DK134" s="19" t="e">
        <f t="shared" si="438"/>
        <v>#DIV/0!</v>
      </c>
      <c r="DL134" s="19" t="e">
        <f t="shared" si="439"/>
        <v>#DIV/0!</v>
      </c>
      <c r="DM134" s="19" t="e">
        <f t="shared" si="440"/>
        <v>#DIV/0!</v>
      </c>
      <c r="DN134" s="19" t="e">
        <f t="shared" si="441"/>
        <v>#DIV/0!</v>
      </c>
      <c r="DW134" s="26">
        <f t="shared" si="416"/>
        <v>0</v>
      </c>
      <c r="DX134" s="26">
        <f t="shared" si="416"/>
        <v>0</v>
      </c>
      <c r="DY134" s="26">
        <f t="shared" si="416"/>
        <v>0</v>
      </c>
      <c r="DZ134" s="26">
        <f t="shared" si="416"/>
        <v>0</v>
      </c>
      <c r="EA134" s="26">
        <f t="shared" si="416"/>
        <v>0</v>
      </c>
      <c r="EB134" s="26">
        <f t="shared" si="416"/>
        <v>0</v>
      </c>
      <c r="EC134" s="26">
        <f t="shared" si="416"/>
        <v>0</v>
      </c>
      <c r="ED134" s="26">
        <f t="shared" si="416"/>
        <v>0</v>
      </c>
      <c r="EE134" s="26">
        <f t="shared" si="416"/>
        <v>0</v>
      </c>
      <c r="EF134" s="26">
        <f t="shared" si="416"/>
        <v>0</v>
      </c>
      <c r="EG134" s="26">
        <f t="shared" si="416"/>
        <v>0</v>
      </c>
      <c r="EH134" s="26">
        <f t="shared" si="416"/>
        <v>0</v>
      </c>
      <c r="EI134" s="26">
        <f t="shared" si="416"/>
        <v>0</v>
      </c>
      <c r="ER134" s="26" t="e">
        <f t="shared" si="415"/>
        <v>#DIV/0!</v>
      </c>
      <c r="ES134" s="26" t="e">
        <f t="shared" si="413"/>
        <v>#DIV/0!</v>
      </c>
      <c r="ET134" s="26" t="e">
        <f t="shared" si="413"/>
        <v>#DIV/0!</v>
      </c>
      <c r="EU134" s="26" t="e">
        <f t="shared" si="413"/>
        <v>#DIV/0!</v>
      </c>
      <c r="EV134" s="26" t="e">
        <f t="shared" si="413"/>
        <v>#DIV/0!</v>
      </c>
      <c r="EW134" s="26" t="e">
        <f t="shared" si="413"/>
        <v>#DIV/0!</v>
      </c>
      <c r="EX134" s="26" t="e">
        <f t="shared" si="413"/>
        <v>#DIV/0!</v>
      </c>
      <c r="EY134" s="26" t="e">
        <f t="shared" si="413"/>
        <v>#DIV/0!</v>
      </c>
      <c r="EZ134" s="26" t="e">
        <f t="shared" si="413"/>
        <v>#DIV/0!</v>
      </c>
      <c r="FA134" s="26" t="e">
        <f t="shared" si="413"/>
        <v>#DIV/0!</v>
      </c>
      <c r="FB134" s="26" t="e">
        <f t="shared" si="413"/>
        <v>#DIV/0!</v>
      </c>
      <c r="FC134" s="26" t="e">
        <f t="shared" si="413"/>
        <v>#DIV/0!</v>
      </c>
      <c r="FD134" s="26" t="e">
        <f t="shared" si="413"/>
        <v>#DIV/0!</v>
      </c>
      <c r="FM134" s="26" t="e">
        <f t="shared" si="313"/>
        <v>#DIV/0!</v>
      </c>
      <c r="FN134" s="26" t="e">
        <f t="shared" si="313"/>
        <v>#DIV/0!</v>
      </c>
      <c r="FO134" s="26" t="e">
        <f t="shared" si="313"/>
        <v>#DIV/0!</v>
      </c>
      <c r="FP134" s="26" t="e">
        <f t="shared" si="313"/>
        <v>#DIV/0!</v>
      </c>
      <c r="FQ134" s="26" t="e">
        <f t="shared" si="313"/>
        <v>#DIV/0!</v>
      </c>
      <c r="FR134" s="26" t="e">
        <f t="shared" si="313"/>
        <v>#DIV/0!</v>
      </c>
      <c r="FS134" s="26" t="e">
        <f t="shared" si="398"/>
        <v>#DIV/0!</v>
      </c>
      <c r="FT134" s="26" t="e">
        <f t="shared" si="398"/>
        <v>#DIV/0!</v>
      </c>
      <c r="FU134" s="26" t="e">
        <f t="shared" si="398"/>
        <v>#DIV/0!</v>
      </c>
      <c r="FV134" s="26" t="e">
        <f t="shared" si="398"/>
        <v>#DIV/0!</v>
      </c>
      <c r="FW134" s="26" t="e">
        <f t="shared" si="398"/>
        <v>#DIV/0!</v>
      </c>
      <c r="GH134" s="26" t="e">
        <f t="shared" si="314"/>
        <v>#DIV/0!</v>
      </c>
      <c r="GI134" s="26" t="e">
        <f t="shared" si="314"/>
        <v>#DIV/0!</v>
      </c>
      <c r="GJ134" s="26" t="e">
        <f t="shared" si="314"/>
        <v>#DIV/0!</v>
      </c>
      <c r="GK134" s="26" t="e">
        <f t="shared" si="314"/>
        <v>#DIV/0!</v>
      </c>
      <c r="GL134" s="26" t="e">
        <f t="shared" si="314"/>
        <v>#DIV/0!</v>
      </c>
      <c r="GM134" s="26" t="e">
        <f t="shared" si="314"/>
        <v>#DIV/0!</v>
      </c>
      <c r="GN134" s="26" t="e">
        <f t="shared" si="399"/>
        <v>#DIV/0!</v>
      </c>
      <c r="GO134" s="26" t="e">
        <f t="shared" si="399"/>
        <v>#DIV/0!</v>
      </c>
      <c r="GP134" s="26" t="e">
        <f t="shared" si="399"/>
        <v>#DIV/0!</v>
      </c>
      <c r="GQ134" s="26" t="e">
        <f t="shared" si="399"/>
        <v>#DIV/0!</v>
      </c>
      <c r="GR134" s="26" t="e">
        <f t="shared" si="399"/>
        <v>#DIV/0!</v>
      </c>
      <c r="GS134" s="26" t="e">
        <f t="shared" si="399"/>
        <v>#DIV/0!</v>
      </c>
      <c r="GT134" s="26" t="e">
        <f t="shared" si="315"/>
        <v>#DIV/0!</v>
      </c>
      <c r="HC134" s="26" t="e">
        <f t="shared" si="316"/>
        <v>#DIV/0!</v>
      </c>
      <c r="HD134" s="26" t="e">
        <f t="shared" si="316"/>
        <v>#DIV/0!</v>
      </c>
      <c r="HE134" s="26" t="e">
        <f t="shared" si="316"/>
        <v>#DIV/0!</v>
      </c>
      <c r="HF134" s="26" t="e">
        <f t="shared" si="316"/>
        <v>#DIV/0!</v>
      </c>
      <c r="HG134" s="26" t="e">
        <f t="shared" si="316"/>
        <v>#DIV/0!</v>
      </c>
      <c r="HH134" s="26" t="e">
        <f t="shared" si="316"/>
        <v>#DIV/0!</v>
      </c>
      <c r="HI134" s="26" t="e">
        <f t="shared" si="400"/>
        <v>#DIV/0!</v>
      </c>
      <c r="HJ134" s="26" t="e">
        <f t="shared" si="400"/>
        <v>#DIV/0!</v>
      </c>
      <c r="HK134" s="26" t="e">
        <f t="shared" si="400"/>
        <v>#DIV/0!</v>
      </c>
      <c r="HL134" s="26" t="e">
        <f t="shared" si="400"/>
        <v>#DIV/0!</v>
      </c>
      <c r="HM134" s="26" t="e">
        <f t="shared" si="400"/>
        <v>#DIV/0!</v>
      </c>
      <c r="HN134" s="26" t="e">
        <f t="shared" si="400"/>
        <v>#DIV/0!</v>
      </c>
      <c r="HO134" s="26" t="e">
        <f t="shared" si="317"/>
        <v>#DIV/0!</v>
      </c>
      <c r="HP134" s="26">
        <f t="shared" si="442"/>
        <v>1031889.3409120624</v>
      </c>
      <c r="HX134" s="26" t="e">
        <f t="shared" si="443"/>
        <v>#DIV/0!</v>
      </c>
      <c r="HY134" s="26" t="e">
        <f t="shared" si="444"/>
        <v>#DIV/0!</v>
      </c>
      <c r="HZ134" s="26" t="e">
        <f t="shared" si="445"/>
        <v>#DIV/0!</v>
      </c>
      <c r="IA134" s="26" t="e">
        <f t="shared" si="446"/>
        <v>#DIV/0!</v>
      </c>
      <c r="IB134" s="26" t="e">
        <f t="shared" si="447"/>
        <v>#DIV/0!</v>
      </c>
      <c r="IC134" s="26" t="e">
        <f t="shared" si="448"/>
        <v>#DIV/0!</v>
      </c>
      <c r="ID134" s="26" t="e">
        <f t="shared" si="449"/>
        <v>#DIV/0!</v>
      </c>
      <c r="IE134" s="26" t="e">
        <f t="shared" si="450"/>
        <v>#DIV/0!</v>
      </c>
      <c r="IF134" s="26" t="e">
        <f t="shared" si="451"/>
        <v>#DIV/0!</v>
      </c>
      <c r="IG134" s="26" t="e">
        <f t="shared" si="452"/>
        <v>#DIV/0!</v>
      </c>
      <c r="IH134" s="26" t="e">
        <f t="shared" si="453"/>
        <v>#DIV/0!</v>
      </c>
      <c r="II134" s="26" t="e">
        <f t="shared" si="454"/>
        <v>#DIV/0!</v>
      </c>
      <c r="IR134" s="26" t="e">
        <f t="shared" si="455"/>
        <v>#DIV/0!</v>
      </c>
      <c r="IS134" s="26" t="e">
        <f t="shared" si="456"/>
        <v>#DIV/0!</v>
      </c>
      <c r="IT134" s="26" t="e">
        <f t="shared" si="457"/>
        <v>#DIV/0!</v>
      </c>
      <c r="IU134" s="26" t="e">
        <f t="shared" si="458"/>
        <v>#DIV/0!</v>
      </c>
      <c r="IV134" s="26" t="e">
        <f t="shared" si="459"/>
        <v>#DIV/0!</v>
      </c>
      <c r="IW134" s="26" t="e">
        <f t="shared" si="460"/>
        <v>#DIV/0!</v>
      </c>
      <c r="IX134" s="26" t="e">
        <f t="shared" si="461"/>
        <v>#DIV/0!</v>
      </c>
      <c r="IY134" s="26" t="e">
        <f t="shared" si="462"/>
        <v>#DIV/0!</v>
      </c>
      <c r="IZ134" s="26" t="e">
        <f t="shared" si="463"/>
        <v>#DIV/0!</v>
      </c>
      <c r="JA134" s="26" t="e">
        <f t="shared" si="464"/>
        <v>#DIV/0!</v>
      </c>
      <c r="JB134" s="26" t="e">
        <f t="shared" si="465"/>
        <v>#DIV/0!</v>
      </c>
      <c r="JC134" s="26" t="e">
        <f t="shared" si="466"/>
        <v>#DIV/0!</v>
      </c>
      <c r="JI134" s="26">
        <f t="shared" si="343"/>
        <v>0</v>
      </c>
      <c r="JJ134" s="26">
        <f t="shared" si="344"/>
        <v>0</v>
      </c>
      <c r="JK134" s="26" t="e">
        <f t="shared" si="345"/>
        <v>#DIV/0!</v>
      </c>
      <c r="JL134" s="26" t="e">
        <f t="shared" si="346"/>
        <v>#DIV/0!</v>
      </c>
      <c r="JM134" s="26" t="e">
        <f t="shared" si="347"/>
        <v>#DIV/0!</v>
      </c>
      <c r="JN134" s="26" t="e">
        <f t="shared" si="348"/>
        <v>#DIV/0!</v>
      </c>
      <c r="JO134" s="26" t="e">
        <f t="shared" si="349"/>
        <v>#DIV/0!</v>
      </c>
      <c r="JP134" s="26" t="e">
        <f t="shared" si="350"/>
        <v>#DIV/0!</v>
      </c>
      <c r="JQ134" s="26" t="e">
        <f t="shared" si="351"/>
        <v>#DIV/0!</v>
      </c>
      <c r="JR134" s="26" t="e">
        <f t="shared" si="352"/>
        <v>#DIV/0!</v>
      </c>
      <c r="JS134" s="26" t="e">
        <f t="shared" si="353"/>
        <v>#DIV/0!</v>
      </c>
      <c r="JT134" s="26" t="e">
        <f t="shared" si="354"/>
        <v>#DIV/0!</v>
      </c>
      <c r="JU134" s="26" t="e">
        <f t="shared" si="355"/>
        <v>#DIV/0!</v>
      </c>
      <c r="JV134" s="26" t="e">
        <f t="shared" si="356"/>
        <v>#DIV/0!</v>
      </c>
      <c r="JW134" s="26" t="e">
        <f t="shared" si="357"/>
        <v>#DIV/0!</v>
      </c>
      <c r="JY134" s="34">
        <f t="shared" si="467"/>
        <v>0.05</v>
      </c>
      <c r="JZ134" s="4">
        <f t="shared" si="468"/>
        <v>0</v>
      </c>
      <c r="KA134" s="165"/>
    </row>
    <row r="135" spans="1:287" x14ac:dyDescent="0.25">
      <c r="A135" s="34"/>
      <c r="B135" s="34"/>
      <c r="C135" s="2"/>
      <c r="D135" s="1"/>
      <c r="E135" s="145"/>
      <c r="F135" s="146"/>
      <c r="G135" s="152"/>
      <c r="H135" s="43"/>
      <c r="I135" s="43"/>
      <c r="J135" s="43"/>
      <c r="K135" s="147"/>
      <c r="L135" s="147"/>
      <c r="M135" s="43"/>
      <c r="N135" s="148"/>
      <c r="O135" s="147"/>
      <c r="P135" s="157"/>
      <c r="Q135" s="43"/>
      <c r="R135" s="43"/>
      <c r="S135" s="43"/>
      <c r="T135" s="43"/>
      <c r="U135" s="153"/>
      <c r="V135" s="129"/>
      <c r="W135" s="43"/>
      <c r="X135" s="26"/>
      <c r="Y135" s="26"/>
      <c r="Z135" s="43"/>
      <c r="AA135" s="149"/>
      <c r="AB135" s="150"/>
      <c r="AC135" s="150"/>
      <c r="AD135" s="26"/>
      <c r="AE135" s="26"/>
      <c r="AF135" s="43"/>
      <c r="AG135" s="43"/>
      <c r="AI135" s="28"/>
      <c r="AJ135" s="20"/>
      <c r="AU135" s="16">
        <f t="shared" si="414"/>
        <v>0</v>
      </c>
      <c r="AV135" s="16">
        <f t="shared" si="414"/>
        <v>0</v>
      </c>
      <c r="AW135" s="16">
        <f t="shared" si="414"/>
        <v>0</v>
      </c>
      <c r="AX135" s="16">
        <f t="shared" si="469"/>
        <v>0</v>
      </c>
      <c r="AY135" s="16">
        <f t="shared" si="469"/>
        <v>0</v>
      </c>
      <c r="AZ135" s="16">
        <f t="shared" si="469"/>
        <v>0</v>
      </c>
      <c r="BA135" s="16">
        <f t="shared" si="469"/>
        <v>0</v>
      </c>
      <c r="BB135" s="16">
        <f t="shared" si="469"/>
        <v>0</v>
      </c>
      <c r="BC135" s="16">
        <f t="shared" si="469"/>
        <v>0</v>
      </c>
      <c r="BD135" s="16">
        <f t="shared" si="469"/>
        <v>0</v>
      </c>
      <c r="BE135" s="16">
        <f t="shared" si="469"/>
        <v>0</v>
      </c>
      <c r="BF135" s="16">
        <f t="shared" si="469"/>
        <v>0</v>
      </c>
      <c r="BG135" s="16">
        <f t="shared" si="469"/>
        <v>0</v>
      </c>
      <c r="BP135" s="16">
        <f t="shared" si="470"/>
        <v>0</v>
      </c>
      <c r="BQ135" s="16">
        <f t="shared" si="470"/>
        <v>0</v>
      </c>
      <c r="BR135" s="16">
        <f t="shared" si="470"/>
        <v>0</v>
      </c>
      <c r="BS135" s="16">
        <f t="shared" si="470"/>
        <v>0</v>
      </c>
      <c r="BT135" s="16">
        <f t="shared" si="470"/>
        <v>0</v>
      </c>
      <c r="BU135" s="16">
        <f t="shared" si="470"/>
        <v>0</v>
      </c>
      <c r="BV135" s="16">
        <f t="shared" si="472"/>
        <v>0</v>
      </c>
      <c r="BW135" s="16">
        <f t="shared" si="472"/>
        <v>0</v>
      </c>
      <c r="BX135" s="16">
        <f t="shared" si="472"/>
        <v>0</v>
      </c>
      <c r="BY135" s="16">
        <f t="shared" si="472"/>
        <v>0</v>
      </c>
      <c r="BZ135" s="16">
        <f t="shared" si="472"/>
        <v>0</v>
      </c>
      <c r="CA135" s="16">
        <f t="shared" si="472"/>
        <v>0</v>
      </c>
      <c r="CB135" s="16">
        <f t="shared" si="472"/>
        <v>0</v>
      </c>
      <c r="CK135" s="18" t="e">
        <f t="shared" si="396"/>
        <v>#DIV/0!</v>
      </c>
      <c r="CL135" s="18" t="e">
        <f t="shared" si="396"/>
        <v>#DIV/0!</v>
      </c>
      <c r="CM135" s="18" t="e">
        <f t="shared" si="396"/>
        <v>#DIV/0!</v>
      </c>
      <c r="CN135" s="18" t="e">
        <f t="shared" si="396"/>
        <v>#DIV/0!</v>
      </c>
      <c r="CO135" s="18" t="e">
        <f t="shared" si="397"/>
        <v>#DIV/0!</v>
      </c>
      <c r="CP135" s="18" t="e">
        <f t="shared" si="397"/>
        <v>#DIV/0!</v>
      </c>
      <c r="CQ135" s="18" t="e">
        <f t="shared" si="397"/>
        <v>#DIV/0!</v>
      </c>
      <c r="CR135" s="18" t="e">
        <f t="shared" si="397"/>
        <v>#DIV/0!</v>
      </c>
      <c r="CS135" s="18" t="e">
        <f t="shared" si="397"/>
        <v>#DIV/0!</v>
      </c>
      <c r="CT135" s="18" t="e">
        <f t="shared" si="397"/>
        <v>#DIV/0!</v>
      </c>
      <c r="CU135" s="18" t="e">
        <f t="shared" si="397"/>
        <v>#DIV/0!</v>
      </c>
      <c r="CV135" s="18" t="e">
        <f t="shared" si="397"/>
        <v>#DIV/0!</v>
      </c>
      <c r="CW135" s="18" t="e">
        <f t="shared" si="411"/>
        <v>#DIV/0!</v>
      </c>
      <c r="DW135" s="26">
        <f t="shared" si="416"/>
        <v>0</v>
      </c>
      <c r="DX135" s="26">
        <f t="shared" si="416"/>
        <v>0</v>
      </c>
      <c r="DY135" s="26">
        <f t="shared" si="416"/>
        <v>0</v>
      </c>
      <c r="DZ135" s="26">
        <f t="shared" si="416"/>
        <v>0</v>
      </c>
      <c r="EA135" s="26">
        <f t="shared" si="416"/>
        <v>0</v>
      </c>
      <c r="EB135" s="26">
        <f t="shared" si="416"/>
        <v>0</v>
      </c>
      <c r="EC135" s="26">
        <f t="shared" si="416"/>
        <v>0</v>
      </c>
      <c r="ED135" s="26">
        <f t="shared" si="416"/>
        <v>0</v>
      </c>
      <c r="EE135" s="26">
        <f t="shared" si="416"/>
        <v>0</v>
      </c>
      <c r="EF135" s="26">
        <f t="shared" si="416"/>
        <v>0</v>
      </c>
      <c r="EG135" s="26">
        <f t="shared" si="416"/>
        <v>0</v>
      </c>
      <c r="EH135" s="26">
        <f t="shared" si="416"/>
        <v>0</v>
      </c>
      <c r="EI135" s="26">
        <f t="shared" si="416"/>
        <v>0</v>
      </c>
      <c r="ER135" s="26" t="e">
        <f t="shared" si="415"/>
        <v>#DIV/0!</v>
      </c>
      <c r="ES135" s="26" t="e">
        <f t="shared" si="413"/>
        <v>#DIV/0!</v>
      </c>
      <c r="ET135" s="26" t="e">
        <f t="shared" si="413"/>
        <v>#DIV/0!</v>
      </c>
      <c r="EU135" s="26" t="e">
        <f t="shared" si="413"/>
        <v>#DIV/0!</v>
      </c>
      <c r="EV135" s="26" t="e">
        <f t="shared" si="413"/>
        <v>#DIV/0!</v>
      </c>
      <c r="EW135" s="26" t="e">
        <f t="shared" si="413"/>
        <v>#DIV/0!</v>
      </c>
      <c r="EX135" s="26" t="e">
        <f t="shared" si="413"/>
        <v>#DIV/0!</v>
      </c>
      <c r="EY135" s="26" t="e">
        <f t="shared" si="413"/>
        <v>#DIV/0!</v>
      </c>
      <c r="EZ135" s="26" t="e">
        <f t="shared" si="413"/>
        <v>#DIV/0!</v>
      </c>
      <c r="FA135" s="26" t="e">
        <f t="shared" si="413"/>
        <v>#DIV/0!</v>
      </c>
      <c r="FB135" s="26" t="e">
        <f t="shared" si="413"/>
        <v>#DIV/0!</v>
      </c>
      <c r="FC135" s="26" t="e">
        <f t="shared" si="413"/>
        <v>#DIV/0!</v>
      </c>
      <c r="FD135" s="26" t="e">
        <f t="shared" si="413"/>
        <v>#DIV/0!</v>
      </c>
      <c r="FM135" s="26" t="e">
        <f t="shared" si="313"/>
        <v>#DIV/0!</v>
      </c>
      <c r="FN135" s="26" t="e">
        <f t="shared" si="313"/>
        <v>#DIV/0!</v>
      </c>
      <c r="FO135" s="26" t="e">
        <f t="shared" si="313"/>
        <v>#DIV/0!</v>
      </c>
      <c r="FP135" s="26" t="e">
        <f t="shared" si="313"/>
        <v>#DIV/0!</v>
      </c>
      <c r="FQ135" s="26" t="e">
        <f t="shared" si="313"/>
        <v>#DIV/0!</v>
      </c>
      <c r="FR135" s="26" t="e">
        <f t="shared" si="313"/>
        <v>#DIV/0!</v>
      </c>
      <c r="FS135" s="26" t="e">
        <f t="shared" si="398"/>
        <v>#DIV/0!</v>
      </c>
      <c r="FT135" s="26" t="e">
        <f t="shared" si="398"/>
        <v>#DIV/0!</v>
      </c>
      <c r="FU135" s="26" t="e">
        <f t="shared" si="398"/>
        <v>#DIV/0!</v>
      </c>
      <c r="FV135" s="26" t="e">
        <f t="shared" si="398"/>
        <v>#DIV/0!</v>
      </c>
      <c r="FW135" s="26" t="e">
        <f t="shared" si="398"/>
        <v>#DIV/0!</v>
      </c>
      <c r="GH135" s="26" t="e">
        <f t="shared" si="314"/>
        <v>#DIV/0!</v>
      </c>
      <c r="GI135" s="26" t="e">
        <f t="shared" si="314"/>
        <v>#DIV/0!</v>
      </c>
      <c r="GJ135" s="26" t="e">
        <f t="shared" si="314"/>
        <v>#DIV/0!</v>
      </c>
      <c r="GK135" s="26" t="e">
        <f t="shared" si="314"/>
        <v>#DIV/0!</v>
      </c>
      <c r="GL135" s="26" t="e">
        <f t="shared" si="314"/>
        <v>#DIV/0!</v>
      </c>
      <c r="GM135" s="26" t="e">
        <f t="shared" si="314"/>
        <v>#DIV/0!</v>
      </c>
      <c r="GN135" s="26" t="e">
        <f t="shared" si="399"/>
        <v>#DIV/0!</v>
      </c>
      <c r="GO135" s="26" t="e">
        <f t="shared" si="399"/>
        <v>#DIV/0!</v>
      </c>
      <c r="GP135" s="26" t="e">
        <f t="shared" si="399"/>
        <v>#DIV/0!</v>
      </c>
      <c r="GQ135" s="26" t="e">
        <f t="shared" si="399"/>
        <v>#DIV/0!</v>
      </c>
      <c r="GR135" s="26" t="e">
        <f t="shared" si="399"/>
        <v>#DIV/0!</v>
      </c>
      <c r="GS135" s="26" t="e">
        <f t="shared" si="399"/>
        <v>#DIV/0!</v>
      </c>
      <c r="GT135" s="26" t="e">
        <f t="shared" si="315"/>
        <v>#DIV/0!</v>
      </c>
      <c r="HC135" s="26" t="e">
        <f t="shared" si="316"/>
        <v>#DIV/0!</v>
      </c>
      <c r="HD135" s="26" t="e">
        <f t="shared" si="316"/>
        <v>#DIV/0!</v>
      </c>
      <c r="HE135" s="26" t="e">
        <f t="shared" si="316"/>
        <v>#DIV/0!</v>
      </c>
      <c r="HF135" s="26" t="e">
        <f t="shared" si="316"/>
        <v>#DIV/0!</v>
      </c>
      <c r="HG135" s="26" t="e">
        <f t="shared" si="316"/>
        <v>#DIV/0!</v>
      </c>
      <c r="HH135" s="26" t="e">
        <f t="shared" si="316"/>
        <v>#DIV/0!</v>
      </c>
      <c r="HI135" s="26" t="e">
        <f t="shared" si="400"/>
        <v>#DIV/0!</v>
      </c>
      <c r="HJ135" s="26" t="e">
        <f t="shared" si="400"/>
        <v>#DIV/0!</v>
      </c>
      <c r="HK135" s="26" t="e">
        <f t="shared" si="400"/>
        <v>#DIV/0!</v>
      </c>
      <c r="HL135" s="26" t="e">
        <f t="shared" si="400"/>
        <v>#DIV/0!</v>
      </c>
      <c r="HM135" s="26" t="e">
        <f t="shared" si="400"/>
        <v>#DIV/0!</v>
      </c>
      <c r="HN135" s="26" t="e">
        <f t="shared" si="400"/>
        <v>#DIV/0!</v>
      </c>
      <c r="HO135" s="26" t="e">
        <f t="shared" si="317"/>
        <v>#DIV/0!</v>
      </c>
      <c r="HP135" s="26">
        <f t="shared" si="442"/>
        <v>1031889.3409120624</v>
      </c>
      <c r="HX135" s="26" t="e">
        <f t="shared" si="443"/>
        <v>#DIV/0!</v>
      </c>
      <c r="HY135" s="26" t="e">
        <f t="shared" si="444"/>
        <v>#DIV/0!</v>
      </c>
      <c r="HZ135" s="26" t="e">
        <f t="shared" si="445"/>
        <v>#DIV/0!</v>
      </c>
      <c r="IA135" s="26" t="e">
        <f t="shared" si="446"/>
        <v>#DIV/0!</v>
      </c>
      <c r="IB135" s="26" t="e">
        <f t="shared" si="447"/>
        <v>#DIV/0!</v>
      </c>
      <c r="IC135" s="26" t="e">
        <f t="shared" si="448"/>
        <v>#DIV/0!</v>
      </c>
      <c r="ID135" s="26" t="e">
        <f t="shared" si="449"/>
        <v>#DIV/0!</v>
      </c>
      <c r="IE135" s="26" t="e">
        <f t="shared" si="450"/>
        <v>#DIV/0!</v>
      </c>
      <c r="IF135" s="26" t="e">
        <f t="shared" si="451"/>
        <v>#DIV/0!</v>
      </c>
      <c r="IG135" s="26" t="e">
        <f t="shared" si="452"/>
        <v>#DIV/0!</v>
      </c>
      <c r="IH135" s="26" t="e">
        <f t="shared" si="453"/>
        <v>#DIV/0!</v>
      </c>
      <c r="II135" s="26" t="e">
        <f t="shared" si="454"/>
        <v>#DIV/0!</v>
      </c>
      <c r="IR135" s="26" t="e">
        <f t="shared" si="455"/>
        <v>#DIV/0!</v>
      </c>
      <c r="IS135" s="26" t="e">
        <f t="shared" si="456"/>
        <v>#DIV/0!</v>
      </c>
      <c r="IT135" s="26" t="e">
        <f t="shared" si="457"/>
        <v>#DIV/0!</v>
      </c>
      <c r="IU135" s="26" t="e">
        <f t="shared" si="458"/>
        <v>#DIV/0!</v>
      </c>
      <c r="IV135" s="26" t="e">
        <f t="shared" si="459"/>
        <v>#DIV/0!</v>
      </c>
      <c r="IW135" s="26" t="e">
        <f t="shared" si="460"/>
        <v>#DIV/0!</v>
      </c>
      <c r="IX135" s="26" t="e">
        <f t="shared" si="461"/>
        <v>#DIV/0!</v>
      </c>
      <c r="IY135" s="26" t="e">
        <f t="shared" si="462"/>
        <v>#DIV/0!</v>
      </c>
      <c r="IZ135" s="26" t="e">
        <f t="shared" si="463"/>
        <v>#DIV/0!</v>
      </c>
      <c r="JA135" s="26" t="e">
        <f t="shared" si="464"/>
        <v>#DIV/0!</v>
      </c>
      <c r="JB135" s="26" t="e">
        <f t="shared" si="465"/>
        <v>#DIV/0!</v>
      </c>
      <c r="JC135" s="26" t="e">
        <f t="shared" si="466"/>
        <v>#DIV/0!</v>
      </c>
      <c r="JI135" s="26">
        <f t="shared" si="343"/>
        <v>0</v>
      </c>
      <c r="JJ135" s="26">
        <f t="shared" si="344"/>
        <v>0</v>
      </c>
      <c r="JK135" s="26" t="e">
        <f t="shared" si="345"/>
        <v>#DIV/0!</v>
      </c>
      <c r="JL135" s="26" t="e">
        <f t="shared" si="346"/>
        <v>#DIV/0!</v>
      </c>
      <c r="JM135" s="26" t="e">
        <f t="shared" si="347"/>
        <v>#DIV/0!</v>
      </c>
      <c r="JN135" s="26" t="e">
        <f t="shared" si="348"/>
        <v>#DIV/0!</v>
      </c>
      <c r="JO135" s="26" t="e">
        <f t="shared" si="349"/>
        <v>#DIV/0!</v>
      </c>
      <c r="JP135" s="26" t="e">
        <f t="shared" si="350"/>
        <v>#DIV/0!</v>
      </c>
      <c r="JQ135" s="26" t="e">
        <f t="shared" si="351"/>
        <v>#DIV/0!</v>
      </c>
      <c r="JR135" s="26" t="e">
        <f t="shared" si="352"/>
        <v>#DIV/0!</v>
      </c>
      <c r="JS135" s="26" t="e">
        <f t="shared" si="353"/>
        <v>#DIV/0!</v>
      </c>
      <c r="JT135" s="26" t="e">
        <f t="shared" si="354"/>
        <v>#DIV/0!</v>
      </c>
      <c r="JU135" s="26" t="e">
        <f t="shared" si="355"/>
        <v>#DIV/0!</v>
      </c>
      <c r="JV135" s="26" t="e">
        <f t="shared" si="356"/>
        <v>#DIV/0!</v>
      </c>
      <c r="JW135" s="26" t="e">
        <f t="shared" si="357"/>
        <v>#DIV/0!</v>
      </c>
      <c r="JY135" s="34">
        <f t="shared" si="467"/>
        <v>0.05</v>
      </c>
      <c r="JZ135" s="4">
        <f t="shared" si="468"/>
        <v>0</v>
      </c>
      <c r="KA135" s="165"/>
    </row>
    <row r="136" spans="1:287" x14ac:dyDescent="0.25">
      <c r="A136" s="34"/>
      <c r="B136" s="34"/>
      <c r="C136" s="2"/>
      <c r="D136" s="1"/>
      <c r="E136" s="145"/>
      <c r="F136" s="146"/>
      <c r="G136" s="152"/>
      <c r="H136" s="43"/>
      <c r="I136" s="43"/>
      <c r="J136" s="43"/>
      <c r="K136" s="147"/>
      <c r="L136" s="147"/>
      <c r="M136" s="43"/>
      <c r="N136" s="148"/>
      <c r="O136" s="147"/>
      <c r="P136" s="157"/>
      <c r="Q136" s="43"/>
      <c r="R136" s="43"/>
      <c r="S136" s="43"/>
      <c r="T136" s="43"/>
      <c r="U136" s="153"/>
      <c r="V136" s="129"/>
      <c r="W136" s="43"/>
      <c r="X136" s="26"/>
      <c r="Y136" s="26"/>
      <c r="Z136" s="43"/>
      <c r="AA136" s="149"/>
      <c r="AB136" s="150"/>
      <c r="AC136" s="150"/>
      <c r="AD136" s="26"/>
      <c r="AE136" s="26"/>
      <c r="AF136" s="43"/>
      <c r="AG136" s="43"/>
      <c r="AI136" s="28"/>
      <c r="AJ136" s="20"/>
      <c r="AU136" s="16">
        <f t="shared" si="414"/>
        <v>0</v>
      </c>
      <c r="AV136" s="16">
        <f t="shared" si="414"/>
        <v>0</v>
      </c>
      <c r="AW136" s="16">
        <f t="shared" si="414"/>
        <v>0</v>
      </c>
      <c r="AX136" s="16">
        <f t="shared" si="469"/>
        <v>0</v>
      </c>
      <c r="AY136" s="16">
        <f t="shared" si="469"/>
        <v>0</v>
      </c>
      <c r="AZ136" s="16">
        <f t="shared" si="469"/>
        <v>0</v>
      </c>
      <c r="BA136" s="16">
        <f t="shared" si="469"/>
        <v>0</v>
      </c>
      <c r="BB136" s="16">
        <f t="shared" si="469"/>
        <v>0</v>
      </c>
      <c r="BC136" s="16">
        <f t="shared" si="469"/>
        <v>0</v>
      </c>
      <c r="BD136" s="16">
        <f t="shared" si="469"/>
        <v>0</v>
      </c>
      <c r="BE136" s="16">
        <f t="shared" si="469"/>
        <v>0</v>
      </c>
      <c r="BF136" s="16">
        <f t="shared" si="469"/>
        <v>0</v>
      </c>
      <c r="BG136" s="16">
        <f t="shared" si="469"/>
        <v>0</v>
      </c>
      <c r="BP136" s="16">
        <f t="shared" si="470"/>
        <v>0</v>
      </c>
      <c r="BQ136" s="16">
        <f t="shared" si="470"/>
        <v>0</v>
      </c>
      <c r="BR136" s="16">
        <f t="shared" si="470"/>
        <v>0</v>
      </c>
      <c r="BS136" s="16">
        <f t="shared" si="470"/>
        <v>0</v>
      </c>
      <c r="BT136" s="16">
        <f t="shared" si="470"/>
        <v>0</v>
      </c>
      <c r="BU136" s="16">
        <f t="shared" si="470"/>
        <v>0</v>
      </c>
      <c r="BV136" s="16">
        <f t="shared" si="472"/>
        <v>0</v>
      </c>
      <c r="BW136" s="16">
        <f t="shared" si="472"/>
        <v>0</v>
      </c>
      <c r="BX136" s="16">
        <f t="shared" si="472"/>
        <v>0</v>
      </c>
      <c r="BY136" s="16">
        <f t="shared" si="472"/>
        <v>0</v>
      </c>
      <c r="BZ136" s="16">
        <f t="shared" si="472"/>
        <v>0</v>
      </c>
      <c r="CA136" s="16">
        <f t="shared" si="472"/>
        <v>0</v>
      </c>
      <c r="CB136" s="16">
        <f t="shared" si="472"/>
        <v>0</v>
      </c>
      <c r="CK136" s="18" t="e">
        <f t="shared" si="396"/>
        <v>#DIV/0!</v>
      </c>
      <c r="CL136" s="18" t="e">
        <f t="shared" si="396"/>
        <v>#DIV/0!</v>
      </c>
      <c r="CM136" s="18" t="e">
        <f t="shared" si="396"/>
        <v>#DIV/0!</v>
      </c>
      <c r="CN136" s="18" t="e">
        <f t="shared" si="396"/>
        <v>#DIV/0!</v>
      </c>
      <c r="CO136" s="18" t="e">
        <f t="shared" si="397"/>
        <v>#DIV/0!</v>
      </c>
      <c r="CP136" s="18" t="e">
        <f t="shared" si="397"/>
        <v>#DIV/0!</v>
      </c>
      <c r="CQ136" s="18" t="e">
        <f t="shared" si="397"/>
        <v>#DIV/0!</v>
      </c>
      <c r="CR136" s="18" t="e">
        <f t="shared" si="397"/>
        <v>#DIV/0!</v>
      </c>
      <c r="CS136" s="18" t="e">
        <f t="shared" si="397"/>
        <v>#DIV/0!</v>
      </c>
      <c r="CT136" s="18" t="e">
        <f t="shared" si="397"/>
        <v>#DIV/0!</v>
      </c>
      <c r="CU136" s="18" t="e">
        <f t="shared" si="397"/>
        <v>#DIV/0!</v>
      </c>
      <c r="CV136" s="18" t="e">
        <f t="shared" si="397"/>
        <v>#DIV/0!</v>
      </c>
      <c r="CW136" s="18" t="e">
        <f t="shared" si="411"/>
        <v>#DIV/0!</v>
      </c>
      <c r="DW136" s="26">
        <f t="shared" si="416"/>
        <v>0</v>
      </c>
      <c r="DX136" s="26">
        <f t="shared" si="416"/>
        <v>0</v>
      </c>
      <c r="DY136" s="26">
        <f t="shared" si="416"/>
        <v>0</v>
      </c>
      <c r="DZ136" s="26">
        <f t="shared" si="416"/>
        <v>0</v>
      </c>
      <c r="EA136" s="26">
        <f t="shared" si="416"/>
        <v>0</v>
      </c>
      <c r="EB136" s="26">
        <f t="shared" si="416"/>
        <v>0</v>
      </c>
      <c r="EC136" s="26">
        <f t="shared" si="416"/>
        <v>0</v>
      </c>
      <c r="ED136" s="26">
        <f t="shared" si="416"/>
        <v>0</v>
      </c>
      <c r="EE136" s="26">
        <f t="shared" si="416"/>
        <v>0</v>
      </c>
      <c r="EF136" s="26">
        <f t="shared" si="416"/>
        <v>0</v>
      </c>
      <c r="EG136" s="26">
        <f t="shared" si="416"/>
        <v>0</v>
      </c>
      <c r="EH136" s="26">
        <f t="shared" si="416"/>
        <v>0</v>
      </c>
      <c r="EI136" s="26">
        <f t="shared" si="416"/>
        <v>0</v>
      </c>
      <c r="ER136" s="26" t="e">
        <f t="shared" si="415"/>
        <v>#DIV/0!</v>
      </c>
      <c r="ES136" s="26" t="e">
        <f t="shared" si="413"/>
        <v>#DIV/0!</v>
      </c>
      <c r="ET136" s="26" t="e">
        <f t="shared" si="413"/>
        <v>#DIV/0!</v>
      </c>
      <c r="EU136" s="26" t="e">
        <f t="shared" si="413"/>
        <v>#DIV/0!</v>
      </c>
      <c r="EV136" s="26" t="e">
        <f t="shared" si="413"/>
        <v>#DIV/0!</v>
      </c>
      <c r="EW136" s="26" t="e">
        <f t="shared" si="413"/>
        <v>#DIV/0!</v>
      </c>
      <c r="EX136" s="26" t="e">
        <f t="shared" si="413"/>
        <v>#DIV/0!</v>
      </c>
      <c r="EY136" s="26" t="e">
        <f t="shared" si="413"/>
        <v>#DIV/0!</v>
      </c>
      <c r="EZ136" s="26" t="e">
        <f t="shared" si="413"/>
        <v>#DIV/0!</v>
      </c>
      <c r="FA136" s="26" t="e">
        <f t="shared" si="413"/>
        <v>#DIV/0!</v>
      </c>
      <c r="FB136" s="26" t="e">
        <f t="shared" si="413"/>
        <v>#DIV/0!</v>
      </c>
      <c r="FC136" s="26" t="e">
        <f t="shared" si="413"/>
        <v>#DIV/0!</v>
      </c>
      <c r="FD136" s="26" t="e">
        <f t="shared" si="413"/>
        <v>#DIV/0!</v>
      </c>
      <c r="FM136" s="26" t="e">
        <f t="shared" si="313"/>
        <v>#DIV/0!</v>
      </c>
      <c r="FN136" s="26" t="e">
        <f t="shared" si="313"/>
        <v>#DIV/0!</v>
      </c>
      <c r="FO136" s="26" t="e">
        <f t="shared" si="313"/>
        <v>#DIV/0!</v>
      </c>
      <c r="FP136" s="26" t="e">
        <f t="shared" si="313"/>
        <v>#DIV/0!</v>
      </c>
      <c r="FQ136" s="26" t="e">
        <f t="shared" si="313"/>
        <v>#DIV/0!</v>
      </c>
      <c r="FR136" s="26" t="e">
        <f t="shared" si="313"/>
        <v>#DIV/0!</v>
      </c>
      <c r="FS136" s="26" t="e">
        <f t="shared" si="398"/>
        <v>#DIV/0!</v>
      </c>
      <c r="FT136" s="26" t="e">
        <f t="shared" si="398"/>
        <v>#DIV/0!</v>
      </c>
      <c r="FU136" s="26" t="e">
        <f t="shared" si="398"/>
        <v>#DIV/0!</v>
      </c>
      <c r="FV136" s="26" t="e">
        <f t="shared" si="398"/>
        <v>#DIV/0!</v>
      </c>
      <c r="FW136" s="26" t="e">
        <f t="shared" si="398"/>
        <v>#DIV/0!</v>
      </c>
      <c r="GH136" s="26" t="e">
        <f t="shared" si="314"/>
        <v>#DIV/0!</v>
      </c>
      <c r="GI136" s="26" t="e">
        <f t="shared" si="314"/>
        <v>#DIV/0!</v>
      </c>
      <c r="GJ136" s="26" t="e">
        <f t="shared" si="314"/>
        <v>#DIV/0!</v>
      </c>
      <c r="GK136" s="26" t="e">
        <f t="shared" si="314"/>
        <v>#DIV/0!</v>
      </c>
      <c r="GL136" s="26" t="e">
        <f t="shared" si="314"/>
        <v>#DIV/0!</v>
      </c>
      <c r="GM136" s="26" t="e">
        <f t="shared" si="314"/>
        <v>#DIV/0!</v>
      </c>
      <c r="GN136" s="26" t="e">
        <f t="shared" si="399"/>
        <v>#DIV/0!</v>
      </c>
      <c r="GO136" s="26" t="e">
        <f t="shared" si="399"/>
        <v>#DIV/0!</v>
      </c>
      <c r="GP136" s="26" t="e">
        <f t="shared" si="399"/>
        <v>#DIV/0!</v>
      </c>
      <c r="GQ136" s="26" t="e">
        <f t="shared" si="399"/>
        <v>#DIV/0!</v>
      </c>
      <c r="GR136" s="26" t="e">
        <f t="shared" si="399"/>
        <v>#DIV/0!</v>
      </c>
      <c r="GS136" s="26" t="e">
        <f t="shared" si="399"/>
        <v>#DIV/0!</v>
      </c>
      <c r="GT136" s="26" t="e">
        <f t="shared" si="315"/>
        <v>#DIV/0!</v>
      </c>
      <c r="HC136" s="26" t="e">
        <f t="shared" si="316"/>
        <v>#DIV/0!</v>
      </c>
      <c r="HD136" s="26" t="e">
        <f t="shared" si="316"/>
        <v>#DIV/0!</v>
      </c>
      <c r="HE136" s="26" t="e">
        <f t="shared" si="316"/>
        <v>#DIV/0!</v>
      </c>
      <c r="HF136" s="26" t="e">
        <f t="shared" si="316"/>
        <v>#DIV/0!</v>
      </c>
      <c r="HG136" s="26" t="e">
        <f t="shared" si="316"/>
        <v>#DIV/0!</v>
      </c>
      <c r="HH136" s="26" t="e">
        <f t="shared" si="316"/>
        <v>#DIV/0!</v>
      </c>
      <c r="HI136" s="26" t="e">
        <f t="shared" si="400"/>
        <v>#DIV/0!</v>
      </c>
      <c r="HJ136" s="26" t="e">
        <f t="shared" si="400"/>
        <v>#DIV/0!</v>
      </c>
      <c r="HK136" s="26" t="e">
        <f t="shared" si="400"/>
        <v>#DIV/0!</v>
      </c>
      <c r="HL136" s="26" t="e">
        <f t="shared" si="400"/>
        <v>#DIV/0!</v>
      </c>
      <c r="HM136" s="26" t="e">
        <f t="shared" si="400"/>
        <v>#DIV/0!</v>
      </c>
      <c r="HN136" s="26" t="e">
        <f t="shared" si="400"/>
        <v>#DIV/0!</v>
      </c>
      <c r="HO136" s="26" t="e">
        <f t="shared" si="317"/>
        <v>#DIV/0!</v>
      </c>
      <c r="HP136" s="26">
        <f t="shared" si="442"/>
        <v>1031889.3409120624</v>
      </c>
      <c r="HX136" s="26" t="e">
        <f t="shared" si="443"/>
        <v>#DIV/0!</v>
      </c>
      <c r="HY136" s="26" t="e">
        <f t="shared" si="444"/>
        <v>#DIV/0!</v>
      </c>
      <c r="HZ136" s="26" t="e">
        <f t="shared" si="445"/>
        <v>#DIV/0!</v>
      </c>
      <c r="IA136" s="26" t="e">
        <f t="shared" si="446"/>
        <v>#DIV/0!</v>
      </c>
      <c r="IB136" s="26" t="e">
        <f t="shared" si="447"/>
        <v>#DIV/0!</v>
      </c>
      <c r="IC136" s="26" t="e">
        <f t="shared" si="448"/>
        <v>#DIV/0!</v>
      </c>
      <c r="ID136" s="26" t="e">
        <f t="shared" si="449"/>
        <v>#DIV/0!</v>
      </c>
      <c r="IE136" s="26" t="e">
        <f t="shared" si="450"/>
        <v>#DIV/0!</v>
      </c>
      <c r="IF136" s="26" t="e">
        <f t="shared" si="451"/>
        <v>#DIV/0!</v>
      </c>
      <c r="IG136" s="26" t="e">
        <f t="shared" si="452"/>
        <v>#DIV/0!</v>
      </c>
      <c r="IH136" s="26" t="e">
        <f t="shared" si="453"/>
        <v>#DIV/0!</v>
      </c>
      <c r="II136" s="26" t="e">
        <f t="shared" si="454"/>
        <v>#DIV/0!</v>
      </c>
      <c r="IR136" s="26" t="e">
        <f t="shared" si="455"/>
        <v>#DIV/0!</v>
      </c>
      <c r="IS136" s="26" t="e">
        <f t="shared" si="456"/>
        <v>#DIV/0!</v>
      </c>
      <c r="IT136" s="26" t="e">
        <f t="shared" si="457"/>
        <v>#DIV/0!</v>
      </c>
      <c r="IU136" s="26" t="e">
        <f t="shared" si="458"/>
        <v>#DIV/0!</v>
      </c>
      <c r="IV136" s="26" t="e">
        <f t="shared" si="459"/>
        <v>#DIV/0!</v>
      </c>
      <c r="IW136" s="26" t="e">
        <f t="shared" si="460"/>
        <v>#DIV/0!</v>
      </c>
      <c r="IX136" s="26" t="e">
        <f t="shared" si="461"/>
        <v>#DIV/0!</v>
      </c>
      <c r="IY136" s="26" t="e">
        <f t="shared" si="462"/>
        <v>#DIV/0!</v>
      </c>
      <c r="IZ136" s="26" t="e">
        <f t="shared" si="463"/>
        <v>#DIV/0!</v>
      </c>
      <c r="JA136" s="26" t="e">
        <f t="shared" si="464"/>
        <v>#DIV/0!</v>
      </c>
      <c r="JB136" s="26" t="e">
        <f t="shared" si="465"/>
        <v>#DIV/0!</v>
      </c>
      <c r="JC136" s="26" t="e">
        <f t="shared" si="466"/>
        <v>#DIV/0!</v>
      </c>
      <c r="JI136" s="26">
        <f t="shared" si="343"/>
        <v>0</v>
      </c>
      <c r="JJ136" s="26">
        <f t="shared" si="344"/>
        <v>0</v>
      </c>
      <c r="JK136" s="26" t="e">
        <f t="shared" si="345"/>
        <v>#DIV/0!</v>
      </c>
      <c r="JL136" s="26" t="e">
        <f t="shared" si="346"/>
        <v>#DIV/0!</v>
      </c>
      <c r="JM136" s="26" t="e">
        <f t="shared" si="347"/>
        <v>#DIV/0!</v>
      </c>
      <c r="JN136" s="26" t="e">
        <f t="shared" si="348"/>
        <v>#DIV/0!</v>
      </c>
      <c r="JO136" s="26" t="e">
        <f t="shared" si="349"/>
        <v>#DIV/0!</v>
      </c>
      <c r="JP136" s="26" t="e">
        <f t="shared" si="350"/>
        <v>#DIV/0!</v>
      </c>
      <c r="JQ136" s="26" t="e">
        <f t="shared" si="351"/>
        <v>#DIV/0!</v>
      </c>
      <c r="JR136" s="26" t="e">
        <f t="shared" si="352"/>
        <v>#DIV/0!</v>
      </c>
      <c r="JS136" s="26" t="e">
        <f t="shared" si="353"/>
        <v>#DIV/0!</v>
      </c>
      <c r="JT136" s="26" t="e">
        <f t="shared" si="354"/>
        <v>#DIV/0!</v>
      </c>
      <c r="JU136" s="26" t="e">
        <f t="shared" si="355"/>
        <v>#DIV/0!</v>
      </c>
      <c r="JV136" s="26" t="e">
        <f t="shared" si="356"/>
        <v>#DIV/0!</v>
      </c>
      <c r="JW136" s="26" t="e">
        <f t="shared" si="357"/>
        <v>#DIV/0!</v>
      </c>
      <c r="JY136" s="34">
        <f t="shared" si="467"/>
        <v>0.05</v>
      </c>
      <c r="JZ136" s="4">
        <f t="shared" si="468"/>
        <v>0</v>
      </c>
      <c r="KA136" s="165"/>
    </row>
    <row r="137" spans="1:287" x14ac:dyDescent="0.25">
      <c r="A137" s="34"/>
      <c r="B137" s="34"/>
      <c r="C137" s="2"/>
      <c r="D137" s="1"/>
      <c r="E137" s="145"/>
      <c r="F137" s="146"/>
      <c r="G137" s="152"/>
      <c r="H137" s="43"/>
      <c r="I137" s="43"/>
      <c r="J137" s="43"/>
      <c r="K137" s="147"/>
      <c r="L137" s="147"/>
      <c r="M137" s="43"/>
      <c r="N137" s="148"/>
      <c r="O137" s="147"/>
      <c r="P137" s="157"/>
      <c r="Q137" s="43"/>
      <c r="R137" s="43"/>
      <c r="S137" s="43"/>
      <c r="T137" s="43"/>
      <c r="U137" s="153"/>
      <c r="V137" s="129"/>
      <c r="W137" s="43"/>
      <c r="X137" s="26"/>
      <c r="Y137" s="26"/>
      <c r="Z137" s="43"/>
      <c r="AA137" s="149"/>
      <c r="AB137" s="150"/>
      <c r="AC137" s="150"/>
      <c r="AD137" s="26"/>
      <c r="AE137" s="26"/>
      <c r="AF137" s="43"/>
      <c r="AG137" s="43"/>
      <c r="AI137" s="28"/>
      <c r="AJ137" s="20"/>
      <c r="AU137" s="16">
        <f t="shared" si="414"/>
        <v>0</v>
      </c>
      <c r="AV137" s="16">
        <f t="shared" si="414"/>
        <v>0</v>
      </c>
      <c r="AW137" s="16">
        <f t="shared" si="414"/>
        <v>0</v>
      </c>
      <c r="AX137" s="16">
        <f t="shared" si="469"/>
        <v>0</v>
      </c>
      <c r="AY137" s="16">
        <f t="shared" si="469"/>
        <v>0</v>
      </c>
      <c r="AZ137" s="16">
        <f t="shared" si="469"/>
        <v>0</v>
      </c>
      <c r="BA137" s="16">
        <f t="shared" si="469"/>
        <v>0</v>
      </c>
      <c r="BB137" s="16">
        <f t="shared" si="469"/>
        <v>0</v>
      </c>
      <c r="BC137" s="16">
        <f t="shared" si="469"/>
        <v>0</v>
      </c>
      <c r="BD137" s="16">
        <f t="shared" si="469"/>
        <v>0</v>
      </c>
      <c r="BE137" s="16">
        <f t="shared" si="469"/>
        <v>0</v>
      </c>
      <c r="BF137" s="16">
        <f t="shared" si="469"/>
        <v>0</v>
      </c>
      <c r="BG137" s="16">
        <f t="shared" si="469"/>
        <v>0</v>
      </c>
      <c r="BP137" s="16">
        <f t="shared" si="470"/>
        <v>0</v>
      </c>
      <c r="BQ137" s="16">
        <f t="shared" si="470"/>
        <v>0</v>
      </c>
      <c r="BR137" s="16">
        <f t="shared" si="470"/>
        <v>0</v>
      </c>
      <c r="BS137" s="16">
        <f t="shared" si="470"/>
        <v>0</v>
      </c>
      <c r="BT137" s="16">
        <f t="shared" si="470"/>
        <v>0</v>
      </c>
      <c r="BU137" s="16">
        <f t="shared" si="470"/>
        <v>0</v>
      </c>
      <c r="BV137" s="16">
        <f t="shared" si="472"/>
        <v>0</v>
      </c>
      <c r="BW137" s="16">
        <f t="shared" si="472"/>
        <v>0</v>
      </c>
      <c r="BX137" s="16">
        <f t="shared" si="472"/>
        <v>0</v>
      </c>
      <c r="BY137" s="16">
        <f t="shared" si="472"/>
        <v>0</v>
      </c>
      <c r="BZ137" s="16">
        <f t="shared" si="472"/>
        <v>0</v>
      </c>
      <c r="CA137" s="16">
        <f t="shared" si="472"/>
        <v>0</v>
      </c>
      <c r="CB137" s="16">
        <f t="shared" si="472"/>
        <v>0</v>
      </c>
      <c r="CK137" s="18" t="e">
        <f t="shared" si="396"/>
        <v>#DIV/0!</v>
      </c>
      <c r="CL137" s="18" t="e">
        <f t="shared" si="396"/>
        <v>#DIV/0!</v>
      </c>
      <c r="CM137" s="18" t="e">
        <f t="shared" si="396"/>
        <v>#DIV/0!</v>
      </c>
      <c r="CN137" s="18" t="e">
        <f t="shared" si="396"/>
        <v>#DIV/0!</v>
      </c>
      <c r="CO137" s="18" t="e">
        <f t="shared" si="397"/>
        <v>#DIV/0!</v>
      </c>
      <c r="CP137" s="18" t="e">
        <f t="shared" si="397"/>
        <v>#DIV/0!</v>
      </c>
      <c r="CQ137" s="18" t="e">
        <f t="shared" si="397"/>
        <v>#DIV/0!</v>
      </c>
      <c r="CR137" s="18" t="e">
        <f t="shared" si="397"/>
        <v>#DIV/0!</v>
      </c>
      <c r="CS137" s="18" t="e">
        <f t="shared" si="397"/>
        <v>#DIV/0!</v>
      </c>
      <c r="CT137" s="18" t="e">
        <f t="shared" si="397"/>
        <v>#DIV/0!</v>
      </c>
      <c r="CU137" s="18" t="e">
        <f t="shared" si="397"/>
        <v>#DIV/0!</v>
      </c>
      <c r="CV137" s="18" t="e">
        <f t="shared" si="397"/>
        <v>#DIV/0!</v>
      </c>
      <c r="CW137" s="18" t="e">
        <f t="shared" si="411"/>
        <v>#DIV/0!</v>
      </c>
      <c r="DW137" s="26">
        <f t="shared" si="416"/>
        <v>0</v>
      </c>
      <c r="DX137" s="26">
        <f t="shared" si="416"/>
        <v>0</v>
      </c>
      <c r="DY137" s="26">
        <f t="shared" si="416"/>
        <v>0</v>
      </c>
      <c r="DZ137" s="26">
        <f t="shared" si="416"/>
        <v>0</v>
      </c>
      <c r="EA137" s="26">
        <f t="shared" si="416"/>
        <v>0</v>
      </c>
      <c r="EB137" s="26">
        <f t="shared" si="416"/>
        <v>0</v>
      </c>
      <c r="EC137" s="26">
        <f t="shared" si="416"/>
        <v>0</v>
      </c>
      <c r="ED137" s="26">
        <f t="shared" si="416"/>
        <v>0</v>
      </c>
      <c r="EE137" s="26">
        <f t="shared" si="416"/>
        <v>0</v>
      </c>
      <c r="EF137" s="26">
        <f t="shared" si="416"/>
        <v>0</v>
      </c>
      <c r="EG137" s="26">
        <f t="shared" si="416"/>
        <v>0</v>
      </c>
      <c r="EH137" s="26">
        <f t="shared" si="416"/>
        <v>0</v>
      </c>
      <c r="EI137" s="26">
        <f t="shared" si="416"/>
        <v>0</v>
      </c>
      <c r="ER137" s="26" t="e">
        <f t="shared" si="415"/>
        <v>#DIV/0!</v>
      </c>
      <c r="ES137" s="26" t="e">
        <f t="shared" si="413"/>
        <v>#DIV/0!</v>
      </c>
      <c r="ET137" s="26" t="e">
        <f t="shared" si="413"/>
        <v>#DIV/0!</v>
      </c>
      <c r="EU137" s="26" t="e">
        <f t="shared" si="413"/>
        <v>#DIV/0!</v>
      </c>
      <c r="EV137" s="26" t="e">
        <f t="shared" si="413"/>
        <v>#DIV/0!</v>
      </c>
      <c r="EW137" s="26" t="e">
        <f t="shared" si="413"/>
        <v>#DIV/0!</v>
      </c>
      <c r="EX137" s="26" t="e">
        <f t="shared" si="413"/>
        <v>#DIV/0!</v>
      </c>
      <c r="EY137" s="26" t="e">
        <f t="shared" si="413"/>
        <v>#DIV/0!</v>
      </c>
      <c r="EZ137" s="26" t="e">
        <f t="shared" si="413"/>
        <v>#DIV/0!</v>
      </c>
      <c r="FA137" s="26" t="e">
        <f t="shared" si="413"/>
        <v>#DIV/0!</v>
      </c>
      <c r="FB137" s="26" t="e">
        <f t="shared" si="413"/>
        <v>#DIV/0!</v>
      </c>
      <c r="FC137" s="26" t="e">
        <f t="shared" si="413"/>
        <v>#DIV/0!</v>
      </c>
      <c r="FD137" s="26" t="e">
        <f t="shared" si="413"/>
        <v>#DIV/0!</v>
      </c>
      <c r="FM137" s="26" t="e">
        <f t="shared" si="313"/>
        <v>#DIV/0!</v>
      </c>
      <c r="FN137" s="26" t="e">
        <f t="shared" si="313"/>
        <v>#DIV/0!</v>
      </c>
      <c r="FO137" s="26" t="e">
        <f t="shared" si="313"/>
        <v>#DIV/0!</v>
      </c>
      <c r="FP137" s="26" t="e">
        <f t="shared" si="313"/>
        <v>#DIV/0!</v>
      </c>
      <c r="FQ137" s="26" t="e">
        <f t="shared" si="313"/>
        <v>#DIV/0!</v>
      </c>
      <c r="FR137" s="26" t="e">
        <f t="shared" si="313"/>
        <v>#DIV/0!</v>
      </c>
      <c r="FS137" s="26" t="e">
        <f t="shared" si="398"/>
        <v>#DIV/0!</v>
      </c>
      <c r="FT137" s="26" t="e">
        <f t="shared" si="398"/>
        <v>#DIV/0!</v>
      </c>
      <c r="FU137" s="26" t="e">
        <f t="shared" si="398"/>
        <v>#DIV/0!</v>
      </c>
      <c r="FV137" s="26" t="e">
        <f t="shared" si="398"/>
        <v>#DIV/0!</v>
      </c>
      <c r="FW137" s="26" t="e">
        <f t="shared" si="398"/>
        <v>#DIV/0!</v>
      </c>
      <c r="GH137" s="26" t="e">
        <f t="shared" si="314"/>
        <v>#DIV/0!</v>
      </c>
      <c r="GI137" s="26" t="e">
        <f t="shared" si="314"/>
        <v>#DIV/0!</v>
      </c>
      <c r="GJ137" s="26" t="e">
        <f t="shared" si="314"/>
        <v>#DIV/0!</v>
      </c>
      <c r="GK137" s="26" t="e">
        <f t="shared" si="314"/>
        <v>#DIV/0!</v>
      </c>
      <c r="GL137" s="26" t="e">
        <f t="shared" si="314"/>
        <v>#DIV/0!</v>
      </c>
      <c r="GM137" s="26" t="e">
        <f t="shared" si="314"/>
        <v>#DIV/0!</v>
      </c>
      <c r="GN137" s="26" t="e">
        <f t="shared" si="399"/>
        <v>#DIV/0!</v>
      </c>
      <c r="GO137" s="26" t="e">
        <f t="shared" si="399"/>
        <v>#DIV/0!</v>
      </c>
      <c r="GP137" s="26" t="e">
        <f t="shared" si="399"/>
        <v>#DIV/0!</v>
      </c>
      <c r="GQ137" s="26" t="e">
        <f t="shared" si="399"/>
        <v>#DIV/0!</v>
      </c>
      <c r="GR137" s="26" t="e">
        <f t="shared" si="399"/>
        <v>#DIV/0!</v>
      </c>
      <c r="GS137" s="26" t="e">
        <f t="shared" si="399"/>
        <v>#DIV/0!</v>
      </c>
      <c r="GT137" s="26" t="e">
        <f t="shared" si="315"/>
        <v>#DIV/0!</v>
      </c>
      <c r="HC137" s="26" t="e">
        <f t="shared" si="316"/>
        <v>#DIV/0!</v>
      </c>
      <c r="HD137" s="26" t="e">
        <f t="shared" si="316"/>
        <v>#DIV/0!</v>
      </c>
      <c r="HE137" s="26" t="e">
        <f t="shared" si="316"/>
        <v>#DIV/0!</v>
      </c>
      <c r="HF137" s="26" t="e">
        <f t="shared" si="316"/>
        <v>#DIV/0!</v>
      </c>
      <c r="HG137" s="26" t="e">
        <f t="shared" si="316"/>
        <v>#DIV/0!</v>
      </c>
      <c r="HH137" s="26" t="e">
        <f t="shared" si="316"/>
        <v>#DIV/0!</v>
      </c>
      <c r="HI137" s="26" t="e">
        <f t="shared" si="400"/>
        <v>#DIV/0!</v>
      </c>
      <c r="HJ137" s="26" t="e">
        <f t="shared" si="400"/>
        <v>#DIV/0!</v>
      </c>
      <c r="HK137" s="26" t="e">
        <f t="shared" si="400"/>
        <v>#DIV/0!</v>
      </c>
      <c r="HL137" s="26" t="e">
        <f t="shared" si="400"/>
        <v>#DIV/0!</v>
      </c>
      <c r="HM137" s="26" t="e">
        <f t="shared" si="400"/>
        <v>#DIV/0!</v>
      </c>
      <c r="HN137" s="26" t="e">
        <f t="shared" si="400"/>
        <v>#DIV/0!</v>
      </c>
      <c r="HO137" s="26" t="e">
        <f t="shared" si="317"/>
        <v>#DIV/0!</v>
      </c>
      <c r="HP137" s="26">
        <f t="shared" si="442"/>
        <v>1031889.3409120624</v>
      </c>
      <c r="HX137" s="26" t="e">
        <f t="shared" si="443"/>
        <v>#DIV/0!</v>
      </c>
      <c r="HY137" s="26" t="e">
        <f t="shared" si="444"/>
        <v>#DIV/0!</v>
      </c>
      <c r="HZ137" s="26" t="e">
        <f t="shared" si="445"/>
        <v>#DIV/0!</v>
      </c>
      <c r="IA137" s="26" t="e">
        <f t="shared" si="446"/>
        <v>#DIV/0!</v>
      </c>
      <c r="IB137" s="26" t="e">
        <f t="shared" si="447"/>
        <v>#DIV/0!</v>
      </c>
      <c r="IC137" s="26" t="e">
        <f t="shared" si="448"/>
        <v>#DIV/0!</v>
      </c>
      <c r="ID137" s="26" t="e">
        <f t="shared" si="449"/>
        <v>#DIV/0!</v>
      </c>
      <c r="IE137" s="26" t="e">
        <f t="shared" si="450"/>
        <v>#DIV/0!</v>
      </c>
      <c r="IF137" s="26" t="e">
        <f t="shared" si="451"/>
        <v>#DIV/0!</v>
      </c>
      <c r="IG137" s="26" t="e">
        <f t="shared" si="452"/>
        <v>#DIV/0!</v>
      </c>
      <c r="IH137" s="26" t="e">
        <f t="shared" si="453"/>
        <v>#DIV/0!</v>
      </c>
      <c r="II137" s="26" t="e">
        <f t="shared" si="454"/>
        <v>#DIV/0!</v>
      </c>
      <c r="IR137" s="26" t="e">
        <f t="shared" si="455"/>
        <v>#DIV/0!</v>
      </c>
      <c r="IS137" s="26" t="e">
        <f t="shared" si="456"/>
        <v>#DIV/0!</v>
      </c>
      <c r="IT137" s="26" t="e">
        <f t="shared" si="457"/>
        <v>#DIV/0!</v>
      </c>
      <c r="IU137" s="26" t="e">
        <f t="shared" si="458"/>
        <v>#DIV/0!</v>
      </c>
      <c r="IV137" s="26" t="e">
        <f t="shared" si="459"/>
        <v>#DIV/0!</v>
      </c>
      <c r="IW137" s="26" t="e">
        <f t="shared" si="460"/>
        <v>#DIV/0!</v>
      </c>
      <c r="IX137" s="26" t="e">
        <f t="shared" si="461"/>
        <v>#DIV/0!</v>
      </c>
      <c r="IY137" s="26" t="e">
        <f t="shared" si="462"/>
        <v>#DIV/0!</v>
      </c>
      <c r="IZ137" s="26" t="e">
        <f t="shared" si="463"/>
        <v>#DIV/0!</v>
      </c>
      <c r="JA137" s="26" t="e">
        <f t="shared" si="464"/>
        <v>#DIV/0!</v>
      </c>
      <c r="JB137" s="26" t="e">
        <f t="shared" si="465"/>
        <v>#DIV/0!</v>
      </c>
      <c r="JC137" s="26" t="e">
        <f t="shared" si="466"/>
        <v>#DIV/0!</v>
      </c>
      <c r="JI137" s="26">
        <f t="shared" si="343"/>
        <v>0</v>
      </c>
      <c r="JJ137" s="26">
        <f t="shared" si="344"/>
        <v>0</v>
      </c>
      <c r="JK137" s="26" t="e">
        <f t="shared" si="345"/>
        <v>#DIV/0!</v>
      </c>
      <c r="JL137" s="26" t="e">
        <f t="shared" si="346"/>
        <v>#DIV/0!</v>
      </c>
      <c r="JM137" s="26" t="e">
        <f t="shared" si="347"/>
        <v>#DIV/0!</v>
      </c>
      <c r="JN137" s="26" t="e">
        <f t="shared" si="348"/>
        <v>#DIV/0!</v>
      </c>
      <c r="JO137" s="26" t="e">
        <f t="shared" si="349"/>
        <v>#DIV/0!</v>
      </c>
      <c r="JP137" s="26" t="e">
        <f t="shared" si="350"/>
        <v>#DIV/0!</v>
      </c>
      <c r="JQ137" s="26" t="e">
        <f t="shared" si="351"/>
        <v>#DIV/0!</v>
      </c>
      <c r="JR137" s="26" t="e">
        <f t="shared" si="352"/>
        <v>#DIV/0!</v>
      </c>
      <c r="JS137" s="26" t="e">
        <f t="shared" si="353"/>
        <v>#DIV/0!</v>
      </c>
      <c r="JT137" s="26" t="e">
        <f t="shared" si="354"/>
        <v>#DIV/0!</v>
      </c>
      <c r="JU137" s="26" t="e">
        <f t="shared" si="355"/>
        <v>#DIV/0!</v>
      </c>
      <c r="JV137" s="26" t="e">
        <f t="shared" si="356"/>
        <v>#DIV/0!</v>
      </c>
      <c r="JW137" s="26" t="e">
        <f t="shared" si="357"/>
        <v>#DIV/0!</v>
      </c>
      <c r="JY137" s="34">
        <f t="shared" si="467"/>
        <v>0.05</v>
      </c>
      <c r="JZ137" s="4">
        <f t="shared" si="468"/>
        <v>0</v>
      </c>
      <c r="KA137" s="165"/>
    </row>
    <row r="138" spans="1:287" x14ac:dyDescent="0.25">
      <c r="A138" s="34"/>
      <c r="B138" s="34"/>
      <c r="C138" s="2"/>
      <c r="D138" s="1"/>
      <c r="E138" s="145"/>
      <c r="F138" s="146"/>
      <c r="G138" s="152"/>
      <c r="H138" s="43"/>
      <c r="I138" s="43"/>
      <c r="J138" s="43"/>
      <c r="K138" s="147"/>
      <c r="L138" s="147"/>
      <c r="M138" s="43"/>
      <c r="N138" s="148"/>
      <c r="O138" s="147"/>
      <c r="P138" s="157"/>
      <c r="Q138" s="43"/>
      <c r="R138" s="43"/>
      <c r="S138" s="43"/>
      <c r="T138" s="43"/>
      <c r="U138" s="153"/>
      <c r="V138" s="129"/>
      <c r="W138" s="43"/>
      <c r="X138" s="26"/>
      <c r="Y138" s="26"/>
      <c r="Z138" s="43"/>
      <c r="AA138" s="149"/>
      <c r="AB138" s="150"/>
      <c r="AC138" s="150"/>
      <c r="AD138" s="26"/>
      <c r="AE138" s="26"/>
      <c r="AF138" s="43"/>
      <c r="AG138" s="43"/>
      <c r="AI138" s="28"/>
      <c r="AJ138" s="20"/>
      <c r="AU138" s="16">
        <f t="shared" si="414"/>
        <v>0</v>
      </c>
      <c r="AV138" s="16">
        <f t="shared" si="414"/>
        <v>0</v>
      </c>
      <c r="AW138" s="16">
        <f t="shared" si="414"/>
        <v>0</v>
      </c>
      <c r="AX138" s="16">
        <f t="shared" si="469"/>
        <v>0</v>
      </c>
      <c r="AY138" s="16">
        <f t="shared" si="469"/>
        <v>0</v>
      </c>
      <c r="AZ138" s="16">
        <f t="shared" si="469"/>
        <v>0</v>
      </c>
      <c r="BA138" s="16">
        <f t="shared" si="469"/>
        <v>0</v>
      </c>
      <c r="BB138" s="16">
        <f t="shared" si="469"/>
        <v>0</v>
      </c>
      <c r="BC138" s="16">
        <f t="shared" si="469"/>
        <v>0</v>
      </c>
      <c r="BD138" s="16">
        <f t="shared" si="469"/>
        <v>0</v>
      </c>
      <c r="BE138" s="16">
        <f t="shared" si="469"/>
        <v>0</v>
      </c>
      <c r="BF138" s="16">
        <f t="shared" si="469"/>
        <v>0</v>
      </c>
      <c r="BG138" s="16">
        <f t="shared" si="469"/>
        <v>0</v>
      </c>
      <c r="BP138" s="16">
        <f t="shared" si="470"/>
        <v>0</v>
      </c>
      <c r="BQ138" s="16">
        <f t="shared" si="470"/>
        <v>0</v>
      </c>
      <c r="BR138" s="16">
        <f t="shared" si="470"/>
        <v>0</v>
      </c>
      <c r="BS138" s="16">
        <f t="shared" si="470"/>
        <v>0</v>
      </c>
      <c r="BT138" s="16">
        <f t="shared" si="470"/>
        <v>0</v>
      </c>
      <c r="BU138" s="16">
        <f t="shared" si="470"/>
        <v>0</v>
      </c>
      <c r="BV138" s="16">
        <f t="shared" si="472"/>
        <v>0</v>
      </c>
      <c r="BW138" s="16">
        <f t="shared" si="472"/>
        <v>0</v>
      </c>
      <c r="BX138" s="16">
        <f t="shared" si="472"/>
        <v>0</v>
      </c>
      <c r="BY138" s="16">
        <f t="shared" si="472"/>
        <v>0</v>
      </c>
      <c r="BZ138" s="16">
        <f t="shared" si="472"/>
        <v>0</v>
      </c>
      <c r="CA138" s="16">
        <f t="shared" si="472"/>
        <v>0</v>
      </c>
      <c r="CB138" s="16">
        <f t="shared" si="472"/>
        <v>0</v>
      </c>
      <c r="CK138" s="18" t="e">
        <f t="shared" si="396"/>
        <v>#DIV/0!</v>
      </c>
      <c r="CL138" s="18" t="e">
        <f t="shared" si="396"/>
        <v>#DIV/0!</v>
      </c>
      <c r="CM138" s="18" t="e">
        <f t="shared" si="396"/>
        <v>#DIV/0!</v>
      </c>
      <c r="CN138" s="18" t="e">
        <f t="shared" si="396"/>
        <v>#DIV/0!</v>
      </c>
      <c r="CO138" s="18" t="e">
        <f t="shared" si="397"/>
        <v>#DIV/0!</v>
      </c>
      <c r="CP138" s="18" t="e">
        <f t="shared" si="397"/>
        <v>#DIV/0!</v>
      </c>
      <c r="CQ138" s="18" t="e">
        <f t="shared" si="397"/>
        <v>#DIV/0!</v>
      </c>
      <c r="CR138" s="18" t="e">
        <f t="shared" si="397"/>
        <v>#DIV/0!</v>
      </c>
      <c r="CS138" s="18" t="e">
        <f t="shared" si="397"/>
        <v>#DIV/0!</v>
      </c>
      <c r="CT138" s="18" t="e">
        <f t="shared" si="397"/>
        <v>#DIV/0!</v>
      </c>
      <c r="CU138" s="18" t="e">
        <f t="shared" si="397"/>
        <v>#DIV/0!</v>
      </c>
      <c r="CV138" s="18" t="e">
        <f t="shared" si="397"/>
        <v>#DIV/0!</v>
      </c>
      <c r="CW138" s="18" t="e">
        <f t="shared" si="411"/>
        <v>#DIV/0!</v>
      </c>
      <c r="DW138" s="26">
        <f t="shared" si="416"/>
        <v>0</v>
      </c>
      <c r="DX138" s="26">
        <f t="shared" si="416"/>
        <v>0</v>
      </c>
      <c r="DY138" s="26">
        <f t="shared" si="416"/>
        <v>0</v>
      </c>
      <c r="DZ138" s="26">
        <f t="shared" si="416"/>
        <v>0</v>
      </c>
      <c r="EA138" s="26">
        <f t="shared" si="416"/>
        <v>0</v>
      </c>
      <c r="EB138" s="26">
        <f t="shared" si="416"/>
        <v>0</v>
      </c>
      <c r="EC138" s="26">
        <f t="shared" si="416"/>
        <v>0</v>
      </c>
      <c r="ED138" s="26">
        <f t="shared" si="416"/>
        <v>0</v>
      </c>
      <c r="EE138" s="26">
        <f t="shared" si="416"/>
        <v>0</v>
      </c>
      <c r="EF138" s="26">
        <f t="shared" si="416"/>
        <v>0</v>
      </c>
      <c r="EG138" s="26">
        <f t="shared" si="416"/>
        <v>0</v>
      </c>
      <c r="EH138" s="26">
        <f t="shared" si="416"/>
        <v>0</v>
      </c>
      <c r="EI138" s="26">
        <f t="shared" si="416"/>
        <v>0</v>
      </c>
      <c r="ER138" s="26" t="e">
        <f t="shared" si="415"/>
        <v>#DIV/0!</v>
      </c>
      <c r="ES138" s="26" t="e">
        <f t="shared" si="413"/>
        <v>#DIV/0!</v>
      </c>
      <c r="ET138" s="26" t="e">
        <f t="shared" si="413"/>
        <v>#DIV/0!</v>
      </c>
      <c r="EU138" s="26" t="e">
        <f t="shared" si="413"/>
        <v>#DIV/0!</v>
      </c>
      <c r="EV138" s="26" t="e">
        <f t="shared" si="413"/>
        <v>#DIV/0!</v>
      </c>
      <c r="EW138" s="26" t="e">
        <f t="shared" si="413"/>
        <v>#DIV/0!</v>
      </c>
      <c r="EX138" s="26" t="e">
        <f t="shared" si="413"/>
        <v>#DIV/0!</v>
      </c>
      <c r="EY138" s="26" t="e">
        <f t="shared" si="413"/>
        <v>#DIV/0!</v>
      </c>
      <c r="EZ138" s="26" t="e">
        <f t="shared" si="413"/>
        <v>#DIV/0!</v>
      </c>
      <c r="FA138" s="26" t="e">
        <f t="shared" si="413"/>
        <v>#DIV/0!</v>
      </c>
      <c r="FB138" s="26" t="e">
        <f t="shared" si="413"/>
        <v>#DIV/0!</v>
      </c>
      <c r="FC138" s="26" t="e">
        <f t="shared" si="413"/>
        <v>#DIV/0!</v>
      </c>
      <c r="FD138" s="26" t="e">
        <f t="shared" si="413"/>
        <v>#DIV/0!</v>
      </c>
      <c r="FM138" s="26" t="e">
        <f t="shared" si="313"/>
        <v>#DIV/0!</v>
      </c>
      <c r="FN138" s="26" t="e">
        <f t="shared" si="313"/>
        <v>#DIV/0!</v>
      </c>
      <c r="FO138" s="26" t="e">
        <f t="shared" si="313"/>
        <v>#DIV/0!</v>
      </c>
      <c r="FP138" s="26" t="e">
        <f t="shared" si="313"/>
        <v>#DIV/0!</v>
      </c>
      <c r="FQ138" s="26" t="e">
        <f t="shared" si="313"/>
        <v>#DIV/0!</v>
      </c>
      <c r="FR138" s="26" t="e">
        <f t="shared" si="313"/>
        <v>#DIV/0!</v>
      </c>
      <c r="FS138" s="26" t="e">
        <f t="shared" si="398"/>
        <v>#DIV/0!</v>
      </c>
      <c r="FT138" s="26" t="e">
        <f t="shared" si="398"/>
        <v>#DIV/0!</v>
      </c>
      <c r="FU138" s="26" t="e">
        <f t="shared" si="398"/>
        <v>#DIV/0!</v>
      </c>
      <c r="FV138" s="26" t="e">
        <f t="shared" si="398"/>
        <v>#DIV/0!</v>
      </c>
      <c r="FW138" s="26" t="e">
        <f t="shared" si="398"/>
        <v>#DIV/0!</v>
      </c>
      <c r="GH138" s="26" t="e">
        <f t="shared" si="314"/>
        <v>#DIV/0!</v>
      </c>
      <c r="GI138" s="26" t="e">
        <f t="shared" si="314"/>
        <v>#DIV/0!</v>
      </c>
      <c r="GJ138" s="26" t="e">
        <f t="shared" si="314"/>
        <v>#DIV/0!</v>
      </c>
      <c r="GK138" s="26" t="e">
        <f t="shared" si="314"/>
        <v>#DIV/0!</v>
      </c>
      <c r="GL138" s="26" t="e">
        <f t="shared" si="314"/>
        <v>#DIV/0!</v>
      </c>
      <c r="GM138" s="26" t="e">
        <f t="shared" si="314"/>
        <v>#DIV/0!</v>
      </c>
      <c r="GN138" s="26" t="e">
        <f t="shared" si="399"/>
        <v>#DIV/0!</v>
      </c>
      <c r="GO138" s="26" t="e">
        <f t="shared" si="399"/>
        <v>#DIV/0!</v>
      </c>
      <c r="GP138" s="26" t="e">
        <f t="shared" si="399"/>
        <v>#DIV/0!</v>
      </c>
      <c r="GQ138" s="26" t="e">
        <f t="shared" si="399"/>
        <v>#DIV/0!</v>
      </c>
      <c r="GR138" s="26" t="e">
        <f t="shared" si="399"/>
        <v>#DIV/0!</v>
      </c>
      <c r="GS138" s="26" t="e">
        <f t="shared" si="399"/>
        <v>#DIV/0!</v>
      </c>
      <c r="GT138" s="26" t="e">
        <f t="shared" si="315"/>
        <v>#DIV/0!</v>
      </c>
      <c r="HC138" s="26" t="e">
        <f t="shared" si="316"/>
        <v>#DIV/0!</v>
      </c>
      <c r="HD138" s="26" t="e">
        <f t="shared" si="316"/>
        <v>#DIV/0!</v>
      </c>
      <c r="HE138" s="26" t="e">
        <f t="shared" si="316"/>
        <v>#DIV/0!</v>
      </c>
      <c r="HF138" s="26" t="e">
        <f t="shared" si="316"/>
        <v>#DIV/0!</v>
      </c>
      <c r="HG138" s="26" t="e">
        <f t="shared" si="316"/>
        <v>#DIV/0!</v>
      </c>
      <c r="HH138" s="26" t="e">
        <f t="shared" si="316"/>
        <v>#DIV/0!</v>
      </c>
      <c r="HI138" s="26" t="e">
        <f t="shared" si="400"/>
        <v>#DIV/0!</v>
      </c>
      <c r="HJ138" s="26" t="e">
        <f t="shared" si="400"/>
        <v>#DIV/0!</v>
      </c>
      <c r="HK138" s="26" t="e">
        <f t="shared" si="400"/>
        <v>#DIV/0!</v>
      </c>
      <c r="HL138" s="26" t="e">
        <f t="shared" si="400"/>
        <v>#DIV/0!</v>
      </c>
      <c r="HM138" s="26" t="e">
        <f t="shared" si="400"/>
        <v>#DIV/0!</v>
      </c>
      <c r="HN138" s="26" t="e">
        <f t="shared" si="400"/>
        <v>#DIV/0!</v>
      </c>
      <c r="HO138" s="26" t="e">
        <f t="shared" si="317"/>
        <v>#DIV/0!</v>
      </c>
      <c r="HP138" s="26">
        <f t="shared" si="442"/>
        <v>1031889.3409120624</v>
      </c>
      <c r="HX138" s="26" t="e">
        <f t="shared" si="443"/>
        <v>#DIV/0!</v>
      </c>
      <c r="HY138" s="26" t="e">
        <f t="shared" si="444"/>
        <v>#DIV/0!</v>
      </c>
      <c r="HZ138" s="26" t="e">
        <f t="shared" si="445"/>
        <v>#DIV/0!</v>
      </c>
      <c r="IA138" s="26" t="e">
        <f t="shared" si="446"/>
        <v>#DIV/0!</v>
      </c>
      <c r="IB138" s="26" t="e">
        <f t="shared" si="447"/>
        <v>#DIV/0!</v>
      </c>
      <c r="IC138" s="26" t="e">
        <f t="shared" si="448"/>
        <v>#DIV/0!</v>
      </c>
      <c r="ID138" s="26" t="e">
        <f t="shared" si="449"/>
        <v>#DIV/0!</v>
      </c>
      <c r="IE138" s="26" t="e">
        <f t="shared" si="450"/>
        <v>#DIV/0!</v>
      </c>
      <c r="IF138" s="26" t="e">
        <f t="shared" si="451"/>
        <v>#DIV/0!</v>
      </c>
      <c r="IG138" s="26" t="e">
        <f t="shared" si="452"/>
        <v>#DIV/0!</v>
      </c>
      <c r="IH138" s="26" t="e">
        <f t="shared" si="453"/>
        <v>#DIV/0!</v>
      </c>
      <c r="II138" s="26" t="e">
        <f t="shared" si="454"/>
        <v>#DIV/0!</v>
      </c>
      <c r="IR138" s="26" t="e">
        <f t="shared" si="455"/>
        <v>#DIV/0!</v>
      </c>
      <c r="IS138" s="26" t="e">
        <f t="shared" si="456"/>
        <v>#DIV/0!</v>
      </c>
      <c r="IT138" s="26" t="e">
        <f t="shared" si="457"/>
        <v>#DIV/0!</v>
      </c>
      <c r="IU138" s="26" t="e">
        <f t="shared" si="458"/>
        <v>#DIV/0!</v>
      </c>
      <c r="IV138" s="26" t="e">
        <f t="shared" si="459"/>
        <v>#DIV/0!</v>
      </c>
      <c r="IW138" s="26" t="e">
        <f t="shared" si="460"/>
        <v>#DIV/0!</v>
      </c>
      <c r="IX138" s="26" t="e">
        <f t="shared" si="461"/>
        <v>#DIV/0!</v>
      </c>
      <c r="IY138" s="26" t="e">
        <f t="shared" si="462"/>
        <v>#DIV/0!</v>
      </c>
      <c r="IZ138" s="26" t="e">
        <f t="shared" si="463"/>
        <v>#DIV/0!</v>
      </c>
      <c r="JA138" s="26" t="e">
        <f t="shared" si="464"/>
        <v>#DIV/0!</v>
      </c>
      <c r="JB138" s="26" t="e">
        <f t="shared" si="465"/>
        <v>#DIV/0!</v>
      </c>
      <c r="JC138" s="26" t="e">
        <f t="shared" si="466"/>
        <v>#DIV/0!</v>
      </c>
      <c r="JI138" s="26">
        <f t="shared" si="343"/>
        <v>0</v>
      </c>
      <c r="JJ138" s="26">
        <f t="shared" si="344"/>
        <v>0</v>
      </c>
      <c r="JK138" s="26" t="e">
        <f t="shared" si="345"/>
        <v>#DIV/0!</v>
      </c>
      <c r="JL138" s="26" t="e">
        <f t="shared" si="346"/>
        <v>#DIV/0!</v>
      </c>
      <c r="JM138" s="26" t="e">
        <f t="shared" si="347"/>
        <v>#DIV/0!</v>
      </c>
      <c r="JN138" s="26" t="e">
        <f t="shared" si="348"/>
        <v>#DIV/0!</v>
      </c>
      <c r="JO138" s="26" t="e">
        <f t="shared" si="349"/>
        <v>#DIV/0!</v>
      </c>
      <c r="JP138" s="26" t="e">
        <f t="shared" si="350"/>
        <v>#DIV/0!</v>
      </c>
      <c r="JQ138" s="26" t="e">
        <f t="shared" si="351"/>
        <v>#DIV/0!</v>
      </c>
      <c r="JR138" s="26" t="e">
        <f t="shared" si="352"/>
        <v>#DIV/0!</v>
      </c>
      <c r="JS138" s="26" t="e">
        <f t="shared" si="353"/>
        <v>#DIV/0!</v>
      </c>
      <c r="JT138" s="26" t="e">
        <f t="shared" si="354"/>
        <v>#DIV/0!</v>
      </c>
      <c r="JU138" s="26" t="e">
        <f t="shared" si="355"/>
        <v>#DIV/0!</v>
      </c>
      <c r="JV138" s="26" t="e">
        <f t="shared" si="356"/>
        <v>#DIV/0!</v>
      </c>
      <c r="JW138" s="26" t="e">
        <f t="shared" si="357"/>
        <v>#DIV/0!</v>
      </c>
      <c r="JY138" s="34">
        <f t="shared" si="467"/>
        <v>0.05</v>
      </c>
      <c r="JZ138" s="4">
        <f t="shared" si="468"/>
        <v>0</v>
      </c>
      <c r="KA138" s="165"/>
    </row>
    <row r="139" spans="1:287" x14ac:dyDescent="0.25">
      <c r="B139" s="16"/>
      <c r="C139" s="2"/>
      <c r="D139" s="16"/>
      <c r="E139" s="32"/>
      <c r="F139" s="16"/>
      <c r="G139" s="16"/>
      <c r="H139" s="16"/>
      <c r="I139" s="16"/>
    </row>
    <row r="140" spans="1:287" x14ac:dyDescent="0.25">
      <c r="B140" s="16"/>
      <c r="C140" s="2"/>
      <c r="D140" s="16"/>
      <c r="E140" s="32"/>
      <c r="F140" s="16"/>
      <c r="G140" s="16"/>
      <c r="H140" s="16"/>
      <c r="I140" s="16"/>
    </row>
    <row r="141" spans="1:287" x14ac:dyDescent="0.25">
      <c r="B141" s="16"/>
      <c r="C141" s="2"/>
      <c r="D141" s="16"/>
      <c r="E141" s="32"/>
      <c r="F141" s="16"/>
      <c r="G141" s="16"/>
      <c r="H141" s="16"/>
      <c r="I141" s="16"/>
    </row>
    <row r="142" spans="1:287" x14ac:dyDescent="0.25">
      <c r="B142" s="16"/>
      <c r="C142" s="2"/>
      <c r="D142" s="16"/>
      <c r="E142" s="32"/>
      <c r="F142" s="16"/>
      <c r="G142" s="16"/>
      <c r="H142" s="16"/>
      <c r="I142" s="16"/>
    </row>
    <row r="143" spans="1:287" x14ac:dyDescent="0.25">
      <c r="B143" s="16"/>
      <c r="C143" s="2"/>
      <c r="D143" s="16"/>
      <c r="E143" s="32"/>
      <c r="F143" s="16"/>
      <c r="G143" s="16"/>
      <c r="H143" s="16"/>
      <c r="I143" s="16"/>
    </row>
    <row r="144" spans="1:287" x14ac:dyDescent="0.25">
      <c r="B144" s="16"/>
      <c r="C144" s="2"/>
      <c r="D144" s="16"/>
      <c r="E144" s="32"/>
      <c r="F144" s="16"/>
      <c r="G144" s="16"/>
      <c r="H144" s="16"/>
      <c r="I144" s="16"/>
    </row>
    <row r="145" spans="2:9" x14ac:dyDescent="0.25">
      <c r="B145" s="16"/>
      <c r="C145" s="2"/>
      <c r="D145" s="16"/>
      <c r="E145" s="32"/>
      <c r="F145" s="16"/>
      <c r="G145" s="16"/>
      <c r="H145" s="16"/>
      <c r="I145" s="16"/>
    </row>
    <row r="146" spans="2:9" x14ac:dyDescent="0.25">
      <c r="B146" s="16"/>
      <c r="C146" s="2"/>
      <c r="D146" s="16"/>
      <c r="E146" s="32"/>
      <c r="F146" s="16"/>
      <c r="G146" s="16"/>
      <c r="H146" s="16"/>
      <c r="I146" s="16"/>
    </row>
    <row r="147" spans="2:9" x14ac:dyDescent="0.25">
      <c r="B147" s="16"/>
      <c r="C147" s="2"/>
      <c r="D147" s="16"/>
      <c r="E147" s="32"/>
      <c r="F147" s="16"/>
      <c r="G147" s="16"/>
      <c r="H147" s="16"/>
      <c r="I147" s="16"/>
    </row>
    <row r="148" spans="2:9" x14ac:dyDescent="0.25">
      <c r="B148" s="16"/>
      <c r="C148" s="26"/>
      <c r="D148" s="16"/>
      <c r="E148" s="32"/>
      <c r="F148" s="16"/>
      <c r="G148" s="16"/>
      <c r="H148" s="16"/>
      <c r="I148" s="16"/>
    </row>
    <row r="149" spans="2:9" x14ac:dyDescent="0.25">
      <c r="B149" s="16"/>
      <c r="C149" s="33"/>
      <c r="D149" s="16"/>
      <c r="E149" s="32"/>
      <c r="F149" s="16"/>
      <c r="G149" s="16"/>
      <c r="H149" s="16"/>
      <c r="I149" s="16"/>
    </row>
    <row r="150" spans="2:9" x14ac:dyDescent="0.25">
      <c r="B150" s="16"/>
      <c r="C150" s="33"/>
      <c r="D150" s="16"/>
      <c r="E150" s="32"/>
      <c r="F150" s="16"/>
      <c r="G150" s="16"/>
      <c r="H150" s="16"/>
      <c r="I150" s="16"/>
    </row>
    <row r="151" spans="2:9" x14ac:dyDescent="0.25">
      <c r="B151" s="16"/>
      <c r="C151" s="33"/>
      <c r="D151" s="16"/>
      <c r="E151" s="32"/>
      <c r="F151" s="16"/>
      <c r="G151" s="16"/>
      <c r="H151" s="16"/>
      <c r="I151" s="16"/>
    </row>
    <row r="152" spans="2:9" x14ac:dyDescent="0.25">
      <c r="B152" s="16"/>
      <c r="C152" s="33"/>
      <c r="D152" s="16"/>
      <c r="E152" s="32"/>
      <c r="F152" s="16"/>
      <c r="G152" s="16"/>
      <c r="H152" s="16"/>
      <c r="I152" s="16"/>
    </row>
    <row r="153" spans="2:9" x14ac:dyDescent="0.25">
      <c r="B153" s="16"/>
      <c r="C153" s="33"/>
      <c r="D153" s="16"/>
      <c r="E153" s="32"/>
      <c r="F153" s="16"/>
      <c r="G153" s="16"/>
      <c r="H153" s="16"/>
      <c r="I153" s="16"/>
    </row>
    <row r="154" spans="2:9" x14ac:dyDescent="0.25">
      <c r="B154" s="16"/>
      <c r="C154" s="33"/>
      <c r="D154" s="16"/>
      <c r="E154" s="32"/>
      <c r="F154" s="16"/>
      <c r="G154" s="16"/>
      <c r="H154" s="16"/>
      <c r="I154" s="16"/>
    </row>
    <row r="155" spans="2:9" x14ac:dyDescent="0.25">
      <c r="B155" s="16"/>
      <c r="C155" s="33"/>
      <c r="D155" s="16"/>
      <c r="E155" s="32"/>
      <c r="F155" s="16"/>
      <c r="G155" s="16"/>
      <c r="H155" s="16"/>
      <c r="I155" s="16"/>
    </row>
    <row r="156" spans="2:9" x14ac:dyDescent="0.25">
      <c r="B156" s="16"/>
      <c r="C156" s="33"/>
      <c r="D156" s="16"/>
      <c r="E156" s="32"/>
      <c r="F156" s="16"/>
      <c r="G156" s="16"/>
      <c r="H156" s="16"/>
      <c r="I156" s="16"/>
    </row>
    <row r="157" spans="2:9" x14ac:dyDescent="0.25">
      <c r="B157" s="16"/>
      <c r="C157" s="33"/>
      <c r="D157" s="16"/>
      <c r="E157" s="32"/>
      <c r="F157" s="16"/>
      <c r="G157" s="16"/>
      <c r="H157" s="16"/>
      <c r="I157" s="16"/>
    </row>
    <row r="158" spans="2:9" x14ac:dyDescent="0.25">
      <c r="B158" s="16"/>
      <c r="C158" s="33"/>
      <c r="D158" s="16"/>
      <c r="E158" s="32"/>
      <c r="F158" s="16"/>
      <c r="G158" s="16"/>
      <c r="H158" s="16"/>
      <c r="I158" s="16"/>
    </row>
    <row r="159" spans="2:9" x14ac:dyDescent="0.25">
      <c r="B159" s="16"/>
      <c r="C159" s="33"/>
      <c r="D159" s="16"/>
      <c r="E159" s="32"/>
      <c r="F159" s="16"/>
      <c r="G159" s="16"/>
      <c r="H159" s="16"/>
      <c r="I159" s="16"/>
    </row>
    <row r="160" spans="2:9" x14ac:dyDescent="0.25">
      <c r="B160" s="16"/>
      <c r="C160" s="33"/>
      <c r="D160" s="16"/>
      <c r="E160" s="32"/>
      <c r="F160" s="16"/>
      <c r="G160" s="16"/>
      <c r="H160" s="16"/>
      <c r="I160" s="16"/>
    </row>
    <row r="161" spans="2:9" x14ac:dyDescent="0.25">
      <c r="B161" s="16"/>
      <c r="C161" s="33"/>
      <c r="D161" s="16"/>
      <c r="E161" s="32"/>
      <c r="F161" s="16"/>
      <c r="G161" s="16"/>
      <c r="H161" s="16"/>
      <c r="I161" s="16"/>
    </row>
    <row r="162" spans="2:9" x14ac:dyDescent="0.25">
      <c r="B162" s="16"/>
      <c r="C162" s="33"/>
      <c r="D162" s="16"/>
      <c r="E162" s="32"/>
      <c r="F162" s="16"/>
      <c r="G162" s="16"/>
      <c r="H162" s="16"/>
      <c r="I162" s="16"/>
    </row>
    <row r="163" spans="2:9" x14ac:dyDescent="0.25">
      <c r="B163" s="16"/>
      <c r="C163" s="33"/>
      <c r="D163" s="16"/>
      <c r="E163" s="32"/>
      <c r="F163" s="16"/>
      <c r="G163" s="16"/>
      <c r="H163" s="16"/>
      <c r="I163" s="16"/>
    </row>
    <row r="164" spans="2:9" x14ac:dyDescent="0.25">
      <c r="B164" s="16"/>
      <c r="C164" s="33"/>
      <c r="D164" s="16"/>
      <c r="E164" s="32"/>
      <c r="F164" s="16"/>
      <c r="G164" s="16"/>
      <c r="H164" s="16"/>
      <c r="I164" s="16"/>
    </row>
    <row r="165" spans="2:9" x14ac:dyDescent="0.25">
      <c r="B165" s="16"/>
      <c r="C165" s="33"/>
      <c r="D165" s="16"/>
      <c r="E165" s="32"/>
      <c r="F165" s="16"/>
      <c r="G165" s="16"/>
      <c r="H165" s="16"/>
      <c r="I165" s="16"/>
    </row>
    <row r="166" spans="2:9" x14ac:dyDescent="0.25">
      <c r="B166" s="16"/>
      <c r="C166" s="33"/>
      <c r="D166" s="16"/>
      <c r="E166" s="32"/>
      <c r="F166" s="16"/>
      <c r="G166" s="16"/>
      <c r="H166" s="16"/>
      <c r="I166" s="16"/>
    </row>
    <row r="167" spans="2:9" x14ac:dyDescent="0.25">
      <c r="B167" s="16"/>
      <c r="C167" s="33"/>
      <c r="D167" s="16"/>
      <c r="E167" s="32"/>
      <c r="F167" s="16"/>
      <c r="G167" s="16"/>
      <c r="H167" s="16"/>
      <c r="I167" s="16"/>
    </row>
    <row r="168" spans="2:9" x14ac:dyDescent="0.25">
      <c r="B168" s="16"/>
      <c r="C168" s="33"/>
      <c r="D168" s="16"/>
      <c r="E168" s="32"/>
      <c r="F168" s="16"/>
      <c r="G168" s="16"/>
      <c r="H168" s="16"/>
      <c r="I168" s="16"/>
    </row>
    <row r="169" spans="2:9" x14ac:dyDescent="0.25">
      <c r="B169" s="16"/>
      <c r="C169" s="33"/>
      <c r="D169" s="16"/>
      <c r="E169" s="32"/>
      <c r="F169" s="16"/>
      <c r="G169" s="16"/>
      <c r="H169" s="16"/>
      <c r="I169" s="16"/>
    </row>
    <row r="170" spans="2:9" x14ac:dyDescent="0.25">
      <c r="B170" s="16"/>
      <c r="C170" s="33"/>
      <c r="D170" s="16"/>
      <c r="E170" s="32"/>
      <c r="F170" s="16"/>
      <c r="G170" s="16"/>
      <c r="H170" s="16"/>
      <c r="I170" s="16"/>
    </row>
  </sheetData>
  <mergeCells count="17">
    <mergeCell ref="J20:K20"/>
    <mergeCell ref="J21:K21"/>
    <mergeCell ref="J14:K14"/>
    <mergeCell ref="J15:K15"/>
    <mergeCell ref="J16:K16"/>
    <mergeCell ref="J17:K17"/>
    <mergeCell ref="J18:K18"/>
    <mergeCell ref="J13:K13"/>
    <mergeCell ref="A15:A16"/>
    <mergeCell ref="B15:B16"/>
    <mergeCell ref="C15:C16"/>
    <mergeCell ref="J19:K19"/>
    <mergeCell ref="A10:D10"/>
    <mergeCell ref="A18:D18"/>
    <mergeCell ref="A12:A13"/>
    <mergeCell ref="B12:B13"/>
    <mergeCell ref="C12:C13"/>
  </mergeCells>
  <dataValidations count="1">
    <dataValidation type="list" allowBlank="1" showInputMessage="1" showErrorMessage="1" sqref="D7">
      <formula1>$S$2:$S$5</formula1>
    </dataValidation>
  </dataValidations>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N8"/>
  <sheetViews>
    <sheetView workbookViewId="0">
      <selection activeCell="E16" sqref="E16"/>
    </sheetView>
  </sheetViews>
  <sheetFormatPr baseColWidth="10" defaultRowHeight="15" x14ac:dyDescent="0.25"/>
  <cols>
    <col min="1" max="1" width="11.42578125" style="26"/>
    <col min="2" max="2" width="15" customWidth="1"/>
    <col min="3" max="4" width="15" style="26" customWidth="1"/>
    <col min="5" max="5" width="16.7109375" customWidth="1"/>
    <col min="6" max="6" width="15.140625" customWidth="1"/>
  </cols>
  <sheetData>
    <row r="1" spans="2:14" x14ac:dyDescent="0.25">
      <c r="H1" s="192" t="s">
        <v>63</v>
      </c>
      <c r="I1" s="192"/>
      <c r="J1" s="192"/>
      <c r="K1" s="192"/>
      <c r="L1" s="192"/>
      <c r="M1" s="192"/>
      <c r="N1" s="192"/>
    </row>
    <row r="2" spans="2:14" ht="45" x14ac:dyDescent="0.25">
      <c r="B2" s="60" t="s">
        <v>58</v>
      </c>
      <c r="C2" s="60" t="s">
        <v>59</v>
      </c>
      <c r="D2" s="60" t="s">
        <v>62</v>
      </c>
      <c r="E2" s="60" t="s">
        <v>49</v>
      </c>
      <c r="F2" s="61" t="s">
        <v>50</v>
      </c>
      <c r="G2" s="62" t="s">
        <v>60</v>
      </c>
      <c r="H2" s="61" t="s">
        <v>55</v>
      </c>
      <c r="I2" s="61" t="s">
        <v>51</v>
      </c>
      <c r="J2" s="61" t="s">
        <v>52</v>
      </c>
      <c r="K2" s="61" t="s">
        <v>53</v>
      </c>
      <c r="L2" s="61" t="s">
        <v>54</v>
      </c>
      <c r="M2" s="62" t="s">
        <v>56</v>
      </c>
      <c r="N2" s="62" t="s">
        <v>57</v>
      </c>
    </row>
    <row r="3" spans="2:14" x14ac:dyDescent="0.25">
      <c r="B3" s="54">
        <v>238582</v>
      </c>
      <c r="C3" s="55">
        <f>10000-1000</f>
        <v>9000</v>
      </c>
      <c r="D3" s="55" t="s">
        <v>61</v>
      </c>
      <c r="E3" s="56">
        <v>31018</v>
      </c>
      <c r="F3" s="56">
        <v>43374</v>
      </c>
      <c r="G3" s="57">
        <v>13</v>
      </c>
      <c r="H3" s="58">
        <f>10026-1000</f>
        <v>9026</v>
      </c>
      <c r="I3" s="58">
        <f>10004-1000</f>
        <v>9004</v>
      </c>
      <c r="J3" s="55">
        <f>10031-1000</f>
        <v>9031</v>
      </c>
      <c r="K3" s="55">
        <f>10036-1000</f>
        <v>9036</v>
      </c>
      <c r="L3" s="55">
        <f>10037-1000</f>
        <v>9037</v>
      </c>
      <c r="M3" s="59">
        <f t="shared" ref="M3:M8" si="0">(I3-C3)/C3</f>
        <v>4.4444444444444447E-4</v>
      </c>
      <c r="N3" s="63">
        <f t="shared" ref="N3:N8" si="1">(H3-C3)/C3</f>
        <v>2.8888888888888888E-3</v>
      </c>
    </row>
    <row r="4" spans="2:14" x14ac:dyDescent="0.25">
      <c r="B4" s="54">
        <v>380601</v>
      </c>
      <c r="C4" s="55">
        <f>15000-1000</f>
        <v>14000</v>
      </c>
      <c r="D4" s="55" t="s">
        <v>61</v>
      </c>
      <c r="E4" s="56">
        <v>28319</v>
      </c>
      <c r="F4" s="56">
        <v>43344</v>
      </c>
      <c r="G4" s="57">
        <v>14</v>
      </c>
      <c r="H4" s="58">
        <f>15029-1000</f>
        <v>14029</v>
      </c>
      <c r="I4" s="58">
        <f>15022-1000</f>
        <v>14022</v>
      </c>
      <c r="J4" s="57">
        <f>15036-1000</f>
        <v>14036</v>
      </c>
      <c r="K4" s="57">
        <f>15044-1000</f>
        <v>14044</v>
      </c>
      <c r="L4" s="57">
        <f>15051-1000</f>
        <v>14051</v>
      </c>
      <c r="M4" s="59">
        <f t="shared" si="0"/>
        <v>1.5714285714285715E-3</v>
      </c>
      <c r="N4" s="63">
        <f t="shared" si="1"/>
        <v>2.0714285714285713E-3</v>
      </c>
    </row>
    <row r="5" spans="2:14" x14ac:dyDescent="0.25">
      <c r="B5" s="54">
        <v>117692</v>
      </c>
      <c r="C5" s="55">
        <f>10000-1500</f>
        <v>8500</v>
      </c>
      <c r="D5" s="55" t="s">
        <v>61</v>
      </c>
      <c r="E5" s="56">
        <v>28647</v>
      </c>
      <c r="F5" s="56">
        <v>43344</v>
      </c>
      <c r="G5" s="57">
        <v>7</v>
      </c>
      <c r="H5" s="58">
        <f>10005-1500</f>
        <v>8505</v>
      </c>
      <c r="I5" s="58">
        <f>9998-1500</f>
        <v>8498</v>
      </c>
      <c r="J5" s="55">
        <f>10012-1500</f>
        <v>8512</v>
      </c>
      <c r="K5" s="55">
        <f>10018-1500</f>
        <v>8518</v>
      </c>
      <c r="L5" s="55">
        <f>10025-1500</f>
        <v>8525</v>
      </c>
      <c r="M5" s="59">
        <f t="shared" si="0"/>
        <v>-2.3529411764705883E-4</v>
      </c>
      <c r="N5" s="63">
        <f t="shared" si="1"/>
        <v>5.8823529411764701E-4</v>
      </c>
    </row>
    <row r="6" spans="2:14" x14ac:dyDescent="0.25">
      <c r="B6" s="54">
        <v>181600</v>
      </c>
      <c r="C6" s="55">
        <f>20000-1500</f>
        <v>18500</v>
      </c>
      <c r="D6" s="55" t="s">
        <v>61</v>
      </c>
      <c r="E6" s="56">
        <v>28856</v>
      </c>
      <c r="F6" s="56">
        <v>43374</v>
      </c>
      <c r="G6" s="57">
        <v>5</v>
      </c>
      <c r="H6" s="58">
        <f>20028-1500</f>
        <v>18528</v>
      </c>
      <c r="I6" s="58">
        <f>20010-1500</f>
        <v>18510</v>
      </c>
      <c r="J6" s="55">
        <f>20046-1500</f>
        <v>18546</v>
      </c>
      <c r="K6" s="55">
        <f>20064-1500</f>
        <v>18564</v>
      </c>
      <c r="L6" s="55">
        <f>20081-1500</f>
        <v>18581</v>
      </c>
      <c r="M6" s="59">
        <f t="shared" si="0"/>
        <v>5.4054054054054055E-4</v>
      </c>
      <c r="N6" s="63">
        <f t="shared" si="1"/>
        <v>1.5135135135135136E-3</v>
      </c>
    </row>
    <row r="7" spans="2:14" x14ac:dyDescent="0.25">
      <c r="B7" s="54">
        <v>84013</v>
      </c>
      <c r="C7" s="55">
        <f>10000-1500</f>
        <v>8500</v>
      </c>
      <c r="D7" s="55" t="s">
        <v>61</v>
      </c>
      <c r="E7" s="56">
        <v>31972</v>
      </c>
      <c r="F7" s="56">
        <v>43344</v>
      </c>
      <c r="G7" s="57">
        <v>5</v>
      </c>
      <c r="H7" s="58">
        <f>10012-1500</f>
        <v>8512</v>
      </c>
      <c r="I7" s="58">
        <f>10004-1500</f>
        <v>8504</v>
      </c>
      <c r="J7" s="55">
        <f>10020-1500</f>
        <v>8520</v>
      </c>
      <c r="K7" s="55">
        <f>10029-1500</f>
        <v>8529</v>
      </c>
      <c r="L7" s="55">
        <f>10037-1500</f>
        <v>8537</v>
      </c>
      <c r="M7" s="59">
        <f t="shared" si="0"/>
        <v>4.7058823529411766E-4</v>
      </c>
      <c r="N7" s="63">
        <f t="shared" si="1"/>
        <v>1.411764705882353E-3</v>
      </c>
    </row>
    <row r="8" spans="2:14" x14ac:dyDescent="0.25">
      <c r="B8" s="54">
        <v>531248</v>
      </c>
      <c r="C8" s="55">
        <v>30000</v>
      </c>
      <c r="D8" s="55" t="s">
        <v>61</v>
      </c>
      <c r="E8" s="56">
        <v>27838</v>
      </c>
      <c r="F8" s="56">
        <v>43344</v>
      </c>
      <c r="G8" s="57">
        <v>9</v>
      </c>
      <c r="H8" s="58">
        <f>30040</f>
        <v>30040</v>
      </c>
      <c r="I8" s="58">
        <v>30020</v>
      </c>
      <c r="J8" s="55">
        <v>30061</v>
      </c>
      <c r="K8" s="55">
        <v>30081</v>
      </c>
      <c r="L8" s="55">
        <v>30101</v>
      </c>
      <c r="M8" s="59">
        <f t="shared" si="0"/>
        <v>6.6666666666666664E-4</v>
      </c>
      <c r="N8" s="63">
        <f t="shared" si="1"/>
        <v>1.3333333333333333E-3</v>
      </c>
    </row>
  </sheetData>
  <mergeCells count="1">
    <mergeCell ref="H1:N1"/>
  </mergeCells>
  <pageMargins left="0.7" right="0.7" top="0.75" bottom="0.75" header="0.3" footer="0.3"/>
  <pageSetup paperSize="9" orientation="landscape"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AL327"/>
  <sheetViews>
    <sheetView topLeftCell="D4" workbookViewId="0">
      <selection activeCell="H14" sqref="H14"/>
    </sheetView>
  </sheetViews>
  <sheetFormatPr baseColWidth="10" defaultRowHeight="15" x14ac:dyDescent="0.25"/>
  <cols>
    <col min="1" max="1" width="6.28515625" style="78" customWidth="1"/>
    <col min="2" max="2" width="17.42578125" style="78" customWidth="1"/>
    <col min="3" max="3" width="11.42578125" style="78"/>
    <col min="4" max="4" width="12.7109375" style="78" bestFit="1" customWidth="1"/>
    <col min="5" max="9" width="11.42578125" style="78"/>
    <col min="10" max="10" width="14.7109375" style="78" customWidth="1"/>
    <col min="11" max="11" width="17.5703125" style="78" customWidth="1"/>
    <col min="12" max="12" width="15.5703125" style="78" customWidth="1"/>
    <col min="13" max="14" width="21.5703125" style="78" customWidth="1"/>
    <col min="15" max="16384" width="11.42578125" style="78"/>
  </cols>
  <sheetData>
    <row r="1" spans="1:14" x14ac:dyDescent="0.25">
      <c r="A1" s="76"/>
      <c r="B1" s="195"/>
      <c r="C1" s="195"/>
      <c r="D1" s="77"/>
      <c r="E1" s="76"/>
      <c r="F1" s="76"/>
      <c r="G1" s="76"/>
      <c r="H1" s="76"/>
      <c r="I1" s="76"/>
    </row>
    <row r="2" spans="1:14" ht="15.75" thickBot="1" x14ac:dyDescent="0.3">
      <c r="A2" s="79"/>
      <c r="B2" s="79"/>
      <c r="C2" s="79"/>
      <c r="D2" s="79"/>
      <c r="E2" s="79"/>
      <c r="F2" s="79"/>
      <c r="G2" s="79"/>
      <c r="H2" s="79"/>
      <c r="I2" s="79"/>
    </row>
    <row r="3" spans="1:14" ht="15.75" thickBot="1" x14ac:dyDescent="0.3">
      <c r="A3" s="79"/>
      <c r="B3" s="196" t="s">
        <v>92</v>
      </c>
      <c r="C3" s="197"/>
      <c r="D3" s="197"/>
      <c r="E3" s="198"/>
      <c r="F3" s="79"/>
      <c r="G3" s="196" t="s">
        <v>93</v>
      </c>
      <c r="H3" s="197"/>
      <c r="I3" s="198"/>
    </row>
    <row r="4" spans="1:14" x14ac:dyDescent="0.25">
      <c r="A4" s="79"/>
      <c r="B4" s="88"/>
      <c r="C4" s="89"/>
      <c r="D4" s="89"/>
      <c r="E4" s="90"/>
      <c r="F4" s="79"/>
      <c r="G4" s="93"/>
      <c r="H4" s="94"/>
      <c r="I4" s="95"/>
    </row>
    <row r="5" spans="1:14" x14ac:dyDescent="0.25">
      <c r="A5" s="79"/>
      <c r="B5" s="199" t="s">
        <v>94</v>
      </c>
      <c r="C5" s="200"/>
      <c r="D5" s="80">
        <v>55261</v>
      </c>
      <c r="E5" s="91"/>
      <c r="F5" s="79"/>
      <c r="G5" s="96"/>
      <c r="H5" s="97"/>
      <c r="I5" s="98"/>
    </row>
    <row r="6" spans="1:14" x14ac:dyDescent="0.25">
      <c r="A6" s="79"/>
      <c r="B6" s="193" t="s">
        <v>95</v>
      </c>
      <c r="C6" s="194"/>
      <c r="D6" s="81">
        <v>3.5000000000000003E-2</v>
      </c>
      <c r="E6" s="82"/>
      <c r="F6" s="79"/>
      <c r="G6" s="201" t="s">
        <v>68</v>
      </c>
      <c r="H6" s="202"/>
      <c r="I6" s="99">
        <f>ROUND(MtEmprunt*TxPer*((1+TxPer)^NbEch)/(((1+TxPer)^NbEch)-1),NbDeci)</f>
        <v>546.45000000000005</v>
      </c>
    </row>
    <row r="7" spans="1:14" x14ac:dyDescent="0.25">
      <c r="A7" s="79"/>
      <c r="B7" s="193" t="s">
        <v>96</v>
      </c>
      <c r="C7" s="194"/>
      <c r="D7" s="83">
        <v>10</v>
      </c>
      <c r="E7" s="91"/>
      <c r="F7" s="79"/>
      <c r="G7" s="96"/>
      <c r="H7" s="97"/>
      <c r="I7" s="98"/>
    </row>
    <row r="8" spans="1:14" x14ac:dyDescent="0.25">
      <c r="A8" s="79"/>
      <c r="B8" s="193" t="s">
        <v>69</v>
      </c>
      <c r="C8" s="194"/>
      <c r="E8" s="91"/>
      <c r="F8" s="79"/>
      <c r="G8" s="203" t="s">
        <v>70</v>
      </c>
      <c r="H8" s="204"/>
      <c r="I8" s="100">
        <f>IF(LEFT(E6,1)="A",((D6+1)^(1/NbEchAn))-1,D6/NbEchAn)</f>
        <v>2.9166666666666668E-3</v>
      </c>
    </row>
    <row r="9" spans="1:14" x14ac:dyDescent="0.25">
      <c r="A9" s="79"/>
      <c r="B9" s="193" t="s">
        <v>71</v>
      </c>
      <c r="C9" s="194"/>
      <c r="D9" s="84" t="s">
        <v>72</v>
      </c>
      <c r="E9" s="91"/>
      <c r="F9" s="79"/>
      <c r="G9" s="96"/>
      <c r="H9" s="97"/>
      <c r="I9" s="98"/>
    </row>
    <row r="10" spans="1:14" x14ac:dyDescent="0.25">
      <c r="A10" s="79"/>
      <c r="B10" s="193" t="s">
        <v>91</v>
      </c>
      <c r="C10" s="205"/>
      <c r="D10" s="85">
        <v>42005</v>
      </c>
      <c r="E10" s="91"/>
      <c r="F10" s="79"/>
      <c r="G10" s="203" t="s">
        <v>73</v>
      </c>
      <c r="H10" s="204"/>
      <c r="I10" s="101">
        <f>IF(LEFT(D9,1)="M",12)+IF(LEFT(D9,1)="T",4)+IF(LEFT(D9,1)="S",2)+IF(LEFT(D9,1)="A",1)</f>
        <v>12</v>
      </c>
    </row>
    <row r="11" spans="1:14" x14ac:dyDescent="0.25">
      <c r="A11" s="79"/>
      <c r="B11" s="193" t="s">
        <v>74</v>
      </c>
      <c r="C11" s="205"/>
      <c r="D11" s="86">
        <v>0</v>
      </c>
      <c r="E11" s="91"/>
      <c r="F11" s="79"/>
      <c r="G11" s="203" t="s">
        <v>75</v>
      </c>
      <c r="H11" s="204"/>
      <c r="I11" s="101">
        <f>I12*NbEchAn/12</f>
        <v>120</v>
      </c>
      <c r="L11" s="193" t="s">
        <v>71</v>
      </c>
      <c r="M11" s="194"/>
      <c r="N11" s="84" t="s">
        <v>72</v>
      </c>
    </row>
    <row r="12" spans="1:14" x14ac:dyDescent="0.25">
      <c r="A12" s="79"/>
      <c r="B12" s="193" t="s">
        <v>106</v>
      </c>
      <c r="C12" s="194"/>
      <c r="D12" s="125">
        <v>0.04</v>
      </c>
      <c r="E12" s="91"/>
      <c r="F12" s="79"/>
      <c r="G12" s="203" t="s">
        <v>76</v>
      </c>
      <c r="H12" s="204"/>
      <c r="I12" s="101">
        <f>D7*12+D14</f>
        <v>120</v>
      </c>
    </row>
    <row r="13" spans="1:14" x14ac:dyDescent="0.25">
      <c r="A13" s="79"/>
      <c r="B13" s="193" t="s">
        <v>107</v>
      </c>
      <c r="C13" s="194"/>
      <c r="D13" s="81">
        <v>3.5000000000000003E-2</v>
      </c>
      <c r="E13" s="91"/>
      <c r="F13" s="79"/>
      <c r="G13" s="97" t="s">
        <v>98</v>
      </c>
      <c r="H13" s="122">
        <v>0.04</v>
      </c>
      <c r="I13" s="123"/>
    </row>
    <row r="14" spans="1:14" ht="15.75" thickBot="1" x14ac:dyDescent="0.3">
      <c r="A14" s="79"/>
      <c r="B14" s="224"/>
      <c r="C14" s="225"/>
      <c r="D14" s="118"/>
      <c r="E14" s="92"/>
      <c r="F14" s="79"/>
      <c r="G14" s="121" t="s">
        <v>102</v>
      </c>
      <c r="H14" s="124">
        <v>3.5000000000000003E-2</v>
      </c>
      <c r="I14" s="97"/>
    </row>
    <row r="15" spans="1:14" x14ac:dyDescent="0.25">
      <c r="A15" s="79"/>
      <c r="B15" s="229" t="s">
        <v>49</v>
      </c>
      <c r="C15" s="229"/>
      <c r="D15" s="119">
        <v>25859</v>
      </c>
      <c r="E15" s="121"/>
      <c r="F15" s="79"/>
      <c r="I15" s="79"/>
      <c r="J15" s="121" t="s">
        <v>105</v>
      </c>
      <c r="K15" s="114">
        <v>4.2000000000000003E-2</v>
      </c>
    </row>
    <row r="16" spans="1:14" ht="15.75" thickBot="1" x14ac:dyDescent="0.3">
      <c r="A16" s="79"/>
      <c r="B16" s="116" t="s">
        <v>46</v>
      </c>
      <c r="C16" s="117"/>
      <c r="D16" s="120">
        <v>0.2</v>
      </c>
      <c r="E16" s="121"/>
      <c r="F16" s="79"/>
      <c r="I16" s="79"/>
    </row>
    <row r="17" spans="1:38" ht="15.75" thickBot="1" x14ac:dyDescent="0.3">
      <c r="A17" s="79"/>
      <c r="B17" s="206" t="s">
        <v>77</v>
      </c>
      <c r="C17" s="207"/>
      <c r="D17" s="207"/>
      <c r="E17" s="197"/>
      <c r="F17" s="197"/>
      <c r="G17" s="197"/>
      <c r="H17" s="198"/>
      <c r="I17" s="79"/>
    </row>
    <row r="18" spans="1:38" x14ac:dyDescent="0.25">
      <c r="A18" s="79"/>
      <c r="B18" s="208" t="s">
        <v>78</v>
      </c>
      <c r="C18" s="210" t="s">
        <v>79</v>
      </c>
      <c r="D18" s="210" t="s">
        <v>80</v>
      </c>
      <c r="E18" s="213" t="s">
        <v>81</v>
      </c>
      <c r="F18" s="210" t="s">
        <v>82</v>
      </c>
      <c r="G18" s="215" t="s">
        <v>83</v>
      </c>
      <c r="H18" s="217" t="s">
        <v>84</v>
      </c>
      <c r="I18" s="79"/>
    </row>
    <row r="19" spans="1:38" x14ac:dyDescent="0.25">
      <c r="A19" s="79"/>
      <c r="B19" s="209"/>
      <c r="C19" s="211"/>
      <c r="D19" s="212"/>
      <c r="E19" s="214"/>
      <c r="F19" s="212"/>
      <c r="G19" s="216"/>
      <c r="H19" s="218"/>
      <c r="I19" s="79"/>
    </row>
    <row r="20" spans="1:38" ht="15.75" thickBot="1" x14ac:dyDescent="0.3">
      <c r="A20" s="79"/>
      <c r="B20" s="102" t="e">
        <f ca="1">MAX(B27:B327)</f>
        <v>#NAME?</v>
      </c>
      <c r="C20" s="103" t="e">
        <f ca="1">MAX(C27:C327)</f>
        <v>#NAME?</v>
      </c>
      <c r="D20" s="104">
        <f>MtEmprunt</f>
        <v>55261</v>
      </c>
      <c r="E20" s="105" t="e">
        <f ca="1">SUM(E27:E327)</f>
        <v>#NAME?</v>
      </c>
      <c r="F20" s="104" t="e">
        <f ca="1">SUM(F27:F327)</f>
        <v>#NAME?</v>
      </c>
      <c r="G20" s="106" t="e">
        <f ca="1">SUM(G27:G327)</f>
        <v>#NAME?</v>
      </c>
      <c r="H20" s="107" t="e">
        <f ca="1">SUM(H27:H327)</f>
        <v>#NAME?</v>
      </c>
      <c r="I20" s="79"/>
    </row>
    <row r="21" spans="1:38" x14ac:dyDescent="0.25">
      <c r="A21" s="79"/>
      <c r="B21" s="87"/>
      <c r="C21" s="87"/>
      <c r="D21" s="79"/>
      <c r="E21" s="79"/>
      <c r="F21" s="79"/>
      <c r="G21" s="79"/>
      <c r="H21" s="79"/>
      <c r="I21" s="79"/>
    </row>
    <row r="22" spans="1:38" x14ac:dyDescent="0.25">
      <c r="A22" s="79"/>
      <c r="B22" s="87"/>
      <c r="C22" s="87"/>
      <c r="D22" s="79"/>
      <c r="E22" s="79"/>
      <c r="F22" s="79"/>
      <c r="G22" s="79"/>
      <c r="H22" s="79"/>
      <c r="I22" s="79"/>
    </row>
    <row r="23" spans="1:38" x14ac:dyDescent="0.25">
      <c r="A23" s="79"/>
      <c r="B23" s="79"/>
      <c r="C23" s="79"/>
      <c r="D23" s="79"/>
      <c r="E23" s="79"/>
      <c r="F23" s="79"/>
      <c r="G23" s="79"/>
      <c r="H23" s="79"/>
      <c r="I23" s="79"/>
    </row>
    <row r="24" spans="1:38" ht="15.75" thickBot="1" x14ac:dyDescent="0.3">
      <c r="A24" s="79"/>
      <c r="B24" s="221"/>
      <c r="C24" s="222"/>
      <c r="D24" s="222"/>
      <c r="E24" s="222"/>
      <c r="F24" s="222"/>
      <c r="G24" s="222"/>
      <c r="H24" s="222"/>
      <c r="I24" s="222"/>
      <c r="J24" s="222"/>
      <c r="K24" s="222"/>
      <c r="L24" s="222"/>
      <c r="M24" s="222"/>
      <c r="N24" s="222"/>
    </row>
    <row r="25" spans="1:38" x14ac:dyDescent="0.25">
      <c r="A25" s="79"/>
      <c r="B25" s="227" t="s">
        <v>85</v>
      </c>
      <c r="C25" s="228" t="s">
        <v>86</v>
      </c>
      <c r="D25" s="210" t="s">
        <v>99</v>
      </c>
      <c r="E25" s="213" t="s">
        <v>87</v>
      </c>
      <c r="F25" s="210" t="s">
        <v>88</v>
      </c>
      <c r="G25" s="215" t="s">
        <v>89</v>
      </c>
      <c r="H25" s="217" t="s">
        <v>90</v>
      </c>
      <c r="I25" s="223" t="s">
        <v>0</v>
      </c>
      <c r="J25" s="226" t="s">
        <v>97</v>
      </c>
      <c r="K25" s="219" t="s">
        <v>100</v>
      </c>
      <c r="L25" s="220" t="s">
        <v>101</v>
      </c>
      <c r="M25" s="219" t="s">
        <v>104</v>
      </c>
      <c r="N25" s="220" t="s">
        <v>103</v>
      </c>
    </row>
    <row r="26" spans="1:38" x14ac:dyDescent="0.25">
      <c r="A26" s="79"/>
      <c r="B26" s="209"/>
      <c r="C26" s="211"/>
      <c r="D26" s="212"/>
      <c r="E26" s="214"/>
      <c r="F26" s="212"/>
      <c r="G26" s="216"/>
      <c r="H26" s="218"/>
      <c r="I26" s="223"/>
      <c r="J26" s="226"/>
      <c r="K26" s="219"/>
      <c r="L26" s="220"/>
      <c r="M26" s="219"/>
      <c r="N26" s="220"/>
      <c r="AI26" s="68" t="s">
        <v>0</v>
      </c>
      <c r="AJ26" s="68" t="s">
        <v>65</v>
      </c>
      <c r="AK26" s="68" t="s">
        <v>66</v>
      </c>
      <c r="AL26" s="68" t="s">
        <v>67</v>
      </c>
    </row>
    <row r="27" spans="1:38" x14ac:dyDescent="0.25">
      <c r="A27" s="79"/>
      <c r="B27" s="108">
        <v>1</v>
      </c>
      <c r="C27" s="109">
        <f>DATE(YEAR(D10),MONTH(D10),1)</f>
        <v>42005</v>
      </c>
      <c r="D27" s="110" t="e">
        <f t="shared" ref="D27:D90" ca="1" si="0">montantcapital*J27*(1+i_2)^(-0.5)*(1+t_2)*(1+FraisF)</f>
        <v>#NAME?</v>
      </c>
      <c r="E27" s="111" t="e">
        <f t="shared" ref="E27:E90" ca="1" si="1">ROUND(D27*TxPer,NbDeci)</f>
        <v>#NAME?</v>
      </c>
      <c r="F27" s="110" t="e">
        <f t="shared" ref="F27:F90" ca="1" si="2">IF(B27&lt;=Différé,0,IF(B27&gt;=NbEch+Différé,D27,MtEch-E27))</f>
        <v>#NAME?</v>
      </c>
      <c r="G27" s="112" t="e">
        <f ca="1">IF(D27=0,0,ROUND((FraisF+FraisV)*K27,NbDeci))</f>
        <v>#NAME?</v>
      </c>
      <c r="H27" s="113" t="e">
        <f t="shared" ref="H27:H90" ca="1" si="3">SUM(E27:G27)</f>
        <v>#NAME?</v>
      </c>
      <c r="I27" s="79">
        <f t="shared" ref="I27:I90" si="4">DATEDIF(datenaissance,C27,"y")</f>
        <v>44</v>
      </c>
      <c r="J27" s="115" t="e">
        <f t="shared" ref="J27:J90" ca="1" si="5">reche18(I27)</f>
        <v>#NAME?</v>
      </c>
      <c r="K27" s="78" t="e">
        <f t="shared" ref="K27:K90" ca="1" si="6">montantcapital*(J27*(1+TxPer)^(-0.5))</f>
        <v>#NAME?</v>
      </c>
      <c r="L27" s="78" t="e">
        <f t="shared" ref="L27:L90" ca="1" si="7">K27*fg</f>
        <v>#NAME?</v>
      </c>
      <c r="M27" s="78" t="e">
        <f t="shared" ref="M27:M90" ca="1" si="8">K27*fraisacquisition</f>
        <v>#NAME?</v>
      </c>
      <c r="N27" s="78" t="e">
        <f t="shared" ref="N27:N90" ca="1" si="9">tf*K27</f>
        <v>#NAME?</v>
      </c>
      <c r="AI27" s="69">
        <v>0</v>
      </c>
      <c r="AJ27" s="1">
        <v>1000000</v>
      </c>
      <c r="AK27" s="70">
        <f t="shared" ref="AK27:AK58" si="10">IF(AJ27=0,1,AL27/AJ27)</f>
        <v>2.4279999999999999E-2</v>
      </c>
      <c r="AL27" s="71">
        <f t="shared" ref="AL27:AL58" si="11">+AJ27-AJ28</f>
        <v>24280</v>
      </c>
    </row>
    <row r="28" spans="1:38" x14ac:dyDescent="0.25">
      <c r="A28" s="79"/>
      <c r="B28" s="108" t="e">
        <f t="shared" ref="B28:B91" ca="1" si="12">IF(D28=0,"",B27+1)</f>
        <v>#NAME?</v>
      </c>
      <c r="C28" s="109" t="e">
        <f t="shared" ref="C28:C91" ca="1" si="13">IF(D28=0,"",DATE(YEAR(C27),MONTH(C27)+12/NbEchAn,1))</f>
        <v>#NAME?</v>
      </c>
      <c r="D28" s="110" t="e">
        <f t="shared" ca="1" si="0"/>
        <v>#NAME?</v>
      </c>
      <c r="E28" s="111" t="e">
        <f t="shared" ca="1" si="1"/>
        <v>#NAME?</v>
      </c>
      <c r="F28" s="110" t="e">
        <f t="shared" ca="1" si="2"/>
        <v>#NAME?</v>
      </c>
      <c r="G28" s="112" t="e">
        <f t="shared" ref="G28:G91" ca="1" si="14">IF(D28=0,0,ROUND(FraisF+FraisV*D28,NbDeci))</f>
        <v>#NAME?</v>
      </c>
      <c r="H28" s="113" t="e">
        <f t="shared" ca="1" si="3"/>
        <v>#NAME?</v>
      </c>
      <c r="I28" s="79" t="e">
        <f t="shared" ca="1" si="4"/>
        <v>#NAME?</v>
      </c>
      <c r="J28" s="115" t="e">
        <f t="shared" ca="1" si="5"/>
        <v>#NAME?</v>
      </c>
      <c r="K28" s="78" t="e">
        <f t="shared" ca="1" si="6"/>
        <v>#NAME?</v>
      </c>
      <c r="L28" s="78" t="e">
        <f t="shared" ca="1" si="7"/>
        <v>#NAME?</v>
      </c>
      <c r="M28" s="78" t="e">
        <f t="shared" ca="1" si="8"/>
        <v>#NAME?</v>
      </c>
      <c r="N28" s="78" t="e">
        <f t="shared" ca="1" si="9"/>
        <v>#NAME?</v>
      </c>
      <c r="AI28" s="69">
        <v>1</v>
      </c>
      <c r="AJ28" s="1">
        <v>975720</v>
      </c>
      <c r="AK28" s="70">
        <f t="shared" si="10"/>
        <v>2.2752428975525768E-3</v>
      </c>
      <c r="AL28" s="72">
        <f t="shared" si="11"/>
        <v>2220</v>
      </c>
    </row>
    <row r="29" spans="1:38" x14ac:dyDescent="0.25">
      <c r="A29" s="79"/>
      <c r="B29" s="108" t="e">
        <f t="shared" ca="1" si="12"/>
        <v>#NAME?</v>
      </c>
      <c r="C29" s="109" t="e">
        <f t="shared" ca="1" si="13"/>
        <v>#NAME?</v>
      </c>
      <c r="D29" s="110" t="e">
        <f t="shared" ca="1" si="0"/>
        <v>#NAME?</v>
      </c>
      <c r="E29" s="111" t="e">
        <f t="shared" ca="1" si="1"/>
        <v>#NAME?</v>
      </c>
      <c r="F29" s="110" t="e">
        <f t="shared" ca="1" si="2"/>
        <v>#NAME?</v>
      </c>
      <c r="G29" s="112" t="e">
        <f t="shared" ca="1" si="14"/>
        <v>#NAME?</v>
      </c>
      <c r="H29" s="113" t="e">
        <f t="shared" ca="1" si="3"/>
        <v>#NAME?</v>
      </c>
      <c r="I29" s="79" t="e">
        <f t="shared" ca="1" si="4"/>
        <v>#NAME?</v>
      </c>
      <c r="J29" s="115" t="e">
        <f t="shared" ca="1" si="5"/>
        <v>#NAME?</v>
      </c>
      <c r="K29" s="78" t="e">
        <f t="shared" ca="1" si="6"/>
        <v>#NAME?</v>
      </c>
      <c r="L29" s="78" t="e">
        <f t="shared" ca="1" si="7"/>
        <v>#NAME?</v>
      </c>
      <c r="M29" s="78" t="e">
        <f t="shared" ca="1" si="8"/>
        <v>#NAME?</v>
      </c>
      <c r="N29" s="78" t="e">
        <f t="shared" ca="1" si="9"/>
        <v>#NAME?</v>
      </c>
      <c r="AI29" s="69">
        <v>2</v>
      </c>
      <c r="AJ29" s="1">
        <v>973500</v>
      </c>
      <c r="AK29" s="70">
        <f t="shared" si="10"/>
        <v>1.1299435028248588E-3</v>
      </c>
      <c r="AL29" s="72">
        <f t="shared" si="11"/>
        <v>1100</v>
      </c>
    </row>
    <row r="30" spans="1:38" x14ac:dyDescent="0.25">
      <c r="A30" s="79"/>
      <c r="B30" s="108" t="e">
        <f t="shared" ca="1" si="12"/>
        <v>#NAME?</v>
      </c>
      <c r="C30" s="109" t="e">
        <f t="shared" ca="1" si="13"/>
        <v>#NAME?</v>
      </c>
      <c r="D30" s="110" t="e">
        <f t="shared" ca="1" si="0"/>
        <v>#NAME?</v>
      </c>
      <c r="E30" s="111" t="e">
        <f t="shared" ca="1" si="1"/>
        <v>#NAME?</v>
      </c>
      <c r="F30" s="110" t="e">
        <f t="shared" ca="1" si="2"/>
        <v>#NAME?</v>
      </c>
      <c r="G30" s="112" t="e">
        <f t="shared" ca="1" si="14"/>
        <v>#NAME?</v>
      </c>
      <c r="H30" s="113" t="e">
        <f t="shared" ca="1" si="3"/>
        <v>#NAME?</v>
      </c>
      <c r="I30" s="79" t="e">
        <f t="shared" ca="1" si="4"/>
        <v>#NAME?</v>
      </c>
      <c r="J30" s="115" t="e">
        <f t="shared" ca="1" si="5"/>
        <v>#NAME?</v>
      </c>
      <c r="K30" s="78" t="e">
        <f t="shared" ca="1" si="6"/>
        <v>#NAME?</v>
      </c>
      <c r="L30" s="78" t="e">
        <f t="shared" ca="1" si="7"/>
        <v>#NAME?</v>
      </c>
      <c r="M30" s="78" t="e">
        <f t="shared" ca="1" si="8"/>
        <v>#NAME?</v>
      </c>
      <c r="N30" s="78" t="e">
        <f t="shared" ca="1" si="9"/>
        <v>#NAME?</v>
      </c>
      <c r="AI30" s="69">
        <v>3</v>
      </c>
      <c r="AJ30" s="1">
        <v>972400</v>
      </c>
      <c r="AK30" s="70">
        <f t="shared" si="10"/>
        <v>7.7128753599341833E-4</v>
      </c>
      <c r="AL30" s="72">
        <f t="shared" si="11"/>
        <v>750</v>
      </c>
    </row>
    <row r="31" spans="1:38" x14ac:dyDescent="0.25">
      <c r="A31" s="79"/>
      <c r="B31" s="108" t="e">
        <f t="shared" ca="1" si="12"/>
        <v>#NAME?</v>
      </c>
      <c r="C31" s="109" t="e">
        <f t="shared" ca="1" si="13"/>
        <v>#NAME?</v>
      </c>
      <c r="D31" s="110" t="e">
        <f t="shared" ca="1" si="0"/>
        <v>#NAME?</v>
      </c>
      <c r="E31" s="111" t="e">
        <f t="shared" ca="1" si="1"/>
        <v>#NAME?</v>
      </c>
      <c r="F31" s="110" t="e">
        <f t="shared" ca="1" si="2"/>
        <v>#NAME?</v>
      </c>
      <c r="G31" s="112" t="e">
        <f t="shared" ca="1" si="14"/>
        <v>#NAME?</v>
      </c>
      <c r="H31" s="113" t="e">
        <f t="shared" ca="1" si="3"/>
        <v>#NAME?</v>
      </c>
      <c r="I31" s="79" t="e">
        <f t="shared" ca="1" si="4"/>
        <v>#NAME?</v>
      </c>
      <c r="J31" s="115" t="e">
        <f t="shared" ca="1" si="5"/>
        <v>#NAME?</v>
      </c>
      <c r="K31" s="78" t="e">
        <f t="shared" ca="1" si="6"/>
        <v>#NAME?</v>
      </c>
      <c r="L31" s="78" t="e">
        <f t="shared" ca="1" si="7"/>
        <v>#NAME?</v>
      </c>
      <c r="M31" s="78" t="e">
        <f t="shared" ca="1" si="8"/>
        <v>#NAME?</v>
      </c>
      <c r="N31" s="78" t="e">
        <f t="shared" ca="1" si="9"/>
        <v>#NAME?</v>
      </c>
      <c r="AI31" s="69">
        <v>4</v>
      </c>
      <c r="AJ31" s="1">
        <v>971650</v>
      </c>
      <c r="AK31" s="70">
        <f t="shared" si="10"/>
        <v>6.2779807543868681E-4</v>
      </c>
      <c r="AL31" s="72">
        <f t="shared" si="11"/>
        <v>610</v>
      </c>
    </row>
    <row r="32" spans="1:38" x14ac:dyDescent="0.25">
      <c r="A32" s="79"/>
      <c r="B32" s="108" t="e">
        <f t="shared" ca="1" si="12"/>
        <v>#NAME?</v>
      </c>
      <c r="C32" s="109" t="e">
        <f t="shared" ca="1" si="13"/>
        <v>#NAME?</v>
      </c>
      <c r="D32" s="110" t="e">
        <f t="shared" ca="1" si="0"/>
        <v>#NAME?</v>
      </c>
      <c r="E32" s="111" t="e">
        <f t="shared" ca="1" si="1"/>
        <v>#NAME?</v>
      </c>
      <c r="F32" s="110" t="e">
        <f t="shared" ca="1" si="2"/>
        <v>#NAME?</v>
      </c>
      <c r="G32" s="112" t="e">
        <f t="shared" ca="1" si="14"/>
        <v>#NAME?</v>
      </c>
      <c r="H32" s="113" t="e">
        <f t="shared" ca="1" si="3"/>
        <v>#NAME?</v>
      </c>
      <c r="I32" s="79" t="e">
        <f t="shared" ca="1" si="4"/>
        <v>#NAME?</v>
      </c>
      <c r="J32" s="115" t="e">
        <f t="shared" ca="1" si="5"/>
        <v>#NAME?</v>
      </c>
      <c r="K32" s="78" t="e">
        <f t="shared" ca="1" si="6"/>
        <v>#NAME?</v>
      </c>
      <c r="L32" s="78" t="e">
        <f t="shared" ca="1" si="7"/>
        <v>#NAME?</v>
      </c>
      <c r="M32" s="78" t="e">
        <f t="shared" ca="1" si="8"/>
        <v>#NAME?</v>
      </c>
      <c r="N32" s="78" t="e">
        <f t="shared" ca="1" si="9"/>
        <v>#NAME?</v>
      </c>
      <c r="AI32" s="69">
        <v>5</v>
      </c>
      <c r="AJ32" s="1">
        <v>971040</v>
      </c>
      <c r="AK32" s="70">
        <f t="shared" si="10"/>
        <v>5.4580655791728455E-4</v>
      </c>
      <c r="AL32" s="72">
        <f t="shared" si="11"/>
        <v>530</v>
      </c>
    </row>
    <row r="33" spans="1:38" x14ac:dyDescent="0.25">
      <c r="A33" s="79"/>
      <c r="B33" s="108" t="e">
        <f t="shared" ca="1" si="12"/>
        <v>#NAME?</v>
      </c>
      <c r="C33" s="109" t="e">
        <f t="shared" ca="1" si="13"/>
        <v>#NAME?</v>
      </c>
      <c r="D33" s="110" t="e">
        <f t="shared" ca="1" si="0"/>
        <v>#NAME?</v>
      </c>
      <c r="E33" s="111" t="e">
        <f t="shared" ca="1" si="1"/>
        <v>#NAME?</v>
      </c>
      <c r="F33" s="110" t="e">
        <f t="shared" ca="1" si="2"/>
        <v>#NAME?</v>
      </c>
      <c r="G33" s="112" t="e">
        <f t="shared" ca="1" si="14"/>
        <v>#NAME?</v>
      </c>
      <c r="H33" s="113" t="e">
        <f t="shared" ca="1" si="3"/>
        <v>#NAME?</v>
      </c>
      <c r="I33" s="79" t="e">
        <f t="shared" ca="1" si="4"/>
        <v>#NAME?</v>
      </c>
      <c r="J33" s="115" t="e">
        <f t="shared" ca="1" si="5"/>
        <v>#NAME?</v>
      </c>
      <c r="K33" s="78" t="e">
        <f t="shared" ca="1" si="6"/>
        <v>#NAME?</v>
      </c>
      <c r="L33" s="78" t="e">
        <f t="shared" ca="1" si="7"/>
        <v>#NAME?</v>
      </c>
      <c r="M33" s="78" t="e">
        <f t="shared" ca="1" si="8"/>
        <v>#NAME?</v>
      </c>
      <c r="N33" s="78" t="e">
        <f t="shared" ca="1" si="9"/>
        <v>#NAME?</v>
      </c>
      <c r="AI33" s="69">
        <v>6</v>
      </c>
      <c r="AJ33" s="1">
        <v>970510</v>
      </c>
      <c r="AK33" s="70">
        <f t="shared" si="10"/>
        <v>4.8428146026316063E-4</v>
      </c>
      <c r="AL33" s="72">
        <f t="shared" si="11"/>
        <v>470</v>
      </c>
    </row>
    <row r="34" spans="1:38" x14ac:dyDescent="0.25">
      <c r="A34" s="79"/>
      <c r="B34" s="108" t="e">
        <f t="shared" ca="1" si="12"/>
        <v>#NAME?</v>
      </c>
      <c r="C34" s="109" t="e">
        <f t="shared" ca="1" si="13"/>
        <v>#NAME?</v>
      </c>
      <c r="D34" s="110" t="e">
        <f t="shared" ca="1" si="0"/>
        <v>#NAME?</v>
      </c>
      <c r="E34" s="111" t="e">
        <f t="shared" ca="1" si="1"/>
        <v>#NAME?</v>
      </c>
      <c r="F34" s="110" t="e">
        <f t="shared" ca="1" si="2"/>
        <v>#NAME?</v>
      </c>
      <c r="G34" s="112" t="e">
        <f t="shared" ca="1" si="14"/>
        <v>#NAME?</v>
      </c>
      <c r="H34" s="113" t="e">
        <f t="shared" ca="1" si="3"/>
        <v>#NAME?</v>
      </c>
      <c r="I34" s="79" t="e">
        <f t="shared" ca="1" si="4"/>
        <v>#NAME?</v>
      </c>
      <c r="J34" s="115" t="e">
        <f t="shared" ca="1" si="5"/>
        <v>#NAME?</v>
      </c>
      <c r="K34" s="78" t="e">
        <f t="shared" ca="1" si="6"/>
        <v>#NAME?</v>
      </c>
      <c r="L34" s="78" t="e">
        <f t="shared" ca="1" si="7"/>
        <v>#NAME?</v>
      </c>
      <c r="M34" s="78" t="e">
        <f t="shared" ca="1" si="8"/>
        <v>#NAME?</v>
      </c>
      <c r="N34" s="78" t="e">
        <f t="shared" ca="1" si="9"/>
        <v>#NAME?</v>
      </c>
      <c r="AI34" s="69">
        <v>7</v>
      </c>
      <c r="AJ34" s="1">
        <v>970040</v>
      </c>
      <c r="AK34" s="70">
        <f t="shared" si="10"/>
        <v>4.5358954269927014E-4</v>
      </c>
      <c r="AL34" s="72">
        <f t="shared" si="11"/>
        <v>440</v>
      </c>
    </row>
    <row r="35" spans="1:38" x14ac:dyDescent="0.25">
      <c r="A35" s="79"/>
      <c r="B35" s="108" t="e">
        <f t="shared" ca="1" si="12"/>
        <v>#NAME?</v>
      </c>
      <c r="C35" s="109" t="e">
        <f t="shared" ca="1" si="13"/>
        <v>#NAME?</v>
      </c>
      <c r="D35" s="110" t="e">
        <f t="shared" ca="1" si="0"/>
        <v>#NAME?</v>
      </c>
      <c r="E35" s="111" t="e">
        <f t="shared" ca="1" si="1"/>
        <v>#NAME?</v>
      </c>
      <c r="F35" s="110" t="e">
        <f t="shared" ca="1" si="2"/>
        <v>#NAME?</v>
      </c>
      <c r="G35" s="112" t="e">
        <f t="shared" ca="1" si="14"/>
        <v>#NAME?</v>
      </c>
      <c r="H35" s="113" t="e">
        <f t="shared" ca="1" si="3"/>
        <v>#NAME?</v>
      </c>
      <c r="I35" s="79" t="e">
        <f t="shared" ca="1" si="4"/>
        <v>#NAME?</v>
      </c>
      <c r="J35" s="115" t="e">
        <f t="shared" ca="1" si="5"/>
        <v>#NAME?</v>
      </c>
      <c r="K35" s="78" t="e">
        <f t="shared" ca="1" si="6"/>
        <v>#NAME?</v>
      </c>
      <c r="L35" s="78" t="e">
        <f t="shared" ca="1" si="7"/>
        <v>#NAME?</v>
      </c>
      <c r="M35" s="78" t="e">
        <f t="shared" ca="1" si="8"/>
        <v>#NAME?</v>
      </c>
      <c r="N35" s="78" t="e">
        <f t="shared" ca="1" si="9"/>
        <v>#NAME?</v>
      </c>
      <c r="AI35" s="69">
        <v>8</v>
      </c>
      <c r="AJ35" s="1">
        <v>969600</v>
      </c>
      <c r="AK35" s="70">
        <f t="shared" si="10"/>
        <v>4.2285478547854783E-4</v>
      </c>
      <c r="AL35" s="72">
        <f t="shared" si="11"/>
        <v>410</v>
      </c>
    </row>
    <row r="36" spans="1:38" x14ac:dyDescent="0.25">
      <c r="A36" s="79"/>
      <c r="B36" s="108" t="e">
        <f t="shared" ca="1" si="12"/>
        <v>#NAME?</v>
      </c>
      <c r="C36" s="109" t="e">
        <f t="shared" ca="1" si="13"/>
        <v>#NAME?</v>
      </c>
      <c r="D36" s="110" t="e">
        <f t="shared" ca="1" si="0"/>
        <v>#NAME?</v>
      </c>
      <c r="E36" s="111" t="e">
        <f t="shared" ca="1" si="1"/>
        <v>#NAME?</v>
      </c>
      <c r="F36" s="110" t="e">
        <f t="shared" ca="1" si="2"/>
        <v>#NAME?</v>
      </c>
      <c r="G36" s="112" t="e">
        <f t="shared" ca="1" si="14"/>
        <v>#NAME?</v>
      </c>
      <c r="H36" s="113" t="e">
        <f t="shared" ca="1" si="3"/>
        <v>#NAME?</v>
      </c>
      <c r="I36" s="79" t="e">
        <f t="shared" ca="1" si="4"/>
        <v>#NAME?</v>
      </c>
      <c r="J36" s="115" t="e">
        <f t="shared" ca="1" si="5"/>
        <v>#NAME?</v>
      </c>
      <c r="K36" s="78" t="e">
        <f t="shared" ca="1" si="6"/>
        <v>#NAME?</v>
      </c>
      <c r="L36" s="78" t="e">
        <f t="shared" ca="1" si="7"/>
        <v>#NAME?</v>
      </c>
      <c r="M36" s="78" t="e">
        <f t="shared" ca="1" si="8"/>
        <v>#NAME?</v>
      </c>
      <c r="N36" s="78" t="e">
        <f t="shared" ca="1" si="9"/>
        <v>#NAME?</v>
      </c>
      <c r="AI36" s="69">
        <v>9</v>
      </c>
      <c r="AJ36" s="1">
        <v>969190</v>
      </c>
      <c r="AK36" s="70">
        <f t="shared" si="10"/>
        <v>4.0239787864092697E-4</v>
      </c>
      <c r="AL36" s="72">
        <f t="shared" si="11"/>
        <v>390</v>
      </c>
    </row>
    <row r="37" spans="1:38" x14ac:dyDescent="0.25">
      <c r="A37" s="79"/>
      <c r="B37" s="108" t="e">
        <f t="shared" ca="1" si="12"/>
        <v>#NAME?</v>
      </c>
      <c r="C37" s="109" t="e">
        <f t="shared" ca="1" si="13"/>
        <v>#NAME?</v>
      </c>
      <c r="D37" s="110" t="e">
        <f t="shared" ca="1" si="0"/>
        <v>#NAME?</v>
      </c>
      <c r="E37" s="111" t="e">
        <f t="shared" ca="1" si="1"/>
        <v>#NAME?</v>
      </c>
      <c r="F37" s="110" t="e">
        <f t="shared" ca="1" si="2"/>
        <v>#NAME?</v>
      </c>
      <c r="G37" s="112" t="e">
        <f t="shared" ca="1" si="14"/>
        <v>#NAME?</v>
      </c>
      <c r="H37" s="113" t="e">
        <f t="shared" ca="1" si="3"/>
        <v>#NAME?</v>
      </c>
      <c r="I37" s="79" t="e">
        <f t="shared" ca="1" si="4"/>
        <v>#NAME?</v>
      </c>
      <c r="J37" s="115" t="e">
        <f t="shared" ca="1" si="5"/>
        <v>#NAME?</v>
      </c>
      <c r="K37" s="78" t="e">
        <f t="shared" ca="1" si="6"/>
        <v>#NAME?</v>
      </c>
      <c r="L37" s="78" t="e">
        <f t="shared" ca="1" si="7"/>
        <v>#NAME?</v>
      </c>
      <c r="M37" s="78" t="e">
        <f t="shared" ca="1" si="8"/>
        <v>#NAME?</v>
      </c>
      <c r="N37" s="78" t="e">
        <f t="shared" ca="1" si="9"/>
        <v>#NAME?</v>
      </c>
      <c r="AI37" s="69">
        <v>10</v>
      </c>
      <c r="AJ37" s="1">
        <v>968800</v>
      </c>
      <c r="AK37" s="70">
        <f t="shared" si="10"/>
        <v>3.9223781998348474E-4</v>
      </c>
      <c r="AL37" s="72">
        <f t="shared" si="11"/>
        <v>380</v>
      </c>
    </row>
    <row r="38" spans="1:38" x14ac:dyDescent="0.25">
      <c r="A38" s="79"/>
      <c r="B38" s="108" t="e">
        <f t="shared" ca="1" si="12"/>
        <v>#NAME?</v>
      </c>
      <c r="C38" s="109" t="e">
        <f t="shared" ca="1" si="13"/>
        <v>#NAME?</v>
      </c>
      <c r="D38" s="110" t="e">
        <f t="shared" ca="1" si="0"/>
        <v>#NAME?</v>
      </c>
      <c r="E38" s="111" t="e">
        <f t="shared" ca="1" si="1"/>
        <v>#NAME?</v>
      </c>
      <c r="F38" s="110" t="e">
        <f t="shared" ca="1" si="2"/>
        <v>#NAME?</v>
      </c>
      <c r="G38" s="112" t="e">
        <f t="shared" ca="1" si="14"/>
        <v>#NAME?</v>
      </c>
      <c r="H38" s="113" t="e">
        <f t="shared" ca="1" si="3"/>
        <v>#NAME?</v>
      </c>
      <c r="I38" s="79" t="e">
        <f t="shared" ca="1" si="4"/>
        <v>#NAME?</v>
      </c>
      <c r="J38" s="115" t="e">
        <f t="shared" ca="1" si="5"/>
        <v>#NAME?</v>
      </c>
      <c r="K38" s="78" t="e">
        <f t="shared" ca="1" si="6"/>
        <v>#NAME?</v>
      </c>
      <c r="L38" s="78" t="e">
        <f t="shared" ca="1" si="7"/>
        <v>#NAME?</v>
      </c>
      <c r="M38" s="78" t="e">
        <f t="shared" ca="1" si="8"/>
        <v>#NAME?</v>
      </c>
      <c r="N38" s="78" t="e">
        <f t="shared" ca="1" si="9"/>
        <v>#NAME?</v>
      </c>
      <c r="AI38" s="69">
        <v>11</v>
      </c>
      <c r="AJ38" s="1">
        <v>968420</v>
      </c>
      <c r="AK38" s="70">
        <f t="shared" si="10"/>
        <v>3.9135912104252288E-4</v>
      </c>
      <c r="AL38" s="72">
        <f t="shared" si="11"/>
        <v>379</v>
      </c>
    </row>
    <row r="39" spans="1:38" x14ac:dyDescent="0.25">
      <c r="A39" s="79"/>
      <c r="B39" s="108" t="e">
        <f t="shared" ca="1" si="12"/>
        <v>#NAME?</v>
      </c>
      <c r="C39" s="109" t="e">
        <f t="shared" ca="1" si="13"/>
        <v>#NAME?</v>
      </c>
      <c r="D39" s="110" t="e">
        <f t="shared" ca="1" si="0"/>
        <v>#NAME?</v>
      </c>
      <c r="E39" s="111" t="e">
        <f t="shared" ca="1" si="1"/>
        <v>#NAME?</v>
      </c>
      <c r="F39" s="110" t="e">
        <f t="shared" ca="1" si="2"/>
        <v>#NAME?</v>
      </c>
      <c r="G39" s="112" t="e">
        <f t="shared" ca="1" si="14"/>
        <v>#NAME?</v>
      </c>
      <c r="H39" s="113" t="e">
        <f t="shared" ca="1" si="3"/>
        <v>#NAME?</v>
      </c>
      <c r="I39" s="79" t="e">
        <f t="shared" ca="1" si="4"/>
        <v>#NAME?</v>
      </c>
      <c r="J39" s="115" t="e">
        <f t="shared" ca="1" si="5"/>
        <v>#NAME?</v>
      </c>
      <c r="K39" s="78" t="e">
        <f t="shared" ca="1" si="6"/>
        <v>#NAME?</v>
      </c>
      <c r="L39" s="78" t="e">
        <f t="shared" ca="1" si="7"/>
        <v>#NAME?</v>
      </c>
      <c r="M39" s="78" t="e">
        <f t="shared" ca="1" si="8"/>
        <v>#NAME?</v>
      </c>
      <c r="N39" s="78" t="e">
        <f t="shared" ca="1" si="9"/>
        <v>#NAME?</v>
      </c>
      <c r="AI39" s="69">
        <v>12</v>
      </c>
      <c r="AJ39" s="1">
        <v>968041</v>
      </c>
      <c r="AK39" s="70">
        <f t="shared" si="10"/>
        <v>4.028754980419218E-4</v>
      </c>
      <c r="AL39" s="72">
        <f t="shared" si="11"/>
        <v>390</v>
      </c>
    </row>
    <row r="40" spans="1:38" x14ac:dyDescent="0.25">
      <c r="A40" s="79"/>
      <c r="B40" s="108" t="e">
        <f t="shared" ca="1" si="12"/>
        <v>#NAME?</v>
      </c>
      <c r="C40" s="109" t="e">
        <f t="shared" ca="1" si="13"/>
        <v>#NAME?</v>
      </c>
      <c r="D40" s="110" t="e">
        <f t="shared" ca="1" si="0"/>
        <v>#NAME?</v>
      </c>
      <c r="E40" s="111" t="e">
        <f t="shared" ca="1" si="1"/>
        <v>#NAME?</v>
      </c>
      <c r="F40" s="110" t="e">
        <f t="shared" ca="1" si="2"/>
        <v>#NAME?</v>
      </c>
      <c r="G40" s="112" t="e">
        <f t="shared" ca="1" si="14"/>
        <v>#NAME?</v>
      </c>
      <c r="H40" s="113" t="e">
        <f t="shared" ca="1" si="3"/>
        <v>#NAME?</v>
      </c>
      <c r="I40" s="79" t="e">
        <f t="shared" ca="1" si="4"/>
        <v>#NAME?</v>
      </c>
      <c r="J40" s="115" t="e">
        <f t="shared" ca="1" si="5"/>
        <v>#NAME?</v>
      </c>
      <c r="K40" s="78" t="e">
        <f t="shared" ca="1" si="6"/>
        <v>#NAME?</v>
      </c>
      <c r="L40" s="78" t="e">
        <f t="shared" ca="1" si="7"/>
        <v>#NAME?</v>
      </c>
      <c r="M40" s="78" t="e">
        <f t="shared" ca="1" si="8"/>
        <v>#NAME?</v>
      </c>
      <c r="N40" s="78" t="e">
        <f t="shared" ca="1" si="9"/>
        <v>#NAME?</v>
      </c>
      <c r="AI40" s="69">
        <v>13</v>
      </c>
      <c r="AJ40" s="1">
        <v>967651</v>
      </c>
      <c r="AK40" s="70">
        <f t="shared" si="10"/>
        <v>4.4437508977926958E-4</v>
      </c>
      <c r="AL40" s="72">
        <f t="shared" si="11"/>
        <v>430</v>
      </c>
    </row>
    <row r="41" spans="1:38" x14ac:dyDescent="0.25">
      <c r="A41" s="79"/>
      <c r="B41" s="108" t="e">
        <f t="shared" ca="1" si="12"/>
        <v>#NAME?</v>
      </c>
      <c r="C41" s="109" t="e">
        <f t="shared" ca="1" si="13"/>
        <v>#NAME?</v>
      </c>
      <c r="D41" s="110" t="e">
        <f t="shared" ca="1" si="0"/>
        <v>#NAME?</v>
      </c>
      <c r="E41" s="111" t="e">
        <f t="shared" ca="1" si="1"/>
        <v>#NAME?</v>
      </c>
      <c r="F41" s="110" t="e">
        <f t="shared" ca="1" si="2"/>
        <v>#NAME?</v>
      </c>
      <c r="G41" s="112" t="e">
        <f t="shared" ca="1" si="14"/>
        <v>#NAME?</v>
      </c>
      <c r="H41" s="113" t="e">
        <f t="shared" ca="1" si="3"/>
        <v>#NAME?</v>
      </c>
      <c r="I41" s="79" t="e">
        <f t="shared" ca="1" si="4"/>
        <v>#NAME?</v>
      </c>
      <c r="J41" s="115" t="e">
        <f t="shared" ca="1" si="5"/>
        <v>#NAME?</v>
      </c>
      <c r="K41" s="78" t="e">
        <f t="shared" ca="1" si="6"/>
        <v>#NAME?</v>
      </c>
      <c r="L41" s="78" t="e">
        <f t="shared" ca="1" si="7"/>
        <v>#NAME?</v>
      </c>
      <c r="M41" s="78" t="e">
        <f t="shared" ca="1" si="8"/>
        <v>#NAME?</v>
      </c>
      <c r="N41" s="78" t="e">
        <f t="shared" ca="1" si="9"/>
        <v>#NAME?</v>
      </c>
      <c r="AI41" s="69">
        <v>14</v>
      </c>
      <c r="AJ41" s="1">
        <v>967221</v>
      </c>
      <c r="AK41" s="70">
        <f t="shared" si="10"/>
        <v>5.2728383688939754E-4</v>
      </c>
      <c r="AL41" s="72">
        <f t="shared" si="11"/>
        <v>510</v>
      </c>
    </row>
    <row r="42" spans="1:38" x14ac:dyDescent="0.25">
      <c r="A42" s="79"/>
      <c r="B42" s="108" t="e">
        <f t="shared" ca="1" si="12"/>
        <v>#NAME?</v>
      </c>
      <c r="C42" s="109" t="e">
        <f t="shared" ca="1" si="13"/>
        <v>#NAME?</v>
      </c>
      <c r="D42" s="110" t="e">
        <f t="shared" ca="1" si="0"/>
        <v>#NAME?</v>
      </c>
      <c r="E42" s="111" t="e">
        <f t="shared" ca="1" si="1"/>
        <v>#NAME?</v>
      </c>
      <c r="F42" s="110" t="e">
        <f t="shared" ca="1" si="2"/>
        <v>#NAME?</v>
      </c>
      <c r="G42" s="112" t="e">
        <f t="shared" ca="1" si="14"/>
        <v>#NAME?</v>
      </c>
      <c r="H42" s="113" t="e">
        <f t="shared" ca="1" si="3"/>
        <v>#NAME?</v>
      </c>
      <c r="I42" s="79" t="e">
        <f t="shared" ca="1" si="4"/>
        <v>#NAME?</v>
      </c>
      <c r="J42" s="115" t="e">
        <f t="shared" ca="1" si="5"/>
        <v>#NAME?</v>
      </c>
      <c r="K42" s="78" t="e">
        <f t="shared" ca="1" si="6"/>
        <v>#NAME?</v>
      </c>
      <c r="L42" s="78" t="e">
        <f t="shared" ca="1" si="7"/>
        <v>#NAME?</v>
      </c>
      <c r="M42" s="78" t="e">
        <f t="shared" ca="1" si="8"/>
        <v>#NAME?</v>
      </c>
      <c r="N42" s="78" t="e">
        <f t="shared" ca="1" si="9"/>
        <v>#NAME?</v>
      </c>
      <c r="AI42" s="69">
        <v>15</v>
      </c>
      <c r="AJ42" s="1">
        <v>966711</v>
      </c>
      <c r="AK42" s="70">
        <f t="shared" si="10"/>
        <v>6.7134852091266164E-4</v>
      </c>
      <c r="AL42" s="72">
        <f t="shared" si="11"/>
        <v>649</v>
      </c>
    </row>
    <row r="43" spans="1:38" x14ac:dyDescent="0.25">
      <c r="A43" s="79"/>
      <c r="B43" s="108" t="e">
        <f t="shared" ca="1" si="12"/>
        <v>#NAME?</v>
      </c>
      <c r="C43" s="109" t="e">
        <f t="shared" ca="1" si="13"/>
        <v>#NAME?</v>
      </c>
      <c r="D43" s="110" t="e">
        <f t="shared" ca="1" si="0"/>
        <v>#NAME?</v>
      </c>
      <c r="E43" s="111" t="e">
        <f t="shared" ca="1" si="1"/>
        <v>#NAME?</v>
      </c>
      <c r="F43" s="110" t="e">
        <f t="shared" ca="1" si="2"/>
        <v>#NAME?</v>
      </c>
      <c r="G43" s="112" t="e">
        <f t="shared" ca="1" si="14"/>
        <v>#NAME?</v>
      </c>
      <c r="H43" s="113" t="e">
        <f t="shared" ca="1" si="3"/>
        <v>#NAME?</v>
      </c>
      <c r="I43" s="79" t="e">
        <f t="shared" ca="1" si="4"/>
        <v>#NAME?</v>
      </c>
      <c r="J43" s="115" t="e">
        <f t="shared" ca="1" si="5"/>
        <v>#NAME?</v>
      </c>
      <c r="K43" s="78" t="e">
        <f t="shared" ca="1" si="6"/>
        <v>#NAME?</v>
      </c>
      <c r="L43" s="78" t="e">
        <f t="shared" ca="1" si="7"/>
        <v>#NAME?</v>
      </c>
      <c r="M43" s="78" t="e">
        <f t="shared" ca="1" si="8"/>
        <v>#NAME?</v>
      </c>
      <c r="N43" s="78" t="e">
        <f t="shared" ca="1" si="9"/>
        <v>#NAME?</v>
      </c>
      <c r="AI43" s="69">
        <v>16</v>
      </c>
      <c r="AJ43" s="1">
        <v>966062</v>
      </c>
      <c r="AK43" s="70">
        <f t="shared" si="10"/>
        <v>8.2810420035153026E-4</v>
      </c>
      <c r="AL43" s="72">
        <f t="shared" si="11"/>
        <v>800</v>
      </c>
    </row>
    <row r="44" spans="1:38" x14ac:dyDescent="0.25">
      <c r="A44" s="79"/>
      <c r="B44" s="108" t="e">
        <f t="shared" ca="1" si="12"/>
        <v>#NAME?</v>
      </c>
      <c r="C44" s="109" t="e">
        <f t="shared" ca="1" si="13"/>
        <v>#NAME?</v>
      </c>
      <c r="D44" s="110" t="e">
        <f t="shared" ca="1" si="0"/>
        <v>#NAME?</v>
      </c>
      <c r="E44" s="111" t="e">
        <f t="shared" ca="1" si="1"/>
        <v>#NAME?</v>
      </c>
      <c r="F44" s="110" t="e">
        <f t="shared" ca="1" si="2"/>
        <v>#NAME?</v>
      </c>
      <c r="G44" s="112" t="e">
        <f t="shared" ca="1" si="14"/>
        <v>#NAME?</v>
      </c>
      <c r="H44" s="113" t="e">
        <f t="shared" ca="1" si="3"/>
        <v>#NAME?</v>
      </c>
      <c r="I44" s="79" t="e">
        <f t="shared" ca="1" si="4"/>
        <v>#NAME?</v>
      </c>
      <c r="J44" s="115" t="e">
        <f t="shared" ca="1" si="5"/>
        <v>#NAME?</v>
      </c>
      <c r="K44" s="78" t="e">
        <f t="shared" ca="1" si="6"/>
        <v>#NAME?</v>
      </c>
      <c r="L44" s="78" t="e">
        <f t="shared" ca="1" si="7"/>
        <v>#NAME?</v>
      </c>
      <c r="M44" s="78" t="e">
        <f t="shared" ca="1" si="8"/>
        <v>#NAME?</v>
      </c>
      <c r="N44" s="78" t="e">
        <f t="shared" ca="1" si="9"/>
        <v>#NAME?</v>
      </c>
      <c r="AI44" s="69">
        <v>17</v>
      </c>
      <c r="AJ44" s="1">
        <v>965262</v>
      </c>
      <c r="AK44" s="70">
        <f t="shared" si="10"/>
        <v>1.0049085118858921E-3</v>
      </c>
      <c r="AL44" s="72">
        <f t="shared" si="11"/>
        <v>970</v>
      </c>
    </row>
    <row r="45" spans="1:38" x14ac:dyDescent="0.25">
      <c r="A45" s="79"/>
      <c r="B45" s="108" t="e">
        <f t="shared" ca="1" si="12"/>
        <v>#NAME?</v>
      </c>
      <c r="C45" s="109" t="e">
        <f t="shared" ca="1" si="13"/>
        <v>#NAME?</v>
      </c>
      <c r="D45" s="110" t="e">
        <f t="shared" ca="1" si="0"/>
        <v>#NAME?</v>
      </c>
      <c r="E45" s="111" t="e">
        <f t="shared" ca="1" si="1"/>
        <v>#NAME?</v>
      </c>
      <c r="F45" s="110" t="e">
        <f t="shared" ca="1" si="2"/>
        <v>#NAME?</v>
      </c>
      <c r="G45" s="112" t="e">
        <f t="shared" ca="1" si="14"/>
        <v>#NAME?</v>
      </c>
      <c r="H45" s="113" t="e">
        <f t="shared" ca="1" si="3"/>
        <v>#NAME?</v>
      </c>
      <c r="I45" s="79" t="e">
        <f t="shared" ca="1" si="4"/>
        <v>#NAME?</v>
      </c>
      <c r="J45" s="115" t="e">
        <f t="shared" ca="1" si="5"/>
        <v>#NAME?</v>
      </c>
      <c r="K45" s="78" t="e">
        <f t="shared" ca="1" si="6"/>
        <v>#NAME?</v>
      </c>
      <c r="L45" s="78" t="e">
        <f t="shared" ca="1" si="7"/>
        <v>#NAME?</v>
      </c>
      <c r="M45" s="78" t="e">
        <f t="shared" ca="1" si="8"/>
        <v>#NAME?</v>
      </c>
      <c r="N45" s="78" t="e">
        <f t="shared" ca="1" si="9"/>
        <v>#NAME?</v>
      </c>
      <c r="AI45" s="69">
        <v>18</v>
      </c>
      <c r="AJ45" s="1">
        <v>964292</v>
      </c>
      <c r="AK45" s="70">
        <f t="shared" si="10"/>
        <v>1.1511036076209281E-3</v>
      </c>
      <c r="AL45" s="72">
        <f t="shared" si="11"/>
        <v>1110</v>
      </c>
    </row>
    <row r="46" spans="1:38" x14ac:dyDescent="0.25">
      <c r="A46" s="79"/>
      <c r="B46" s="108" t="e">
        <f t="shared" ca="1" si="12"/>
        <v>#NAME?</v>
      </c>
      <c r="C46" s="109" t="e">
        <f t="shared" ca="1" si="13"/>
        <v>#NAME?</v>
      </c>
      <c r="D46" s="110" t="e">
        <f t="shared" ca="1" si="0"/>
        <v>#NAME?</v>
      </c>
      <c r="E46" s="111" t="e">
        <f t="shared" ca="1" si="1"/>
        <v>#NAME?</v>
      </c>
      <c r="F46" s="110" t="e">
        <f t="shared" ca="1" si="2"/>
        <v>#NAME?</v>
      </c>
      <c r="G46" s="112" t="e">
        <f t="shared" ca="1" si="14"/>
        <v>#NAME?</v>
      </c>
      <c r="H46" s="113" t="e">
        <f t="shared" ca="1" si="3"/>
        <v>#NAME?</v>
      </c>
      <c r="I46" s="79" t="e">
        <f t="shared" ca="1" si="4"/>
        <v>#NAME?</v>
      </c>
      <c r="J46" s="115" t="e">
        <f t="shared" ca="1" si="5"/>
        <v>#NAME?</v>
      </c>
      <c r="K46" s="78" t="e">
        <f t="shared" ca="1" si="6"/>
        <v>#NAME?</v>
      </c>
      <c r="L46" s="78" t="e">
        <f t="shared" ca="1" si="7"/>
        <v>#NAME?</v>
      </c>
      <c r="M46" s="78" t="e">
        <f t="shared" ca="1" si="8"/>
        <v>#NAME?</v>
      </c>
      <c r="N46" s="78" t="e">
        <f t="shared" ca="1" si="9"/>
        <v>#NAME?</v>
      </c>
      <c r="AI46" s="69">
        <v>19</v>
      </c>
      <c r="AJ46" s="1">
        <v>963182</v>
      </c>
      <c r="AK46" s="70">
        <f t="shared" si="10"/>
        <v>1.267673191567118E-3</v>
      </c>
      <c r="AL46" s="72">
        <f t="shared" si="11"/>
        <v>1221</v>
      </c>
    </row>
    <row r="47" spans="1:38" x14ac:dyDescent="0.25">
      <c r="A47" s="79"/>
      <c r="B47" s="108" t="e">
        <f t="shared" ca="1" si="12"/>
        <v>#NAME?</v>
      </c>
      <c r="C47" s="109" t="e">
        <f t="shared" ca="1" si="13"/>
        <v>#NAME?</v>
      </c>
      <c r="D47" s="110" t="e">
        <f t="shared" ca="1" si="0"/>
        <v>#NAME?</v>
      </c>
      <c r="E47" s="111" t="e">
        <f t="shared" ca="1" si="1"/>
        <v>#NAME?</v>
      </c>
      <c r="F47" s="110" t="e">
        <f t="shared" ca="1" si="2"/>
        <v>#NAME?</v>
      </c>
      <c r="G47" s="112" t="e">
        <f t="shared" ca="1" si="14"/>
        <v>#NAME?</v>
      </c>
      <c r="H47" s="113" t="e">
        <f t="shared" ca="1" si="3"/>
        <v>#NAME?</v>
      </c>
      <c r="I47" s="79" t="e">
        <f t="shared" ca="1" si="4"/>
        <v>#NAME?</v>
      </c>
      <c r="J47" s="115" t="e">
        <f t="shared" ca="1" si="5"/>
        <v>#NAME?</v>
      </c>
      <c r="K47" s="78" t="e">
        <f t="shared" ca="1" si="6"/>
        <v>#NAME?</v>
      </c>
      <c r="L47" s="78" t="e">
        <f t="shared" ca="1" si="7"/>
        <v>#NAME?</v>
      </c>
      <c r="M47" s="78" t="e">
        <f t="shared" ca="1" si="8"/>
        <v>#NAME?</v>
      </c>
      <c r="N47" s="78" t="e">
        <f t="shared" ca="1" si="9"/>
        <v>#NAME?</v>
      </c>
      <c r="AI47" s="69">
        <v>20</v>
      </c>
      <c r="AJ47" s="1">
        <v>961961</v>
      </c>
      <c r="AK47" s="70">
        <f t="shared" si="10"/>
        <v>1.3503665949035355E-3</v>
      </c>
      <c r="AL47" s="72">
        <f t="shared" si="11"/>
        <v>1299</v>
      </c>
    </row>
    <row r="48" spans="1:38" x14ac:dyDescent="0.25">
      <c r="A48" s="79"/>
      <c r="B48" s="108" t="e">
        <f t="shared" ca="1" si="12"/>
        <v>#NAME?</v>
      </c>
      <c r="C48" s="109" t="e">
        <f t="shared" ca="1" si="13"/>
        <v>#NAME?</v>
      </c>
      <c r="D48" s="110" t="e">
        <f t="shared" ca="1" si="0"/>
        <v>#NAME?</v>
      </c>
      <c r="E48" s="111" t="e">
        <f t="shared" ca="1" si="1"/>
        <v>#NAME?</v>
      </c>
      <c r="F48" s="110" t="e">
        <f t="shared" ca="1" si="2"/>
        <v>#NAME?</v>
      </c>
      <c r="G48" s="112" t="e">
        <f t="shared" ca="1" si="14"/>
        <v>#NAME?</v>
      </c>
      <c r="H48" s="113" t="e">
        <f t="shared" ca="1" si="3"/>
        <v>#NAME?</v>
      </c>
      <c r="I48" s="79" t="e">
        <f t="shared" ca="1" si="4"/>
        <v>#NAME?</v>
      </c>
      <c r="J48" s="115" t="e">
        <f t="shared" ca="1" si="5"/>
        <v>#NAME?</v>
      </c>
      <c r="K48" s="78" t="e">
        <f t="shared" ca="1" si="6"/>
        <v>#NAME?</v>
      </c>
      <c r="L48" s="78" t="e">
        <f t="shared" ca="1" si="7"/>
        <v>#NAME?</v>
      </c>
      <c r="M48" s="78" t="e">
        <f t="shared" ca="1" si="8"/>
        <v>#NAME?</v>
      </c>
      <c r="N48" s="78" t="e">
        <f t="shared" ca="1" si="9"/>
        <v>#NAME?</v>
      </c>
      <c r="AI48" s="69">
        <v>21</v>
      </c>
      <c r="AJ48" s="1">
        <v>960662</v>
      </c>
      <c r="AK48" s="70">
        <f t="shared" si="10"/>
        <v>1.4260999185978004E-3</v>
      </c>
      <c r="AL48" s="72">
        <f t="shared" si="11"/>
        <v>1370</v>
      </c>
    </row>
    <row r="49" spans="1:38" x14ac:dyDescent="0.25">
      <c r="A49" s="79"/>
      <c r="B49" s="108" t="e">
        <f t="shared" ca="1" si="12"/>
        <v>#NAME?</v>
      </c>
      <c r="C49" s="109" t="e">
        <f t="shared" ca="1" si="13"/>
        <v>#NAME?</v>
      </c>
      <c r="D49" s="110" t="e">
        <f t="shared" ca="1" si="0"/>
        <v>#NAME?</v>
      </c>
      <c r="E49" s="111" t="e">
        <f t="shared" ca="1" si="1"/>
        <v>#NAME?</v>
      </c>
      <c r="F49" s="110" t="e">
        <f t="shared" ca="1" si="2"/>
        <v>#NAME?</v>
      </c>
      <c r="G49" s="112" t="e">
        <f t="shared" ca="1" si="14"/>
        <v>#NAME?</v>
      </c>
      <c r="H49" s="113" t="e">
        <f t="shared" ca="1" si="3"/>
        <v>#NAME?</v>
      </c>
      <c r="I49" s="79" t="e">
        <f t="shared" ca="1" si="4"/>
        <v>#NAME?</v>
      </c>
      <c r="J49" s="115" t="e">
        <f t="shared" ca="1" si="5"/>
        <v>#NAME?</v>
      </c>
      <c r="K49" s="78" t="e">
        <f t="shared" ca="1" si="6"/>
        <v>#NAME?</v>
      </c>
      <c r="L49" s="78" t="e">
        <f t="shared" ca="1" si="7"/>
        <v>#NAME?</v>
      </c>
      <c r="M49" s="78" t="e">
        <f t="shared" ca="1" si="8"/>
        <v>#NAME?</v>
      </c>
      <c r="N49" s="78" t="e">
        <f t="shared" ca="1" si="9"/>
        <v>#NAME?</v>
      </c>
      <c r="AI49" s="69">
        <v>22</v>
      </c>
      <c r="AJ49" s="1">
        <v>959292</v>
      </c>
      <c r="AK49" s="70">
        <f t="shared" si="10"/>
        <v>1.4802583572051055E-3</v>
      </c>
      <c r="AL49" s="72">
        <f t="shared" si="11"/>
        <v>1420</v>
      </c>
    </row>
    <row r="50" spans="1:38" x14ac:dyDescent="0.25">
      <c r="A50" s="79"/>
      <c r="B50" s="108" t="e">
        <f t="shared" ca="1" si="12"/>
        <v>#NAME?</v>
      </c>
      <c r="C50" s="109" t="e">
        <f t="shared" ca="1" si="13"/>
        <v>#NAME?</v>
      </c>
      <c r="D50" s="110" t="e">
        <f t="shared" ca="1" si="0"/>
        <v>#NAME?</v>
      </c>
      <c r="E50" s="111" t="e">
        <f t="shared" ca="1" si="1"/>
        <v>#NAME?</v>
      </c>
      <c r="F50" s="110" t="e">
        <f t="shared" ca="1" si="2"/>
        <v>#NAME?</v>
      </c>
      <c r="G50" s="112" t="e">
        <f t="shared" ca="1" si="14"/>
        <v>#NAME?</v>
      </c>
      <c r="H50" s="113" t="e">
        <f t="shared" ca="1" si="3"/>
        <v>#NAME?</v>
      </c>
      <c r="I50" s="79" t="e">
        <f t="shared" ca="1" si="4"/>
        <v>#NAME?</v>
      </c>
      <c r="J50" s="115" t="e">
        <f t="shared" ca="1" si="5"/>
        <v>#NAME?</v>
      </c>
      <c r="K50" s="78" t="e">
        <f t="shared" ca="1" si="6"/>
        <v>#NAME?</v>
      </c>
      <c r="L50" s="78" t="e">
        <f t="shared" ca="1" si="7"/>
        <v>#NAME?</v>
      </c>
      <c r="M50" s="78" t="e">
        <f t="shared" ca="1" si="8"/>
        <v>#NAME?</v>
      </c>
      <c r="N50" s="78" t="e">
        <f t="shared" ca="1" si="9"/>
        <v>#NAME?</v>
      </c>
      <c r="AI50" s="69">
        <v>23</v>
      </c>
      <c r="AJ50" s="1">
        <v>957872</v>
      </c>
      <c r="AK50" s="70">
        <f t="shared" si="10"/>
        <v>1.5346518115155262E-3</v>
      </c>
      <c r="AL50" s="72">
        <f t="shared" si="11"/>
        <v>1470</v>
      </c>
    </row>
    <row r="51" spans="1:38" x14ac:dyDescent="0.25">
      <c r="A51" s="79"/>
      <c r="B51" s="108" t="e">
        <f t="shared" ca="1" si="12"/>
        <v>#NAME?</v>
      </c>
      <c r="C51" s="109" t="e">
        <f t="shared" ca="1" si="13"/>
        <v>#NAME?</v>
      </c>
      <c r="D51" s="110" t="e">
        <f t="shared" ca="1" si="0"/>
        <v>#NAME?</v>
      </c>
      <c r="E51" s="111" t="e">
        <f t="shared" ca="1" si="1"/>
        <v>#NAME?</v>
      </c>
      <c r="F51" s="110" t="e">
        <f t="shared" ca="1" si="2"/>
        <v>#NAME?</v>
      </c>
      <c r="G51" s="112" t="e">
        <f t="shared" ca="1" si="14"/>
        <v>#NAME?</v>
      </c>
      <c r="H51" s="113" t="e">
        <f t="shared" ca="1" si="3"/>
        <v>#NAME?</v>
      </c>
      <c r="I51" s="79" t="e">
        <f t="shared" ca="1" si="4"/>
        <v>#NAME?</v>
      </c>
      <c r="J51" s="115" t="e">
        <f t="shared" ca="1" si="5"/>
        <v>#NAME?</v>
      </c>
      <c r="K51" s="78" t="e">
        <f t="shared" ca="1" si="6"/>
        <v>#NAME?</v>
      </c>
      <c r="L51" s="78" t="e">
        <f t="shared" ca="1" si="7"/>
        <v>#NAME?</v>
      </c>
      <c r="M51" s="78" t="e">
        <f t="shared" ca="1" si="8"/>
        <v>#NAME?</v>
      </c>
      <c r="N51" s="78" t="e">
        <f t="shared" ca="1" si="9"/>
        <v>#NAME?</v>
      </c>
      <c r="AI51" s="69">
        <v>24</v>
      </c>
      <c r="AJ51" s="1">
        <v>956402</v>
      </c>
      <c r="AK51" s="70">
        <f t="shared" si="10"/>
        <v>1.5579222962729062E-3</v>
      </c>
      <c r="AL51" s="72">
        <f t="shared" si="11"/>
        <v>1490</v>
      </c>
    </row>
    <row r="52" spans="1:38" x14ac:dyDescent="0.25">
      <c r="A52" s="79"/>
      <c r="B52" s="108" t="e">
        <f t="shared" ca="1" si="12"/>
        <v>#NAME?</v>
      </c>
      <c r="C52" s="109" t="e">
        <f t="shared" ca="1" si="13"/>
        <v>#NAME?</v>
      </c>
      <c r="D52" s="110" t="e">
        <f t="shared" ca="1" si="0"/>
        <v>#NAME?</v>
      </c>
      <c r="E52" s="111" t="e">
        <f t="shared" ca="1" si="1"/>
        <v>#NAME?</v>
      </c>
      <c r="F52" s="110" t="e">
        <f t="shared" ca="1" si="2"/>
        <v>#NAME?</v>
      </c>
      <c r="G52" s="112" t="e">
        <f t="shared" ca="1" si="14"/>
        <v>#NAME?</v>
      </c>
      <c r="H52" s="113" t="e">
        <f t="shared" ca="1" si="3"/>
        <v>#NAME?</v>
      </c>
      <c r="I52" s="79" t="e">
        <f t="shared" ca="1" si="4"/>
        <v>#NAME?</v>
      </c>
      <c r="J52" s="115" t="e">
        <f t="shared" ca="1" si="5"/>
        <v>#NAME?</v>
      </c>
      <c r="K52" s="78" t="e">
        <f t="shared" ca="1" si="6"/>
        <v>#NAME?</v>
      </c>
      <c r="L52" s="78" t="e">
        <f t="shared" ca="1" si="7"/>
        <v>#NAME?</v>
      </c>
      <c r="M52" s="78" t="e">
        <f t="shared" ca="1" si="8"/>
        <v>#NAME?</v>
      </c>
      <c r="N52" s="78" t="e">
        <f t="shared" ca="1" si="9"/>
        <v>#NAME?</v>
      </c>
      <c r="AI52" s="69">
        <v>25</v>
      </c>
      <c r="AJ52" s="1">
        <v>954912</v>
      </c>
      <c r="AK52" s="70">
        <f t="shared" si="10"/>
        <v>1.6022418819744647E-3</v>
      </c>
      <c r="AL52" s="72">
        <f t="shared" si="11"/>
        <v>1530</v>
      </c>
    </row>
    <row r="53" spans="1:38" x14ac:dyDescent="0.25">
      <c r="A53" s="79"/>
      <c r="B53" s="108" t="e">
        <f t="shared" ca="1" si="12"/>
        <v>#NAME?</v>
      </c>
      <c r="C53" s="109" t="e">
        <f t="shared" ca="1" si="13"/>
        <v>#NAME?</v>
      </c>
      <c r="D53" s="110" t="e">
        <f t="shared" ca="1" si="0"/>
        <v>#NAME?</v>
      </c>
      <c r="E53" s="111" t="e">
        <f t="shared" ca="1" si="1"/>
        <v>#NAME?</v>
      </c>
      <c r="F53" s="110" t="e">
        <f t="shared" ca="1" si="2"/>
        <v>#NAME?</v>
      </c>
      <c r="G53" s="112" t="e">
        <f t="shared" ca="1" si="14"/>
        <v>#NAME?</v>
      </c>
      <c r="H53" s="113" t="e">
        <f t="shared" ca="1" si="3"/>
        <v>#NAME?</v>
      </c>
      <c r="I53" s="79" t="e">
        <f t="shared" ca="1" si="4"/>
        <v>#NAME?</v>
      </c>
      <c r="J53" s="115" t="e">
        <f t="shared" ca="1" si="5"/>
        <v>#NAME?</v>
      </c>
      <c r="K53" s="78" t="e">
        <f t="shared" ca="1" si="6"/>
        <v>#NAME?</v>
      </c>
      <c r="L53" s="78" t="e">
        <f t="shared" ca="1" si="7"/>
        <v>#NAME?</v>
      </c>
      <c r="M53" s="78" t="e">
        <f t="shared" ca="1" si="8"/>
        <v>#NAME?</v>
      </c>
      <c r="N53" s="78" t="e">
        <f t="shared" ca="1" si="9"/>
        <v>#NAME?</v>
      </c>
      <c r="AI53" s="69">
        <v>26</v>
      </c>
      <c r="AJ53" s="1">
        <v>953382</v>
      </c>
      <c r="AK53" s="70">
        <f t="shared" si="10"/>
        <v>1.6362801059806038E-3</v>
      </c>
      <c r="AL53" s="72">
        <f t="shared" si="11"/>
        <v>1560</v>
      </c>
    </row>
    <row r="54" spans="1:38" x14ac:dyDescent="0.25">
      <c r="A54" s="79"/>
      <c r="B54" s="108" t="e">
        <f t="shared" ca="1" si="12"/>
        <v>#NAME?</v>
      </c>
      <c r="C54" s="109" t="e">
        <f t="shared" ca="1" si="13"/>
        <v>#NAME?</v>
      </c>
      <c r="D54" s="110" t="e">
        <f t="shared" ca="1" si="0"/>
        <v>#NAME?</v>
      </c>
      <c r="E54" s="111" t="e">
        <f t="shared" ca="1" si="1"/>
        <v>#NAME?</v>
      </c>
      <c r="F54" s="110" t="e">
        <f t="shared" ca="1" si="2"/>
        <v>#NAME?</v>
      </c>
      <c r="G54" s="112" t="e">
        <f t="shared" ca="1" si="14"/>
        <v>#NAME?</v>
      </c>
      <c r="H54" s="113" t="e">
        <f t="shared" ca="1" si="3"/>
        <v>#NAME?</v>
      </c>
      <c r="I54" s="79" t="e">
        <f t="shared" ca="1" si="4"/>
        <v>#NAME?</v>
      </c>
      <c r="J54" s="115" t="e">
        <f t="shared" ca="1" si="5"/>
        <v>#NAME?</v>
      </c>
      <c r="K54" s="78" t="e">
        <f t="shared" ca="1" si="6"/>
        <v>#NAME?</v>
      </c>
      <c r="L54" s="78" t="e">
        <f t="shared" ca="1" si="7"/>
        <v>#NAME?</v>
      </c>
      <c r="M54" s="78" t="e">
        <f t="shared" ca="1" si="8"/>
        <v>#NAME?</v>
      </c>
      <c r="N54" s="78" t="e">
        <f t="shared" ca="1" si="9"/>
        <v>#NAME?</v>
      </c>
      <c r="AI54" s="69">
        <v>27</v>
      </c>
      <c r="AJ54" s="1">
        <v>951822</v>
      </c>
      <c r="AK54" s="70">
        <f t="shared" si="10"/>
        <v>1.6599742388807991E-3</v>
      </c>
      <c r="AL54" s="72">
        <f t="shared" si="11"/>
        <v>1580</v>
      </c>
    </row>
    <row r="55" spans="1:38" x14ac:dyDescent="0.25">
      <c r="A55" s="79"/>
      <c r="B55" s="108" t="e">
        <f t="shared" ca="1" si="12"/>
        <v>#NAME?</v>
      </c>
      <c r="C55" s="109" t="e">
        <f t="shared" ca="1" si="13"/>
        <v>#NAME?</v>
      </c>
      <c r="D55" s="110" t="e">
        <f t="shared" ca="1" si="0"/>
        <v>#NAME?</v>
      </c>
      <c r="E55" s="111" t="e">
        <f t="shared" ca="1" si="1"/>
        <v>#NAME?</v>
      </c>
      <c r="F55" s="110" t="e">
        <f t="shared" ca="1" si="2"/>
        <v>#NAME?</v>
      </c>
      <c r="G55" s="112" t="e">
        <f t="shared" ca="1" si="14"/>
        <v>#NAME?</v>
      </c>
      <c r="H55" s="113" t="e">
        <f t="shared" ca="1" si="3"/>
        <v>#NAME?</v>
      </c>
      <c r="I55" s="79" t="e">
        <f t="shared" ca="1" si="4"/>
        <v>#NAME?</v>
      </c>
      <c r="J55" s="115" t="e">
        <f t="shared" ca="1" si="5"/>
        <v>#NAME?</v>
      </c>
      <c r="K55" s="78" t="e">
        <f t="shared" ca="1" si="6"/>
        <v>#NAME?</v>
      </c>
      <c r="L55" s="78" t="e">
        <f t="shared" ca="1" si="7"/>
        <v>#NAME?</v>
      </c>
      <c r="M55" s="78" t="e">
        <f t="shared" ca="1" si="8"/>
        <v>#NAME?</v>
      </c>
      <c r="N55" s="78" t="e">
        <f t="shared" ca="1" si="9"/>
        <v>#NAME?</v>
      </c>
      <c r="AI55" s="69">
        <v>28</v>
      </c>
      <c r="AJ55" s="1">
        <v>950242</v>
      </c>
      <c r="AK55" s="70">
        <f t="shared" si="10"/>
        <v>1.6900957861260605E-3</v>
      </c>
      <c r="AL55" s="72">
        <f t="shared" si="11"/>
        <v>1606</v>
      </c>
    </row>
    <row r="56" spans="1:38" x14ac:dyDescent="0.25">
      <c r="A56" s="79"/>
      <c r="B56" s="108" t="e">
        <f t="shared" ca="1" si="12"/>
        <v>#NAME?</v>
      </c>
      <c r="C56" s="109" t="e">
        <f t="shared" ca="1" si="13"/>
        <v>#NAME?</v>
      </c>
      <c r="D56" s="110" t="e">
        <f t="shared" ca="1" si="0"/>
        <v>#NAME?</v>
      </c>
      <c r="E56" s="111" t="e">
        <f t="shared" ca="1" si="1"/>
        <v>#NAME?</v>
      </c>
      <c r="F56" s="110" t="e">
        <f t="shared" ca="1" si="2"/>
        <v>#NAME?</v>
      </c>
      <c r="G56" s="112" t="e">
        <f t="shared" ca="1" si="14"/>
        <v>#NAME?</v>
      </c>
      <c r="H56" s="113" t="e">
        <f t="shared" ca="1" si="3"/>
        <v>#NAME?</v>
      </c>
      <c r="I56" s="79" t="e">
        <f t="shared" ca="1" si="4"/>
        <v>#NAME?</v>
      </c>
      <c r="J56" s="115" t="e">
        <f t="shared" ca="1" si="5"/>
        <v>#NAME?</v>
      </c>
      <c r="K56" s="78" t="e">
        <f t="shared" ca="1" si="6"/>
        <v>#NAME?</v>
      </c>
      <c r="L56" s="78" t="e">
        <f t="shared" ca="1" si="7"/>
        <v>#NAME?</v>
      </c>
      <c r="M56" s="78" t="e">
        <f t="shared" ca="1" si="8"/>
        <v>#NAME?</v>
      </c>
      <c r="N56" s="78" t="e">
        <f t="shared" ca="1" si="9"/>
        <v>#NAME?</v>
      </c>
      <c r="AI56" s="69">
        <v>29</v>
      </c>
      <c r="AJ56" s="1">
        <v>948636</v>
      </c>
      <c r="AK56" s="70">
        <f t="shared" si="10"/>
        <v>1.7351228500710493E-3</v>
      </c>
      <c r="AL56" s="72">
        <f t="shared" si="11"/>
        <v>1646</v>
      </c>
    </row>
    <row r="57" spans="1:38" x14ac:dyDescent="0.25">
      <c r="A57" s="79"/>
      <c r="B57" s="108" t="e">
        <f t="shared" ca="1" si="12"/>
        <v>#NAME?</v>
      </c>
      <c r="C57" s="109" t="e">
        <f t="shared" ca="1" si="13"/>
        <v>#NAME?</v>
      </c>
      <c r="D57" s="110" t="e">
        <f t="shared" ca="1" si="0"/>
        <v>#NAME?</v>
      </c>
      <c r="E57" s="111" t="e">
        <f t="shared" ca="1" si="1"/>
        <v>#NAME?</v>
      </c>
      <c r="F57" s="110" t="e">
        <f t="shared" ca="1" si="2"/>
        <v>#NAME?</v>
      </c>
      <c r="G57" s="112" t="e">
        <f t="shared" ca="1" si="14"/>
        <v>#NAME?</v>
      </c>
      <c r="H57" s="113" t="e">
        <f t="shared" ca="1" si="3"/>
        <v>#NAME?</v>
      </c>
      <c r="I57" s="79" t="e">
        <f t="shared" ca="1" si="4"/>
        <v>#NAME?</v>
      </c>
      <c r="J57" s="115" t="e">
        <f t="shared" ca="1" si="5"/>
        <v>#NAME?</v>
      </c>
      <c r="K57" s="78" t="e">
        <f t="shared" ca="1" si="6"/>
        <v>#NAME?</v>
      </c>
      <c r="L57" s="78" t="e">
        <f t="shared" ca="1" si="7"/>
        <v>#NAME?</v>
      </c>
      <c r="M57" s="78" t="e">
        <f t="shared" ca="1" si="8"/>
        <v>#NAME?</v>
      </c>
      <c r="N57" s="78" t="e">
        <f t="shared" ca="1" si="9"/>
        <v>#NAME?</v>
      </c>
      <c r="AI57" s="69">
        <v>30</v>
      </c>
      <c r="AJ57" s="1">
        <v>946990</v>
      </c>
      <c r="AK57" s="70">
        <f t="shared" si="10"/>
        <v>1.825784855172705E-3</v>
      </c>
      <c r="AL57" s="72">
        <f t="shared" si="11"/>
        <v>1729</v>
      </c>
    </row>
    <row r="58" spans="1:38" x14ac:dyDescent="0.25">
      <c r="A58" s="79"/>
      <c r="B58" s="108" t="e">
        <f t="shared" ca="1" si="12"/>
        <v>#NAME?</v>
      </c>
      <c r="C58" s="109" t="e">
        <f t="shared" ca="1" si="13"/>
        <v>#NAME?</v>
      </c>
      <c r="D58" s="110" t="e">
        <f t="shared" ca="1" si="0"/>
        <v>#NAME?</v>
      </c>
      <c r="E58" s="111" t="e">
        <f t="shared" ca="1" si="1"/>
        <v>#NAME?</v>
      </c>
      <c r="F58" s="110" t="e">
        <f t="shared" ca="1" si="2"/>
        <v>#NAME?</v>
      </c>
      <c r="G58" s="112" t="e">
        <f t="shared" ca="1" si="14"/>
        <v>#NAME?</v>
      </c>
      <c r="H58" s="113" t="e">
        <f t="shared" ca="1" si="3"/>
        <v>#NAME?</v>
      </c>
      <c r="I58" s="79" t="e">
        <f t="shared" ca="1" si="4"/>
        <v>#NAME?</v>
      </c>
      <c r="J58" s="115" t="e">
        <f t="shared" ca="1" si="5"/>
        <v>#NAME?</v>
      </c>
      <c r="K58" s="78" t="e">
        <f t="shared" ca="1" si="6"/>
        <v>#NAME?</v>
      </c>
      <c r="L58" s="78" t="e">
        <f t="shared" ca="1" si="7"/>
        <v>#NAME?</v>
      </c>
      <c r="M58" s="78" t="e">
        <f t="shared" ca="1" si="8"/>
        <v>#NAME?</v>
      </c>
      <c r="N58" s="78" t="e">
        <f t="shared" ca="1" si="9"/>
        <v>#NAME?</v>
      </c>
      <c r="AI58" s="69">
        <v>31</v>
      </c>
      <c r="AJ58" s="1">
        <v>945261</v>
      </c>
      <c r="AK58" s="70">
        <f t="shared" si="10"/>
        <v>1.9603051432355721E-3</v>
      </c>
      <c r="AL58" s="72">
        <f t="shared" si="11"/>
        <v>1853</v>
      </c>
    </row>
    <row r="59" spans="1:38" x14ac:dyDescent="0.25">
      <c r="A59" s="79"/>
      <c r="B59" s="108" t="e">
        <f t="shared" ca="1" si="12"/>
        <v>#NAME?</v>
      </c>
      <c r="C59" s="109" t="e">
        <f t="shared" ca="1" si="13"/>
        <v>#NAME?</v>
      </c>
      <c r="D59" s="110" t="e">
        <f t="shared" ca="1" si="0"/>
        <v>#NAME?</v>
      </c>
      <c r="E59" s="111" t="e">
        <f t="shared" ca="1" si="1"/>
        <v>#NAME?</v>
      </c>
      <c r="F59" s="110" t="e">
        <f t="shared" ca="1" si="2"/>
        <v>#NAME?</v>
      </c>
      <c r="G59" s="112" t="e">
        <f t="shared" ca="1" si="14"/>
        <v>#NAME?</v>
      </c>
      <c r="H59" s="113" t="e">
        <f t="shared" ca="1" si="3"/>
        <v>#NAME?</v>
      </c>
      <c r="I59" s="79" t="e">
        <f t="shared" ca="1" si="4"/>
        <v>#NAME?</v>
      </c>
      <c r="J59" s="115" t="e">
        <f t="shared" ca="1" si="5"/>
        <v>#NAME?</v>
      </c>
      <c r="K59" s="78" t="e">
        <f t="shared" ca="1" si="6"/>
        <v>#NAME?</v>
      </c>
      <c r="L59" s="78" t="e">
        <f t="shared" ca="1" si="7"/>
        <v>#NAME?</v>
      </c>
      <c r="M59" s="78" t="e">
        <f t="shared" ca="1" si="8"/>
        <v>#NAME?</v>
      </c>
      <c r="N59" s="78" t="e">
        <f t="shared" ca="1" si="9"/>
        <v>#NAME?</v>
      </c>
      <c r="AI59" s="69">
        <v>32</v>
      </c>
      <c r="AJ59" s="1">
        <v>943408</v>
      </c>
      <c r="AK59" s="70">
        <f t="shared" ref="AK59:AK90" si="15">IF(AJ59=0,1,AL59/AJ59)</f>
        <v>2.1083136882451706E-3</v>
      </c>
      <c r="AL59" s="72">
        <f t="shared" ref="AL59:AL90" si="16">+AJ59-AJ60</f>
        <v>1989</v>
      </c>
    </row>
    <row r="60" spans="1:38" x14ac:dyDescent="0.25">
      <c r="A60" s="79"/>
      <c r="B60" s="108" t="e">
        <f t="shared" ca="1" si="12"/>
        <v>#NAME?</v>
      </c>
      <c r="C60" s="109" t="e">
        <f t="shared" ca="1" si="13"/>
        <v>#NAME?</v>
      </c>
      <c r="D60" s="110" t="e">
        <f t="shared" ca="1" si="0"/>
        <v>#NAME?</v>
      </c>
      <c r="E60" s="111" t="e">
        <f t="shared" ca="1" si="1"/>
        <v>#NAME?</v>
      </c>
      <c r="F60" s="110" t="e">
        <f t="shared" ca="1" si="2"/>
        <v>#NAME?</v>
      </c>
      <c r="G60" s="112" t="e">
        <f t="shared" ca="1" si="14"/>
        <v>#NAME?</v>
      </c>
      <c r="H60" s="113" t="e">
        <f t="shared" ca="1" si="3"/>
        <v>#NAME?</v>
      </c>
      <c r="I60" s="79" t="e">
        <f t="shared" ca="1" si="4"/>
        <v>#NAME?</v>
      </c>
      <c r="J60" s="115" t="e">
        <f t="shared" ca="1" si="5"/>
        <v>#NAME?</v>
      </c>
      <c r="K60" s="78" t="e">
        <f t="shared" ca="1" si="6"/>
        <v>#NAME?</v>
      </c>
      <c r="L60" s="78" t="e">
        <f t="shared" ca="1" si="7"/>
        <v>#NAME?</v>
      </c>
      <c r="M60" s="78" t="e">
        <f t="shared" ca="1" si="8"/>
        <v>#NAME?</v>
      </c>
      <c r="N60" s="78" t="e">
        <f t="shared" ca="1" si="9"/>
        <v>#NAME?</v>
      </c>
      <c r="AI60" s="69">
        <v>33</v>
      </c>
      <c r="AJ60" s="1">
        <v>941419</v>
      </c>
      <c r="AK60" s="70">
        <f t="shared" si="15"/>
        <v>2.268915328881189E-3</v>
      </c>
      <c r="AL60" s="72">
        <f t="shared" si="16"/>
        <v>2136</v>
      </c>
    </row>
    <row r="61" spans="1:38" x14ac:dyDescent="0.25">
      <c r="A61" s="79"/>
      <c r="B61" s="108" t="e">
        <f t="shared" ca="1" si="12"/>
        <v>#NAME?</v>
      </c>
      <c r="C61" s="109" t="e">
        <f t="shared" ca="1" si="13"/>
        <v>#NAME?</v>
      </c>
      <c r="D61" s="110" t="e">
        <f t="shared" ca="1" si="0"/>
        <v>#NAME?</v>
      </c>
      <c r="E61" s="111" t="e">
        <f t="shared" ca="1" si="1"/>
        <v>#NAME?</v>
      </c>
      <c r="F61" s="110" t="e">
        <f t="shared" ca="1" si="2"/>
        <v>#NAME?</v>
      </c>
      <c r="G61" s="112" t="e">
        <f t="shared" ca="1" si="14"/>
        <v>#NAME?</v>
      </c>
      <c r="H61" s="113" t="e">
        <f t="shared" ca="1" si="3"/>
        <v>#NAME?</v>
      </c>
      <c r="I61" s="79" t="e">
        <f t="shared" ca="1" si="4"/>
        <v>#NAME?</v>
      </c>
      <c r="J61" s="115" t="e">
        <f t="shared" ca="1" si="5"/>
        <v>#NAME?</v>
      </c>
      <c r="K61" s="78" t="e">
        <f t="shared" ca="1" si="6"/>
        <v>#NAME?</v>
      </c>
      <c r="L61" s="78" t="e">
        <f t="shared" ca="1" si="7"/>
        <v>#NAME?</v>
      </c>
      <c r="M61" s="78" t="e">
        <f t="shared" ca="1" si="8"/>
        <v>#NAME?</v>
      </c>
      <c r="N61" s="78" t="e">
        <f t="shared" ca="1" si="9"/>
        <v>#NAME?</v>
      </c>
      <c r="AI61" s="69">
        <v>34</v>
      </c>
      <c r="AJ61" s="1">
        <v>939283</v>
      </c>
      <c r="AK61" s="70">
        <f t="shared" si="15"/>
        <v>2.4454823519642109E-3</v>
      </c>
      <c r="AL61" s="72">
        <f t="shared" si="16"/>
        <v>2297</v>
      </c>
    </row>
    <row r="62" spans="1:38" x14ac:dyDescent="0.25">
      <c r="A62" s="79"/>
      <c r="B62" s="108" t="e">
        <f t="shared" ca="1" si="12"/>
        <v>#NAME?</v>
      </c>
      <c r="C62" s="109" t="e">
        <f t="shared" ca="1" si="13"/>
        <v>#NAME?</v>
      </c>
      <c r="D62" s="110" t="e">
        <f t="shared" ca="1" si="0"/>
        <v>#NAME?</v>
      </c>
      <c r="E62" s="111" t="e">
        <f t="shared" ca="1" si="1"/>
        <v>#NAME?</v>
      </c>
      <c r="F62" s="110" t="e">
        <f t="shared" ca="1" si="2"/>
        <v>#NAME?</v>
      </c>
      <c r="G62" s="112" t="e">
        <f t="shared" ca="1" si="14"/>
        <v>#NAME?</v>
      </c>
      <c r="H62" s="113" t="e">
        <f t="shared" ca="1" si="3"/>
        <v>#NAME?</v>
      </c>
      <c r="I62" s="79" t="e">
        <f t="shared" ca="1" si="4"/>
        <v>#NAME?</v>
      </c>
      <c r="J62" s="115" t="e">
        <f t="shared" ca="1" si="5"/>
        <v>#NAME?</v>
      </c>
      <c r="K62" s="78" t="e">
        <f t="shared" ca="1" si="6"/>
        <v>#NAME?</v>
      </c>
      <c r="L62" s="78" t="e">
        <f t="shared" ca="1" si="7"/>
        <v>#NAME?</v>
      </c>
      <c r="M62" s="78" t="e">
        <f t="shared" ca="1" si="8"/>
        <v>#NAME?</v>
      </c>
      <c r="N62" s="78" t="e">
        <f t="shared" ca="1" si="9"/>
        <v>#NAME?</v>
      </c>
      <c r="AI62" s="69">
        <v>35</v>
      </c>
      <c r="AJ62" s="1">
        <v>936986</v>
      </c>
      <c r="AK62" s="70">
        <f t="shared" si="15"/>
        <v>2.6371792107886352E-3</v>
      </c>
      <c r="AL62" s="72">
        <f t="shared" si="16"/>
        <v>2471</v>
      </c>
    </row>
    <row r="63" spans="1:38" x14ac:dyDescent="0.25">
      <c r="A63" s="79"/>
      <c r="B63" s="108" t="e">
        <f t="shared" ca="1" si="12"/>
        <v>#NAME?</v>
      </c>
      <c r="C63" s="109" t="e">
        <f t="shared" ca="1" si="13"/>
        <v>#NAME?</v>
      </c>
      <c r="D63" s="110" t="e">
        <f t="shared" ca="1" si="0"/>
        <v>#NAME?</v>
      </c>
      <c r="E63" s="111" t="e">
        <f t="shared" ca="1" si="1"/>
        <v>#NAME?</v>
      </c>
      <c r="F63" s="110" t="e">
        <f t="shared" ca="1" si="2"/>
        <v>#NAME?</v>
      </c>
      <c r="G63" s="112" t="e">
        <f t="shared" ca="1" si="14"/>
        <v>#NAME?</v>
      </c>
      <c r="H63" s="113" t="e">
        <f t="shared" ca="1" si="3"/>
        <v>#NAME?</v>
      </c>
      <c r="I63" s="79" t="e">
        <f t="shared" ca="1" si="4"/>
        <v>#NAME?</v>
      </c>
      <c r="J63" s="115" t="e">
        <f t="shared" ca="1" si="5"/>
        <v>#NAME?</v>
      </c>
      <c r="K63" s="78" t="e">
        <f t="shared" ca="1" si="6"/>
        <v>#NAME?</v>
      </c>
      <c r="L63" s="78" t="e">
        <f t="shared" ca="1" si="7"/>
        <v>#NAME?</v>
      </c>
      <c r="M63" s="78" t="e">
        <f t="shared" ca="1" si="8"/>
        <v>#NAME?</v>
      </c>
      <c r="N63" s="78" t="e">
        <f t="shared" ca="1" si="9"/>
        <v>#NAME?</v>
      </c>
      <c r="AI63" s="69">
        <v>36</v>
      </c>
      <c r="AJ63" s="1">
        <v>934515</v>
      </c>
      <c r="AK63" s="70">
        <f t="shared" si="15"/>
        <v>2.8485364065852343E-3</v>
      </c>
      <c r="AL63" s="72">
        <f t="shared" si="16"/>
        <v>2662</v>
      </c>
    </row>
    <row r="64" spans="1:38" x14ac:dyDescent="0.25">
      <c r="A64" s="79"/>
      <c r="B64" s="108" t="e">
        <f t="shared" ca="1" si="12"/>
        <v>#NAME?</v>
      </c>
      <c r="C64" s="109" t="e">
        <f t="shared" ca="1" si="13"/>
        <v>#NAME?</v>
      </c>
      <c r="D64" s="110" t="e">
        <f t="shared" ca="1" si="0"/>
        <v>#NAME?</v>
      </c>
      <c r="E64" s="111" t="e">
        <f t="shared" ca="1" si="1"/>
        <v>#NAME?</v>
      </c>
      <c r="F64" s="110" t="e">
        <f t="shared" ca="1" si="2"/>
        <v>#NAME?</v>
      </c>
      <c r="G64" s="112" t="e">
        <f t="shared" ca="1" si="14"/>
        <v>#NAME?</v>
      </c>
      <c r="H64" s="113" t="e">
        <f t="shared" ca="1" si="3"/>
        <v>#NAME?</v>
      </c>
      <c r="I64" s="79" t="e">
        <f t="shared" ca="1" si="4"/>
        <v>#NAME?</v>
      </c>
      <c r="J64" s="115" t="e">
        <f t="shared" ca="1" si="5"/>
        <v>#NAME?</v>
      </c>
      <c r="K64" s="78" t="e">
        <f t="shared" ca="1" si="6"/>
        <v>#NAME?</v>
      </c>
      <c r="L64" s="78" t="e">
        <f t="shared" ca="1" si="7"/>
        <v>#NAME?</v>
      </c>
      <c r="M64" s="78" t="e">
        <f t="shared" ca="1" si="8"/>
        <v>#NAME?</v>
      </c>
      <c r="N64" s="78" t="e">
        <f t="shared" ca="1" si="9"/>
        <v>#NAME?</v>
      </c>
      <c r="AI64" s="69">
        <v>37</v>
      </c>
      <c r="AJ64" s="1">
        <v>931853</v>
      </c>
      <c r="AK64" s="70">
        <f t="shared" si="15"/>
        <v>3.0777386562043582E-3</v>
      </c>
      <c r="AL64" s="72">
        <f t="shared" si="16"/>
        <v>2868</v>
      </c>
    </row>
    <row r="65" spans="1:38" x14ac:dyDescent="0.25">
      <c r="A65" s="79"/>
      <c r="B65" s="108" t="e">
        <f t="shared" ca="1" si="12"/>
        <v>#NAME?</v>
      </c>
      <c r="C65" s="109" t="e">
        <f t="shared" ca="1" si="13"/>
        <v>#NAME?</v>
      </c>
      <c r="D65" s="110" t="e">
        <f t="shared" ca="1" si="0"/>
        <v>#NAME?</v>
      </c>
      <c r="E65" s="111" t="e">
        <f t="shared" ca="1" si="1"/>
        <v>#NAME?</v>
      </c>
      <c r="F65" s="110" t="e">
        <f t="shared" ca="1" si="2"/>
        <v>#NAME?</v>
      </c>
      <c r="G65" s="112" t="e">
        <f t="shared" ca="1" si="14"/>
        <v>#NAME?</v>
      </c>
      <c r="H65" s="113" t="e">
        <f t="shared" ca="1" si="3"/>
        <v>#NAME?</v>
      </c>
      <c r="I65" s="79" t="e">
        <f t="shared" ca="1" si="4"/>
        <v>#NAME?</v>
      </c>
      <c r="J65" s="115" t="e">
        <f t="shared" ca="1" si="5"/>
        <v>#NAME?</v>
      </c>
      <c r="K65" s="78" t="e">
        <f t="shared" ca="1" si="6"/>
        <v>#NAME?</v>
      </c>
      <c r="L65" s="78" t="e">
        <f t="shared" ca="1" si="7"/>
        <v>#NAME?</v>
      </c>
      <c r="M65" s="78" t="e">
        <f t="shared" ca="1" si="8"/>
        <v>#NAME?</v>
      </c>
      <c r="N65" s="78" t="e">
        <f t="shared" ca="1" si="9"/>
        <v>#NAME?</v>
      </c>
      <c r="AI65" s="69">
        <v>38</v>
      </c>
      <c r="AJ65" s="1">
        <v>928985</v>
      </c>
      <c r="AK65" s="70">
        <f t="shared" si="15"/>
        <v>3.329440195482166E-3</v>
      </c>
      <c r="AL65" s="72">
        <f t="shared" si="16"/>
        <v>3093</v>
      </c>
    </row>
    <row r="66" spans="1:38" x14ac:dyDescent="0.25">
      <c r="A66" s="79"/>
      <c r="B66" s="108" t="e">
        <f t="shared" ca="1" si="12"/>
        <v>#NAME?</v>
      </c>
      <c r="C66" s="109" t="e">
        <f t="shared" ca="1" si="13"/>
        <v>#NAME?</v>
      </c>
      <c r="D66" s="110" t="e">
        <f t="shared" ca="1" si="0"/>
        <v>#NAME?</v>
      </c>
      <c r="E66" s="111" t="e">
        <f t="shared" ca="1" si="1"/>
        <v>#NAME?</v>
      </c>
      <c r="F66" s="110" t="e">
        <f t="shared" ca="1" si="2"/>
        <v>#NAME?</v>
      </c>
      <c r="G66" s="112" t="e">
        <f t="shared" ca="1" si="14"/>
        <v>#NAME?</v>
      </c>
      <c r="H66" s="113" t="e">
        <f t="shared" ca="1" si="3"/>
        <v>#NAME?</v>
      </c>
      <c r="I66" s="79" t="e">
        <f t="shared" ca="1" si="4"/>
        <v>#NAME?</v>
      </c>
      <c r="J66" s="115" t="e">
        <f t="shared" ca="1" si="5"/>
        <v>#NAME?</v>
      </c>
      <c r="K66" s="78" t="e">
        <f t="shared" ca="1" si="6"/>
        <v>#NAME?</v>
      </c>
      <c r="L66" s="78" t="e">
        <f t="shared" ca="1" si="7"/>
        <v>#NAME?</v>
      </c>
      <c r="M66" s="78" t="e">
        <f t="shared" ca="1" si="8"/>
        <v>#NAME?</v>
      </c>
      <c r="N66" s="78" t="e">
        <f t="shared" ca="1" si="9"/>
        <v>#NAME?</v>
      </c>
      <c r="AI66" s="69">
        <v>39</v>
      </c>
      <c r="AJ66" s="1">
        <v>925892</v>
      </c>
      <c r="AK66" s="70">
        <f t="shared" si="15"/>
        <v>3.6030120143602062E-3</v>
      </c>
      <c r="AL66" s="72">
        <f t="shared" si="16"/>
        <v>3336</v>
      </c>
    </row>
    <row r="67" spans="1:38" x14ac:dyDescent="0.25">
      <c r="A67" s="79"/>
      <c r="B67" s="108" t="e">
        <f t="shared" ca="1" si="12"/>
        <v>#NAME?</v>
      </c>
      <c r="C67" s="109" t="e">
        <f t="shared" ca="1" si="13"/>
        <v>#NAME?</v>
      </c>
      <c r="D67" s="110" t="e">
        <f t="shared" ca="1" si="0"/>
        <v>#NAME?</v>
      </c>
      <c r="E67" s="111" t="e">
        <f t="shared" ca="1" si="1"/>
        <v>#NAME?</v>
      </c>
      <c r="F67" s="110" t="e">
        <f t="shared" ca="1" si="2"/>
        <v>#NAME?</v>
      </c>
      <c r="G67" s="112" t="e">
        <f t="shared" ca="1" si="14"/>
        <v>#NAME?</v>
      </c>
      <c r="H67" s="113" t="e">
        <f t="shared" ca="1" si="3"/>
        <v>#NAME?</v>
      </c>
      <c r="I67" s="79" t="e">
        <f t="shared" ca="1" si="4"/>
        <v>#NAME?</v>
      </c>
      <c r="J67" s="115" t="e">
        <f t="shared" ca="1" si="5"/>
        <v>#NAME?</v>
      </c>
      <c r="K67" s="78" t="e">
        <f t="shared" ca="1" si="6"/>
        <v>#NAME?</v>
      </c>
      <c r="L67" s="78" t="e">
        <f t="shared" ca="1" si="7"/>
        <v>#NAME?</v>
      </c>
      <c r="M67" s="78" t="e">
        <f t="shared" ca="1" si="8"/>
        <v>#NAME?</v>
      </c>
      <c r="N67" s="78" t="e">
        <f t="shared" ca="1" si="9"/>
        <v>#NAME?</v>
      </c>
      <c r="AI67" s="69">
        <v>40</v>
      </c>
      <c r="AJ67" s="1">
        <v>922556</v>
      </c>
      <c r="AK67" s="70">
        <f t="shared" si="15"/>
        <v>3.9032860877822053E-3</v>
      </c>
      <c r="AL67" s="72">
        <f t="shared" si="16"/>
        <v>3601</v>
      </c>
    </row>
    <row r="68" spans="1:38" x14ac:dyDescent="0.25">
      <c r="A68" s="79"/>
      <c r="B68" s="108" t="e">
        <f t="shared" ca="1" si="12"/>
        <v>#NAME?</v>
      </c>
      <c r="C68" s="109" t="e">
        <f t="shared" ca="1" si="13"/>
        <v>#NAME?</v>
      </c>
      <c r="D68" s="110" t="e">
        <f t="shared" ca="1" si="0"/>
        <v>#NAME?</v>
      </c>
      <c r="E68" s="111" t="e">
        <f t="shared" ca="1" si="1"/>
        <v>#NAME?</v>
      </c>
      <c r="F68" s="110" t="e">
        <f t="shared" ca="1" si="2"/>
        <v>#NAME?</v>
      </c>
      <c r="G68" s="112" t="e">
        <f t="shared" ca="1" si="14"/>
        <v>#NAME?</v>
      </c>
      <c r="H68" s="113" t="e">
        <f t="shared" ca="1" si="3"/>
        <v>#NAME?</v>
      </c>
      <c r="I68" s="79" t="e">
        <f t="shared" ca="1" si="4"/>
        <v>#NAME?</v>
      </c>
      <c r="J68" s="115" t="e">
        <f t="shared" ca="1" si="5"/>
        <v>#NAME?</v>
      </c>
      <c r="K68" s="78" t="e">
        <f t="shared" ca="1" si="6"/>
        <v>#NAME?</v>
      </c>
      <c r="L68" s="78" t="e">
        <f t="shared" ca="1" si="7"/>
        <v>#NAME?</v>
      </c>
      <c r="M68" s="78" t="e">
        <f t="shared" ca="1" si="8"/>
        <v>#NAME?</v>
      </c>
      <c r="N68" s="78" t="e">
        <f t="shared" ca="1" si="9"/>
        <v>#NAME?</v>
      </c>
      <c r="AI68" s="69">
        <v>41</v>
      </c>
      <c r="AJ68" s="1">
        <v>918955</v>
      </c>
      <c r="AK68" s="70">
        <f t="shared" si="15"/>
        <v>4.2308926987719743E-3</v>
      </c>
      <c r="AL68" s="72">
        <f t="shared" si="16"/>
        <v>3888</v>
      </c>
    </row>
    <row r="69" spans="1:38" x14ac:dyDescent="0.25">
      <c r="A69" s="79"/>
      <c r="B69" s="108" t="e">
        <f t="shared" ca="1" si="12"/>
        <v>#NAME?</v>
      </c>
      <c r="C69" s="109" t="e">
        <f t="shared" ca="1" si="13"/>
        <v>#NAME?</v>
      </c>
      <c r="D69" s="110" t="e">
        <f t="shared" ca="1" si="0"/>
        <v>#NAME?</v>
      </c>
      <c r="E69" s="111" t="e">
        <f t="shared" ca="1" si="1"/>
        <v>#NAME?</v>
      </c>
      <c r="F69" s="110" t="e">
        <f t="shared" ca="1" si="2"/>
        <v>#NAME?</v>
      </c>
      <c r="G69" s="112" t="e">
        <f t="shared" ca="1" si="14"/>
        <v>#NAME?</v>
      </c>
      <c r="H69" s="113" t="e">
        <f t="shared" ca="1" si="3"/>
        <v>#NAME?</v>
      </c>
      <c r="I69" s="79" t="e">
        <f t="shared" ca="1" si="4"/>
        <v>#NAME?</v>
      </c>
      <c r="J69" s="115" t="e">
        <f t="shared" ca="1" si="5"/>
        <v>#NAME?</v>
      </c>
      <c r="K69" s="78" t="e">
        <f t="shared" ca="1" si="6"/>
        <v>#NAME?</v>
      </c>
      <c r="L69" s="78" t="e">
        <f t="shared" ca="1" si="7"/>
        <v>#NAME?</v>
      </c>
      <c r="M69" s="78" t="e">
        <f t="shared" ca="1" si="8"/>
        <v>#NAME?</v>
      </c>
      <c r="N69" s="78" t="e">
        <f t="shared" ca="1" si="9"/>
        <v>#NAME?</v>
      </c>
      <c r="AI69" s="69">
        <v>42</v>
      </c>
      <c r="AJ69" s="1">
        <v>915067</v>
      </c>
      <c r="AK69" s="70">
        <f t="shared" si="15"/>
        <v>4.5887350325167445E-3</v>
      </c>
      <c r="AL69" s="72">
        <f t="shared" si="16"/>
        <v>4199</v>
      </c>
    </row>
    <row r="70" spans="1:38" x14ac:dyDescent="0.25">
      <c r="A70" s="79"/>
      <c r="B70" s="108" t="e">
        <f t="shared" ca="1" si="12"/>
        <v>#NAME?</v>
      </c>
      <c r="C70" s="109" t="e">
        <f t="shared" ca="1" si="13"/>
        <v>#NAME?</v>
      </c>
      <c r="D70" s="110" t="e">
        <f t="shared" ca="1" si="0"/>
        <v>#NAME?</v>
      </c>
      <c r="E70" s="111" t="e">
        <f t="shared" ca="1" si="1"/>
        <v>#NAME?</v>
      </c>
      <c r="F70" s="110" t="e">
        <f t="shared" ca="1" si="2"/>
        <v>#NAME?</v>
      </c>
      <c r="G70" s="112" t="e">
        <f t="shared" ca="1" si="14"/>
        <v>#NAME?</v>
      </c>
      <c r="H70" s="113" t="e">
        <f t="shared" ca="1" si="3"/>
        <v>#NAME?</v>
      </c>
      <c r="I70" s="79" t="e">
        <f t="shared" ca="1" si="4"/>
        <v>#NAME?</v>
      </c>
      <c r="J70" s="115" t="e">
        <f t="shared" ca="1" si="5"/>
        <v>#NAME?</v>
      </c>
      <c r="K70" s="78" t="e">
        <f t="shared" ca="1" si="6"/>
        <v>#NAME?</v>
      </c>
      <c r="L70" s="78" t="e">
        <f t="shared" ca="1" si="7"/>
        <v>#NAME?</v>
      </c>
      <c r="M70" s="78" t="e">
        <f t="shared" ca="1" si="8"/>
        <v>#NAME?</v>
      </c>
      <c r="N70" s="78" t="e">
        <f t="shared" ca="1" si="9"/>
        <v>#NAME?</v>
      </c>
      <c r="AI70" s="69">
        <v>43</v>
      </c>
      <c r="AJ70" s="1">
        <v>910868</v>
      </c>
      <c r="AK70" s="70">
        <f t="shared" si="15"/>
        <v>4.9798653591958441E-3</v>
      </c>
      <c r="AL70" s="72">
        <f t="shared" si="16"/>
        <v>4536</v>
      </c>
    </row>
    <row r="71" spans="1:38" x14ac:dyDescent="0.25">
      <c r="A71" s="79"/>
      <c r="B71" s="108" t="e">
        <f t="shared" ca="1" si="12"/>
        <v>#NAME?</v>
      </c>
      <c r="C71" s="109" t="e">
        <f t="shared" ca="1" si="13"/>
        <v>#NAME?</v>
      </c>
      <c r="D71" s="110" t="e">
        <f t="shared" ca="1" si="0"/>
        <v>#NAME?</v>
      </c>
      <c r="E71" s="111" t="e">
        <f t="shared" ca="1" si="1"/>
        <v>#NAME?</v>
      </c>
      <c r="F71" s="110" t="e">
        <f t="shared" ca="1" si="2"/>
        <v>#NAME?</v>
      </c>
      <c r="G71" s="112" t="e">
        <f t="shared" ca="1" si="14"/>
        <v>#NAME?</v>
      </c>
      <c r="H71" s="113" t="e">
        <f t="shared" ca="1" si="3"/>
        <v>#NAME?</v>
      </c>
      <c r="I71" s="79" t="e">
        <f t="shared" ca="1" si="4"/>
        <v>#NAME?</v>
      </c>
      <c r="J71" s="115" t="e">
        <f t="shared" ca="1" si="5"/>
        <v>#NAME?</v>
      </c>
      <c r="K71" s="78" t="e">
        <f t="shared" ca="1" si="6"/>
        <v>#NAME?</v>
      </c>
      <c r="L71" s="78" t="e">
        <f t="shared" ca="1" si="7"/>
        <v>#NAME?</v>
      </c>
      <c r="M71" s="78" t="e">
        <f t="shared" ca="1" si="8"/>
        <v>#NAME?</v>
      </c>
      <c r="N71" s="78" t="e">
        <f t="shared" ca="1" si="9"/>
        <v>#NAME?</v>
      </c>
      <c r="AI71" s="69">
        <v>44</v>
      </c>
      <c r="AJ71" s="1">
        <v>906332</v>
      </c>
      <c r="AK71" s="70">
        <f t="shared" si="15"/>
        <v>5.4075107135133707E-3</v>
      </c>
      <c r="AL71" s="72">
        <f t="shared" si="16"/>
        <v>4901</v>
      </c>
    </row>
    <row r="72" spans="1:38" x14ac:dyDescent="0.25">
      <c r="A72" s="79"/>
      <c r="B72" s="108" t="e">
        <f t="shared" ca="1" si="12"/>
        <v>#NAME?</v>
      </c>
      <c r="C72" s="109" t="e">
        <f t="shared" ca="1" si="13"/>
        <v>#NAME?</v>
      </c>
      <c r="D72" s="110" t="e">
        <f t="shared" ca="1" si="0"/>
        <v>#NAME?</v>
      </c>
      <c r="E72" s="111" t="e">
        <f t="shared" ca="1" si="1"/>
        <v>#NAME?</v>
      </c>
      <c r="F72" s="110" t="e">
        <f t="shared" ca="1" si="2"/>
        <v>#NAME?</v>
      </c>
      <c r="G72" s="112" t="e">
        <f t="shared" ca="1" si="14"/>
        <v>#NAME?</v>
      </c>
      <c r="H72" s="113" t="e">
        <f t="shared" ca="1" si="3"/>
        <v>#NAME?</v>
      </c>
      <c r="I72" s="79" t="e">
        <f t="shared" ca="1" si="4"/>
        <v>#NAME?</v>
      </c>
      <c r="J72" s="115" t="e">
        <f t="shared" ca="1" si="5"/>
        <v>#NAME?</v>
      </c>
      <c r="K72" s="78" t="e">
        <f t="shared" ca="1" si="6"/>
        <v>#NAME?</v>
      </c>
      <c r="L72" s="78" t="e">
        <f t="shared" ca="1" si="7"/>
        <v>#NAME?</v>
      </c>
      <c r="M72" s="78" t="e">
        <f t="shared" ca="1" si="8"/>
        <v>#NAME?</v>
      </c>
      <c r="N72" s="78" t="e">
        <f t="shared" ca="1" si="9"/>
        <v>#NAME?</v>
      </c>
      <c r="AI72" s="69">
        <v>45</v>
      </c>
      <c r="AJ72" s="1">
        <v>901431</v>
      </c>
      <c r="AK72" s="70">
        <f t="shared" si="15"/>
        <v>5.8739936833767641E-3</v>
      </c>
      <c r="AL72" s="72">
        <f t="shared" si="16"/>
        <v>5295</v>
      </c>
    </row>
    <row r="73" spans="1:38" x14ac:dyDescent="0.25">
      <c r="A73" s="79"/>
      <c r="B73" s="108" t="e">
        <f t="shared" ca="1" si="12"/>
        <v>#NAME?</v>
      </c>
      <c r="C73" s="109" t="e">
        <f t="shared" ca="1" si="13"/>
        <v>#NAME?</v>
      </c>
      <c r="D73" s="110" t="e">
        <f t="shared" ca="1" si="0"/>
        <v>#NAME?</v>
      </c>
      <c r="E73" s="111" t="e">
        <f t="shared" ca="1" si="1"/>
        <v>#NAME?</v>
      </c>
      <c r="F73" s="110" t="e">
        <f t="shared" ca="1" si="2"/>
        <v>#NAME?</v>
      </c>
      <c r="G73" s="112" t="e">
        <f t="shared" ca="1" si="14"/>
        <v>#NAME?</v>
      </c>
      <c r="H73" s="113" t="e">
        <f t="shared" ca="1" si="3"/>
        <v>#NAME?</v>
      </c>
      <c r="I73" s="79" t="e">
        <f t="shared" ca="1" si="4"/>
        <v>#NAME?</v>
      </c>
      <c r="J73" s="115" t="e">
        <f t="shared" ca="1" si="5"/>
        <v>#NAME?</v>
      </c>
      <c r="K73" s="78" t="e">
        <f t="shared" ca="1" si="6"/>
        <v>#NAME?</v>
      </c>
      <c r="L73" s="78" t="e">
        <f t="shared" ca="1" si="7"/>
        <v>#NAME?</v>
      </c>
      <c r="M73" s="78" t="e">
        <f t="shared" ca="1" si="8"/>
        <v>#NAME?</v>
      </c>
      <c r="N73" s="78" t="e">
        <f t="shared" ca="1" si="9"/>
        <v>#NAME?</v>
      </c>
      <c r="AI73" s="69">
        <v>46</v>
      </c>
      <c r="AJ73" s="1">
        <v>896136</v>
      </c>
      <c r="AK73" s="70">
        <f t="shared" si="15"/>
        <v>6.3829597293267983E-3</v>
      </c>
      <c r="AL73" s="72">
        <f t="shared" si="16"/>
        <v>5720</v>
      </c>
    </row>
    <row r="74" spans="1:38" x14ac:dyDescent="0.25">
      <c r="A74" s="79"/>
      <c r="B74" s="108" t="e">
        <f t="shared" ca="1" si="12"/>
        <v>#NAME?</v>
      </c>
      <c r="C74" s="109" t="e">
        <f t="shared" ca="1" si="13"/>
        <v>#NAME?</v>
      </c>
      <c r="D74" s="110" t="e">
        <f t="shared" ca="1" si="0"/>
        <v>#NAME?</v>
      </c>
      <c r="E74" s="111" t="e">
        <f t="shared" ca="1" si="1"/>
        <v>#NAME?</v>
      </c>
      <c r="F74" s="110" t="e">
        <f t="shared" ca="1" si="2"/>
        <v>#NAME?</v>
      </c>
      <c r="G74" s="112" t="e">
        <f t="shared" ca="1" si="14"/>
        <v>#NAME?</v>
      </c>
      <c r="H74" s="113" t="e">
        <f t="shared" ca="1" si="3"/>
        <v>#NAME?</v>
      </c>
      <c r="I74" s="79" t="e">
        <f t="shared" ca="1" si="4"/>
        <v>#NAME?</v>
      </c>
      <c r="J74" s="115" t="e">
        <f t="shared" ca="1" si="5"/>
        <v>#NAME?</v>
      </c>
      <c r="K74" s="78" t="e">
        <f t="shared" ca="1" si="6"/>
        <v>#NAME?</v>
      </c>
      <c r="L74" s="78" t="e">
        <f t="shared" ca="1" si="7"/>
        <v>#NAME?</v>
      </c>
      <c r="M74" s="78" t="e">
        <f t="shared" ca="1" si="8"/>
        <v>#NAME?</v>
      </c>
      <c r="N74" s="78" t="e">
        <f t="shared" ca="1" si="9"/>
        <v>#NAME?</v>
      </c>
      <c r="AI74" s="69">
        <v>47</v>
      </c>
      <c r="AJ74" s="1">
        <v>890416</v>
      </c>
      <c r="AK74" s="70">
        <f t="shared" si="15"/>
        <v>6.9428222314064439E-3</v>
      </c>
      <c r="AL74" s="72">
        <f t="shared" si="16"/>
        <v>6182</v>
      </c>
    </row>
    <row r="75" spans="1:38" x14ac:dyDescent="0.25">
      <c r="A75" s="79"/>
      <c r="B75" s="108" t="e">
        <f t="shared" ca="1" si="12"/>
        <v>#NAME?</v>
      </c>
      <c r="C75" s="109" t="e">
        <f t="shared" ca="1" si="13"/>
        <v>#NAME?</v>
      </c>
      <c r="D75" s="110" t="e">
        <f t="shared" ca="1" si="0"/>
        <v>#NAME?</v>
      </c>
      <c r="E75" s="111" t="e">
        <f t="shared" ca="1" si="1"/>
        <v>#NAME?</v>
      </c>
      <c r="F75" s="110" t="e">
        <f t="shared" ca="1" si="2"/>
        <v>#NAME?</v>
      </c>
      <c r="G75" s="112" t="e">
        <f t="shared" ca="1" si="14"/>
        <v>#NAME?</v>
      </c>
      <c r="H75" s="113" t="e">
        <f t="shared" ca="1" si="3"/>
        <v>#NAME?</v>
      </c>
      <c r="I75" s="79" t="e">
        <f t="shared" ca="1" si="4"/>
        <v>#NAME?</v>
      </c>
      <c r="J75" s="115" t="e">
        <f t="shared" ca="1" si="5"/>
        <v>#NAME?</v>
      </c>
      <c r="K75" s="78" t="e">
        <f t="shared" ca="1" si="6"/>
        <v>#NAME?</v>
      </c>
      <c r="L75" s="78" t="e">
        <f t="shared" ca="1" si="7"/>
        <v>#NAME?</v>
      </c>
      <c r="M75" s="78" t="e">
        <f t="shared" ca="1" si="8"/>
        <v>#NAME?</v>
      </c>
      <c r="N75" s="78" t="e">
        <f t="shared" ca="1" si="9"/>
        <v>#NAME?</v>
      </c>
      <c r="AI75" s="69">
        <v>48</v>
      </c>
      <c r="AJ75" s="1">
        <v>884234</v>
      </c>
      <c r="AK75" s="70">
        <f t="shared" si="15"/>
        <v>7.5511685820721661E-3</v>
      </c>
      <c r="AL75" s="72">
        <f t="shared" si="16"/>
        <v>6677</v>
      </c>
    </row>
    <row r="76" spans="1:38" x14ac:dyDescent="0.25">
      <c r="A76" s="79"/>
      <c r="B76" s="108" t="e">
        <f t="shared" ca="1" si="12"/>
        <v>#NAME?</v>
      </c>
      <c r="C76" s="109" t="e">
        <f t="shared" ca="1" si="13"/>
        <v>#NAME?</v>
      </c>
      <c r="D76" s="110" t="e">
        <f t="shared" ca="1" si="0"/>
        <v>#NAME?</v>
      </c>
      <c r="E76" s="111" t="e">
        <f t="shared" ca="1" si="1"/>
        <v>#NAME?</v>
      </c>
      <c r="F76" s="110" t="e">
        <f t="shared" ca="1" si="2"/>
        <v>#NAME?</v>
      </c>
      <c r="G76" s="112" t="e">
        <f t="shared" ca="1" si="14"/>
        <v>#NAME?</v>
      </c>
      <c r="H76" s="113" t="e">
        <f t="shared" ca="1" si="3"/>
        <v>#NAME?</v>
      </c>
      <c r="I76" s="79" t="e">
        <f t="shared" ca="1" si="4"/>
        <v>#NAME?</v>
      </c>
      <c r="J76" s="115" t="e">
        <f t="shared" ca="1" si="5"/>
        <v>#NAME?</v>
      </c>
      <c r="K76" s="78" t="e">
        <f t="shared" ca="1" si="6"/>
        <v>#NAME?</v>
      </c>
      <c r="L76" s="78" t="e">
        <f t="shared" ca="1" si="7"/>
        <v>#NAME?</v>
      </c>
      <c r="M76" s="78" t="e">
        <f t="shared" ca="1" si="8"/>
        <v>#NAME?</v>
      </c>
      <c r="N76" s="78" t="e">
        <f t="shared" ca="1" si="9"/>
        <v>#NAME?</v>
      </c>
      <c r="AI76" s="69">
        <v>49</v>
      </c>
      <c r="AJ76" s="1">
        <v>877557</v>
      </c>
      <c r="AK76" s="70">
        <f t="shared" si="15"/>
        <v>8.2159905282505868E-3</v>
      </c>
      <c r="AL76" s="72">
        <f t="shared" si="16"/>
        <v>7210</v>
      </c>
    </row>
    <row r="77" spans="1:38" x14ac:dyDescent="0.25">
      <c r="A77" s="79"/>
      <c r="B77" s="108" t="e">
        <f t="shared" ca="1" si="12"/>
        <v>#NAME?</v>
      </c>
      <c r="C77" s="109" t="e">
        <f t="shared" ca="1" si="13"/>
        <v>#NAME?</v>
      </c>
      <c r="D77" s="110" t="e">
        <f t="shared" ca="1" si="0"/>
        <v>#NAME?</v>
      </c>
      <c r="E77" s="111" t="e">
        <f t="shared" ca="1" si="1"/>
        <v>#NAME?</v>
      </c>
      <c r="F77" s="110" t="e">
        <f t="shared" ca="1" si="2"/>
        <v>#NAME?</v>
      </c>
      <c r="G77" s="112" t="e">
        <f t="shared" ca="1" si="14"/>
        <v>#NAME?</v>
      </c>
      <c r="H77" s="113" t="e">
        <f t="shared" ca="1" si="3"/>
        <v>#NAME?</v>
      </c>
      <c r="I77" s="79" t="e">
        <f t="shared" ca="1" si="4"/>
        <v>#NAME?</v>
      </c>
      <c r="J77" s="115" t="e">
        <f t="shared" ca="1" si="5"/>
        <v>#NAME?</v>
      </c>
      <c r="K77" s="78" t="e">
        <f t="shared" ca="1" si="6"/>
        <v>#NAME?</v>
      </c>
      <c r="L77" s="78" t="e">
        <f t="shared" ca="1" si="7"/>
        <v>#NAME?</v>
      </c>
      <c r="M77" s="78" t="e">
        <f t="shared" ca="1" si="8"/>
        <v>#NAME?</v>
      </c>
      <c r="N77" s="78" t="e">
        <f t="shared" ca="1" si="9"/>
        <v>#NAME?</v>
      </c>
      <c r="AI77" s="69">
        <v>50</v>
      </c>
      <c r="AJ77" s="1">
        <v>870347</v>
      </c>
      <c r="AK77" s="70">
        <f t="shared" si="15"/>
        <v>8.9424103259964135E-3</v>
      </c>
      <c r="AL77" s="72">
        <f t="shared" si="16"/>
        <v>7783</v>
      </c>
    </row>
    <row r="78" spans="1:38" x14ac:dyDescent="0.25">
      <c r="A78" s="79"/>
      <c r="B78" s="108" t="e">
        <f t="shared" ca="1" si="12"/>
        <v>#NAME?</v>
      </c>
      <c r="C78" s="109" t="e">
        <f t="shared" ca="1" si="13"/>
        <v>#NAME?</v>
      </c>
      <c r="D78" s="110" t="e">
        <f t="shared" ca="1" si="0"/>
        <v>#NAME?</v>
      </c>
      <c r="E78" s="111" t="e">
        <f t="shared" ca="1" si="1"/>
        <v>#NAME?</v>
      </c>
      <c r="F78" s="110" t="e">
        <f t="shared" ca="1" si="2"/>
        <v>#NAME?</v>
      </c>
      <c r="G78" s="112" t="e">
        <f t="shared" ca="1" si="14"/>
        <v>#NAME?</v>
      </c>
      <c r="H78" s="113" t="e">
        <f t="shared" ca="1" si="3"/>
        <v>#NAME?</v>
      </c>
      <c r="I78" s="79" t="e">
        <f t="shared" ca="1" si="4"/>
        <v>#NAME?</v>
      </c>
      <c r="J78" s="115" t="e">
        <f t="shared" ca="1" si="5"/>
        <v>#NAME?</v>
      </c>
      <c r="K78" s="78" t="e">
        <f t="shared" ca="1" si="6"/>
        <v>#NAME?</v>
      </c>
      <c r="L78" s="78" t="e">
        <f t="shared" ca="1" si="7"/>
        <v>#NAME?</v>
      </c>
      <c r="M78" s="78" t="e">
        <f t="shared" ca="1" si="8"/>
        <v>#NAME?</v>
      </c>
      <c r="N78" s="78" t="e">
        <f t="shared" ca="1" si="9"/>
        <v>#NAME?</v>
      </c>
      <c r="AI78" s="69">
        <v>51</v>
      </c>
      <c r="AJ78" s="1">
        <v>862564</v>
      </c>
      <c r="AK78" s="70">
        <f t="shared" si="15"/>
        <v>9.7360891481675562E-3</v>
      </c>
      <c r="AL78" s="72">
        <f t="shared" si="16"/>
        <v>8398</v>
      </c>
    </row>
    <row r="79" spans="1:38" x14ac:dyDescent="0.25">
      <c r="A79" s="79"/>
      <c r="B79" s="108" t="e">
        <f t="shared" ca="1" si="12"/>
        <v>#NAME?</v>
      </c>
      <c r="C79" s="109" t="e">
        <f t="shared" ca="1" si="13"/>
        <v>#NAME?</v>
      </c>
      <c r="D79" s="110" t="e">
        <f t="shared" ca="1" si="0"/>
        <v>#NAME?</v>
      </c>
      <c r="E79" s="111" t="e">
        <f t="shared" ca="1" si="1"/>
        <v>#NAME?</v>
      </c>
      <c r="F79" s="110" t="e">
        <f t="shared" ca="1" si="2"/>
        <v>#NAME?</v>
      </c>
      <c r="G79" s="112" t="e">
        <f t="shared" ca="1" si="14"/>
        <v>#NAME?</v>
      </c>
      <c r="H79" s="113" t="e">
        <f t="shared" ca="1" si="3"/>
        <v>#NAME?</v>
      </c>
      <c r="I79" s="79" t="e">
        <f t="shared" ca="1" si="4"/>
        <v>#NAME?</v>
      </c>
      <c r="J79" s="115" t="e">
        <f t="shared" ca="1" si="5"/>
        <v>#NAME?</v>
      </c>
      <c r="K79" s="78" t="e">
        <f t="shared" ca="1" si="6"/>
        <v>#NAME?</v>
      </c>
      <c r="L79" s="78" t="e">
        <f t="shared" ca="1" si="7"/>
        <v>#NAME?</v>
      </c>
      <c r="M79" s="78" t="e">
        <f t="shared" ca="1" si="8"/>
        <v>#NAME?</v>
      </c>
      <c r="N79" s="78" t="e">
        <f t="shared" ca="1" si="9"/>
        <v>#NAME?</v>
      </c>
      <c r="AI79" s="69">
        <v>52</v>
      </c>
      <c r="AJ79" s="1">
        <v>854166</v>
      </c>
      <c r="AK79" s="70">
        <f t="shared" si="15"/>
        <v>1.0603325348936857E-2</v>
      </c>
      <c r="AL79" s="72">
        <f t="shared" si="16"/>
        <v>9057</v>
      </c>
    </row>
    <row r="80" spans="1:38" x14ac:dyDescent="0.25">
      <c r="A80" s="79"/>
      <c r="B80" s="108" t="e">
        <f t="shared" ca="1" si="12"/>
        <v>#NAME?</v>
      </c>
      <c r="C80" s="109" t="e">
        <f t="shared" ca="1" si="13"/>
        <v>#NAME?</v>
      </c>
      <c r="D80" s="110" t="e">
        <f t="shared" ca="1" si="0"/>
        <v>#NAME?</v>
      </c>
      <c r="E80" s="111" t="e">
        <f t="shared" ca="1" si="1"/>
        <v>#NAME?</v>
      </c>
      <c r="F80" s="110" t="e">
        <f t="shared" ca="1" si="2"/>
        <v>#NAME?</v>
      </c>
      <c r="G80" s="112" t="e">
        <f t="shared" ca="1" si="14"/>
        <v>#NAME?</v>
      </c>
      <c r="H80" s="113" t="e">
        <f t="shared" ca="1" si="3"/>
        <v>#NAME?</v>
      </c>
      <c r="I80" s="79" t="e">
        <f t="shared" ca="1" si="4"/>
        <v>#NAME?</v>
      </c>
      <c r="J80" s="115" t="e">
        <f t="shared" ca="1" si="5"/>
        <v>#NAME?</v>
      </c>
      <c r="K80" s="78" t="e">
        <f t="shared" ca="1" si="6"/>
        <v>#NAME?</v>
      </c>
      <c r="L80" s="78" t="e">
        <f t="shared" ca="1" si="7"/>
        <v>#NAME?</v>
      </c>
      <c r="M80" s="78" t="e">
        <f t="shared" ca="1" si="8"/>
        <v>#NAME?</v>
      </c>
      <c r="N80" s="78" t="e">
        <f t="shared" ca="1" si="9"/>
        <v>#NAME?</v>
      </c>
      <c r="AI80" s="69">
        <v>53</v>
      </c>
      <c r="AJ80" s="1">
        <v>845109</v>
      </c>
      <c r="AK80" s="70">
        <f t="shared" si="15"/>
        <v>1.1549989409650116E-2</v>
      </c>
      <c r="AL80" s="72">
        <f t="shared" si="16"/>
        <v>9761</v>
      </c>
    </row>
    <row r="81" spans="1:38" x14ac:dyDescent="0.25">
      <c r="A81" s="79"/>
      <c r="B81" s="108" t="e">
        <f t="shared" ca="1" si="12"/>
        <v>#NAME?</v>
      </c>
      <c r="C81" s="109" t="e">
        <f t="shared" ca="1" si="13"/>
        <v>#NAME?</v>
      </c>
      <c r="D81" s="110" t="e">
        <f t="shared" ca="1" si="0"/>
        <v>#NAME?</v>
      </c>
      <c r="E81" s="111" t="e">
        <f t="shared" ca="1" si="1"/>
        <v>#NAME?</v>
      </c>
      <c r="F81" s="110" t="e">
        <f t="shared" ca="1" si="2"/>
        <v>#NAME?</v>
      </c>
      <c r="G81" s="112" t="e">
        <f t="shared" ca="1" si="14"/>
        <v>#NAME?</v>
      </c>
      <c r="H81" s="113" t="e">
        <f t="shared" ca="1" si="3"/>
        <v>#NAME?</v>
      </c>
      <c r="I81" s="79" t="e">
        <f t="shared" ca="1" si="4"/>
        <v>#NAME?</v>
      </c>
      <c r="J81" s="115" t="e">
        <f t="shared" ca="1" si="5"/>
        <v>#NAME?</v>
      </c>
      <c r="K81" s="78" t="e">
        <f t="shared" ca="1" si="6"/>
        <v>#NAME?</v>
      </c>
      <c r="L81" s="78" t="e">
        <f t="shared" ca="1" si="7"/>
        <v>#NAME?</v>
      </c>
      <c r="M81" s="78" t="e">
        <f t="shared" ca="1" si="8"/>
        <v>#NAME?</v>
      </c>
      <c r="N81" s="78" t="e">
        <f t="shared" ca="1" si="9"/>
        <v>#NAME?</v>
      </c>
      <c r="AI81" s="69">
        <v>54</v>
      </c>
      <c r="AJ81" s="1">
        <v>835348</v>
      </c>
      <c r="AK81" s="70">
        <f t="shared" si="15"/>
        <v>1.2583976977259777E-2</v>
      </c>
      <c r="AL81" s="72">
        <f t="shared" si="16"/>
        <v>10512</v>
      </c>
    </row>
    <row r="82" spans="1:38" x14ac:dyDescent="0.25">
      <c r="A82" s="79"/>
      <c r="B82" s="108" t="e">
        <f t="shared" ca="1" si="12"/>
        <v>#NAME?</v>
      </c>
      <c r="C82" s="109" t="e">
        <f t="shared" ca="1" si="13"/>
        <v>#NAME?</v>
      </c>
      <c r="D82" s="110" t="e">
        <f t="shared" ca="1" si="0"/>
        <v>#NAME?</v>
      </c>
      <c r="E82" s="111" t="e">
        <f t="shared" ca="1" si="1"/>
        <v>#NAME?</v>
      </c>
      <c r="F82" s="110" t="e">
        <f t="shared" ca="1" si="2"/>
        <v>#NAME?</v>
      </c>
      <c r="G82" s="112" t="e">
        <f t="shared" ca="1" si="14"/>
        <v>#NAME?</v>
      </c>
      <c r="H82" s="113" t="e">
        <f t="shared" ca="1" si="3"/>
        <v>#NAME?</v>
      </c>
      <c r="I82" s="79" t="e">
        <f t="shared" ca="1" si="4"/>
        <v>#NAME?</v>
      </c>
      <c r="J82" s="115" t="e">
        <f t="shared" ca="1" si="5"/>
        <v>#NAME?</v>
      </c>
      <c r="K82" s="78" t="e">
        <f t="shared" ca="1" si="6"/>
        <v>#NAME?</v>
      </c>
      <c r="L82" s="78" t="e">
        <f t="shared" ca="1" si="7"/>
        <v>#NAME?</v>
      </c>
      <c r="M82" s="78" t="e">
        <f t="shared" ca="1" si="8"/>
        <v>#NAME?</v>
      </c>
      <c r="N82" s="78" t="e">
        <f t="shared" ca="1" si="9"/>
        <v>#NAME?</v>
      </c>
      <c r="AI82" s="69">
        <v>55</v>
      </c>
      <c r="AJ82" s="1">
        <v>824836</v>
      </c>
      <c r="AK82" s="70">
        <f t="shared" si="15"/>
        <v>1.3711816652037495E-2</v>
      </c>
      <c r="AL82" s="72">
        <f t="shared" si="16"/>
        <v>11310</v>
      </c>
    </row>
    <row r="83" spans="1:38" x14ac:dyDescent="0.25">
      <c r="A83" s="79"/>
      <c r="B83" s="108" t="e">
        <f t="shared" ca="1" si="12"/>
        <v>#NAME?</v>
      </c>
      <c r="C83" s="109" t="e">
        <f t="shared" ca="1" si="13"/>
        <v>#NAME?</v>
      </c>
      <c r="D83" s="110" t="e">
        <f t="shared" ca="1" si="0"/>
        <v>#NAME?</v>
      </c>
      <c r="E83" s="111" t="e">
        <f t="shared" ca="1" si="1"/>
        <v>#NAME?</v>
      </c>
      <c r="F83" s="110" t="e">
        <f t="shared" ca="1" si="2"/>
        <v>#NAME?</v>
      </c>
      <c r="G83" s="112" t="e">
        <f t="shared" ca="1" si="14"/>
        <v>#NAME?</v>
      </c>
      <c r="H83" s="113" t="e">
        <f t="shared" ca="1" si="3"/>
        <v>#NAME?</v>
      </c>
      <c r="I83" s="79" t="e">
        <f t="shared" ca="1" si="4"/>
        <v>#NAME?</v>
      </c>
      <c r="J83" s="115" t="e">
        <f t="shared" ca="1" si="5"/>
        <v>#NAME?</v>
      </c>
      <c r="K83" s="78" t="e">
        <f t="shared" ca="1" si="6"/>
        <v>#NAME?</v>
      </c>
      <c r="L83" s="78" t="e">
        <f t="shared" ca="1" si="7"/>
        <v>#NAME?</v>
      </c>
      <c r="M83" s="78" t="e">
        <f t="shared" ca="1" si="8"/>
        <v>#NAME?</v>
      </c>
      <c r="N83" s="78" t="e">
        <f t="shared" ca="1" si="9"/>
        <v>#NAME?</v>
      </c>
      <c r="AI83" s="69">
        <v>56</v>
      </c>
      <c r="AJ83" s="1">
        <v>813526</v>
      </c>
      <c r="AK83" s="70">
        <f t="shared" si="15"/>
        <v>1.4944820448270861E-2</v>
      </c>
      <c r="AL83" s="72">
        <f t="shared" si="16"/>
        <v>12158</v>
      </c>
    </row>
    <row r="84" spans="1:38" x14ac:dyDescent="0.25">
      <c r="A84" s="79"/>
      <c r="B84" s="108" t="e">
        <f t="shared" ca="1" si="12"/>
        <v>#NAME?</v>
      </c>
      <c r="C84" s="109" t="e">
        <f t="shared" ca="1" si="13"/>
        <v>#NAME?</v>
      </c>
      <c r="D84" s="110" t="e">
        <f t="shared" ca="1" si="0"/>
        <v>#NAME?</v>
      </c>
      <c r="E84" s="111" t="e">
        <f t="shared" ca="1" si="1"/>
        <v>#NAME?</v>
      </c>
      <c r="F84" s="110" t="e">
        <f t="shared" ca="1" si="2"/>
        <v>#NAME?</v>
      </c>
      <c r="G84" s="112" t="e">
        <f t="shared" ca="1" si="14"/>
        <v>#NAME?</v>
      </c>
      <c r="H84" s="113" t="e">
        <f t="shared" ca="1" si="3"/>
        <v>#NAME?</v>
      </c>
      <c r="I84" s="79" t="e">
        <f t="shared" ca="1" si="4"/>
        <v>#NAME?</v>
      </c>
      <c r="J84" s="115" t="e">
        <f t="shared" ca="1" si="5"/>
        <v>#NAME?</v>
      </c>
      <c r="K84" s="78" t="e">
        <f t="shared" ca="1" si="6"/>
        <v>#NAME?</v>
      </c>
      <c r="L84" s="78" t="e">
        <f t="shared" ca="1" si="7"/>
        <v>#NAME?</v>
      </c>
      <c r="M84" s="78" t="e">
        <f t="shared" ca="1" si="8"/>
        <v>#NAME?</v>
      </c>
      <c r="N84" s="78" t="e">
        <f t="shared" ca="1" si="9"/>
        <v>#NAME?</v>
      </c>
      <c r="AI84" s="69">
        <v>57</v>
      </c>
      <c r="AJ84" s="1">
        <v>801368</v>
      </c>
      <c r="AK84" s="70">
        <f t="shared" si="15"/>
        <v>1.628964470755009E-2</v>
      </c>
      <c r="AL84" s="72">
        <f t="shared" si="16"/>
        <v>13054</v>
      </c>
    </row>
    <row r="85" spans="1:38" x14ac:dyDescent="0.25">
      <c r="A85" s="79"/>
      <c r="B85" s="108" t="e">
        <f t="shared" ca="1" si="12"/>
        <v>#NAME?</v>
      </c>
      <c r="C85" s="109" t="e">
        <f t="shared" ca="1" si="13"/>
        <v>#NAME?</v>
      </c>
      <c r="D85" s="110" t="e">
        <f t="shared" ca="1" si="0"/>
        <v>#NAME?</v>
      </c>
      <c r="E85" s="111" t="e">
        <f t="shared" ca="1" si="1"/>
        <v>#NAME?</v>
      </c>
      <c r="F85" s="110" t="e">
        <f t="shared" ca="1" si="2"/>
        <v>#NAME?</v>
      </c>
      <c r="G85" s="112" t="e">
        <f t="shared" ca="1" si="14"/>
        <v>#NAME?</v>
      </c>
      <c r="H85" s="113" t="e">
        <f t="shared" ca="1" si="3"/>
        <v>#NAME?</v>
      </c>
      <c r="I85" s="79" t="e">
        <f t="shared" ca="1" si="4"/>
        <v>#NAME?</v>
      </c>
      <c r="J85" s="115" t="e">
        <f t="shared" ca="1" si="5"/>
        <v>#NAME?</v>
      </c>
      <c r="K85" s="78" t="e">
        <f t="shared" ca="1" si="6"/>
        <v>#NAME?</v>
      </c>
      <c r="L85" s="78" t="e">
        <f t="shared" ca="1" si="7"/>
        <v>#NAME?</v>
      </c>
      <c r="M85" s="78" t="e">
        <f t="shared" ca="1" si="8"/>
        <v>#NAME?</v>
      </c>
      <c r="N85" s="78" t="e">
        <f t="shared" ca="1" si="9"/>
        <v>#NAME?</v>
      </c>
      <c r="AI85" s="69">
        <v>58</v>
      </c>
      <c r="AJ85" s="1">
        <v>788314</v>
      </c>
      <c r="AK85" s="70">
        <f t="shared" si="15"/>
        <v>1.7759420738436716E-2</v>
      </c>
      <c r="AL85" s="72">
        <f t="shared" si="16"/>
        <v>14000</v>
      </c>
    </row>
    <row r="86" spans="1:38" x14ac:dyDescent="0.25">
      <c r="A86" s="79"/>
      <c r="B86" s="108" t="e">
        <f t="shared" ca="1" si="12"/>
        <v>#NAME?</v>
      </c>
      <c r="C86" s="109" t="e">
        <f t="shared" ca="1" si="13"/>
        <v>#NAME?</v>
      </c>
      <c r="D86" s="110" t="e">
        <f t="shared" ca="1" si="0"/>
        <v>#NAME?</v>
      </c>
      <c r="E86" s="111" t="e">
        <f t="shared" ca="1" si="1"/>
        <v>#NAME?</v>
      </c>
      <c r="F86" s="110" t="e">
        <f t="shared" ca="1" si="2"/>
        <v>#NAME?</v>
      </c>
      <c r="G86" s="112" t="e">
        <f t="shared" ca="1" si="14"/>
        <v>#NAME?</v>
      </c>
      <c r="H86" s="113" t="e">
        <f t="shared" ca="1" si="3"/>
        <v>#NAME?</v>
      </c>
      <c r="I86" s="79" t="e">
        <f t="shared" ca="1" si="4"/>
        <v>#NAME?</v>
      </c>
      <c r="J86" s="115" t="e">
        <f t="shared" ca="1" si="5"/>
        <v>#NAME?</v>
      </c>
      <c r="K86" s="78" t="e">
        <f t="shared" ca="1" si="6"/>
        <v>#NAME?</v>
      </c>
      <c r="L86" s="78" t="e">
        <f t="shared" ca="1" si="7"/>
        <v>#NAME?</v>
      </c>
      <c r="M86" s="78" t="e">
        <f t="shared" ca="1" si="8"/>
        <v>#NAME?</v>
      </c>
      <c r="N86" s="78" t="e">
        <f t="shared" ca="1" si="9"/>
        <v>#NAME?</v>
      </c>
      <c r="AI86" s="69">
        <v>59</v>
      </c>
      <c r="AJ86" s="1">
        <v>774314</v>
      </c>
      <c r="AK86" s="70">
        <f t="shared" si="15"/>
        <v>1.9361654315949342E-2</v>
      </c>
      <c r="AL86" s="72">
        <f t="shared" si="16"/>
        <v>14992</v>
      </c>
    </row>
    <row r="87" spans="1:38" x14ac:dyDescent="0.25">
      <c r="A87" s="79"/>
      <c r="B87" s="108" t="e">
        <f t="shared" ca="1" si="12"/>
        <v>#NAME?</v>
      </c>
      <c r="C87" s="109" t="e">
        <f t="shared" ca="1" si="13"/>
        <v>#NAME?</v>
      </c>
      <c r="D87" s="110" t="e">
        <f t="shared" ca="1" si="0"/>
        <v>#NAME?</v>
      </c>
      <c r="E87" s="111" t="e">
        <f t="shared" ca="1" si="1"/>
        <v>#NAME?</v>
      </c>
      <c r="F87" s="110" t="e">
        <f t="shared" ca="1" si="2"/>
        <v>#NAME?</v>
      </c>
      <c r="G87" s="112" t="e">
        <f t="shared" ca="1" si="14"/>
        <v>#NAME?</v>
      </c>
      <c r="H87" s="113" t="e">
        <f t="shared" ca="1" si="3"/>
        <v>#NAME?</v>
      </c>
      <c r="I87" s="79" t="e">
        <f t="shared" ca="1" si="4"/>
        <v>#NAME?</v>
      </c>
      <c r="J87" s="115" t="e">
        <f t="shared" ca="1" si="5"/>
        <v>#NAME?</v>
      </c>
      <c r="K87" s="78" t="e">
        <f t="shared" ca="1" si="6"/>
        <v>#NAME?</v>
      </c>
      <c r="L87" s="78" t="e">
        <f t="shared" ca="1" si="7"/>
        <v>#NAME?</v>
      </c>
      <c r="M87" s="78" t="e">
        <f t="shared" ca="1" si="8"/>
        <v>#NAME?</v>
      </c>
      <c r="N87" s="78" t="e">
        <f t="shared" ca="1" si="9"/>
        <v>#NAME?</v>
      </c>
      <c r="AI87" s="69">
        <v>60</v>
      </c>
      <c r="AJ87" s="1">
        <v>759322</v>
      </c>
      <c r="AK87" s="70">
        <f t="shared" si="15"/>
        <v>2.11096214781081E-2</v>
      </c>
      <c r="AL87" s="72">
        <f t="shared" si="16"/>
        <v>16029</v>
      </c>
    </row>
    <row r="88" spans="1:38" x14ac:dyDescent="0.25">
      <c r="A88" s="79"/>
      <c r="B88" s="108" t="e">
        <f t="shared" ca="1" si="12"/>
        <v>#NAME?</v>
      </c>
      <c r="C88" s="109" t="e">
        <f t="shared" ca="1" si="13"/>
        <v>#NAME?</v>
      </c>
      <c r="D88" s="110" t="e">
        <f t="shared" ca="1" si="0"/>
        <v>#NAME?</v>
      </c>
      <c r="E88" s="111" t="e">
        <f t="shared" ca="1" si="1"/>
        <v>#NAME?</v>
      </c>
      <c r="F88" s="110" t="e">
        <f t="shared" ca="1" si="2"/>
        <v>#NAME?</v>
      </c>
      <c r="G88" s="112" t="e">
        <f t="shared" ca="1" si="14"/>
        <v>#NAME?</v>
      </c>
      <c r="H88" s="113" t="e">
        <f t="shared" ca="1" si="3"/>
        <v>#NAME?</v>
      </c>
      <c r="I88" s="79" t="e">
        <f t="shared" ca="1" si="4"/>
        <v>#NAME?</v>
      </c>
      <c r="J88" s="115" t="e">
        <f t="shared" ca="1" si="5"/>
        <v>#NAME?</v>
      </c>
      <c r="K88" s="78" t="e">
        <f t="shared" ca="1" si="6"/>
        <v>#NAME?</v>
      </c>
      <c r="L88" s="78" t="e">
        <f t="shared" ca="1" si="7"/>
        <v>#NAME?</v>
      </c>
      <c r="M88" s="78" t="e">
        <f t="shared" ca="1" si="8"/>
        <v>#NAME?</v>
      </c>
      <c r="N88" s="78" t="e">
        <f t="shared" ca="1" si="9"/>
        <v>#NAME?</v>
      </c>
      <c r="AI88" s="69">
        <v>61</v>
      </c>
      <c r="AJ88" s="1">
        <v>743293</v>
      </c>
      <c r="AK88" s="70">
        <f t="shared" si="15"/>
        <v>2.301918624284098E-2</v>
      </c>
      <c r="AL88" s="72">
        <f t="shared" si="16"/>
        <v>17110</v>
      </c>
    </row>
    <row r="89" spans="1:38" x14ac:dyDescent="0.25">
      <c r="A89" s="79"/>
      <c r="B89" s="108" t="e">
        <f t="shared" ca="1" si="12"/>
        <v>#NAME?</v>
      </c>
      <c r="C89" s="109" t="e">
        <f t="shared" ca="1" si="13"/>
        <v>#NAME?</v>
      </c>
      <c r="D89" s="110" t="e">
        <f t="shared" ca="1" si="0"/>
        <v>#NAME?</v>
      </c>
      <c r="E89" s="111" t="e">
        <f t="shared" ca="1" si="1"/>
        <v>#NAME?</v>
      </c>
      <c r="F89" s="110" t="e">
        <f t="shared" ca="1" si="2"/>
        <v>#NAME?</v>
      </c>
      <c r="G89" s="112" t="e">
        <f t="shared" ca="1" si="14"/>
        <v>#NAME?</v>
      </c>
      <c r="H89" s="113" t="e">
        <f t="shared" ca="1" si="3"/>
        <v>#NAME?</v>
      </c>
      <c r="I89" s="79" t="e">
        <f t="shared" ca="1" si="4"/>
        <v>#NAME?</v>
      </c>
      <c r="J89" s="115" t="e">
        <f t="shared" ca="1" si="5"/>
        <v>#NAME?</v>
      </c>
      <c r="K89" s="78" t="e">
        <f t="shared" ca="1" si="6"/>
        <v>#NAME?</v>
      </c>
      <c r="L89" s="78" t="e">
        <f t="shared" ca="1" si="7"/>
        <v>#NAME?</v>
      </c>
      <c r="M89" s="78" t="e">
        <f t="shared" ca="1" si="8"/>
        <v>#NAME?</v>
      </c>
      <c r="N89" s="78" t="e">
        <f t="shared" ca="1" si="9"/>
        <v>#NAME?</v>
      </c>
      <c r="AI89" s="69">
        <v>62</v>
      </c>
      <c r="AJ89" s="1">
        <v>726183</v>
      </c>
      <c r="AK89" s="70">
        <f t="shared" si="15"/>
        <v>2.5095602623581108E-2</v>
      </c>
      <c r="AL89" s="72">
        <f t="shared" si="16"/>
        <v>18224</v>
      </c>
    </row>
    <row r="90" spans="1:38" x14ac:dyDescent="0.25">
      <c r="A90" s="79"/>
      <c r="B90" s="108" t="e">
        <f t="shared" ca="1" si="12"/>
        <v>#NAME?</v>
      </c>
      <c r="C90" s="109" t="e">
        <f t="shared" ca="1" si="13"/>
        <v>#NAME?</v>
      </c>
      <c r="D90" s="110" t="e">
        <f t="shared" ca="1" si="0"/>
        <v>#NAME?</v>
      </c>
      <c r="E90" s="111" t="e">
        <f t="shared" ca="1" si="1"/>
        <v>#NAME?</v>
      </c>
      <c r="F90" s="110" t="e">
        <f t="shared" ca="1" si="2"/>
        <v>#NAME?</v>
      </c>
      <c r="G90" s="112" t="e">
        <f t="shared" ca="1" si="14"/>
        <v>#NAME?</v>
      </c>
      <c r="H90" s="113" t="e">
        <f t="shared" ca="1" si="3"/>
        <v>#NAME?</v>
      </c>
      <c r="I90" s="79" t="e">
        <f t="shared" ca="1" si="4"/>
        <v>#NAME?</v>
      </c>
      <c r="J90" s="115" t="e">
        <f t="shared" ca="1" si="5"/>
        <v>#NAME?</v>
      </c>
      <c r="K90" s="78" t="e">
        <f t="shared" ca="1" si="6"/>
        <v>#NAME?</v>
      </c>
      <c r="L90" s="78" t="e">
        <f t="shared" ca="1" si="7"/>
        <v>#NAME?</v>
      </c>
      <c r="M90" s="78" t="e">
        <f t="shared" ca="1" si="8"/>
        <v>#NAME?</v>
      </c>
      <c r="N90" s="78" t="e">
        <f t="shared" ca="1" si="9"/>
        <v>#NAME?</v>
      </c>
      <c r="AI90" s="69">
        <v>63</v>
      </c>
      <c r="AJ90" s="1">
        <v>707959</v>
      </c>
      <c r="AK90" s="70">
        <f t="shared" si="15"/>
        <v>2.7374466600466975E-2</v>
      </c>
      <c r="AL90" s="72">
        <f t="shared" si="16"/>
        <v>19380</v>
      </c>
    </row>
    <row r="91" spans="1:38" x14ac:dyDescent="0.25">
      <c r="A91" s="79"/>
      <c r="B91" s="108" t="e">
        <f t="shared" ca="1" si="12"/>
        <v>#NAME?</v>
      </c>
      <c r="C91" s="109" t="e">
        <f t="shared" ca="1" si="13"/>
        <v>#NAME?</v>
      </c>
      <c r="D91" s="110" t="e">
        <f t="shared" ref="D91:D154" ca="1" si="17">montantcapital*J91*(1+i_2)^(-0.5)*(1+t_2)*(1+FraisF)</f>
        <v>#NAME?</v>
      </c>
      <c r="E91" s="111" t="e">
        <f t="shared" ref="E91:E154" ca="1" si="18">ROUND(D91*TxPer,NbDeci)</f>
        <v>#NAME?</v>
      </c>
      <c r="F91" s="110" t="e">
        <f t="shared" ref="F91:F154" ca="1" si="19">IF(B91&lt;=Différé,0,IF(B91&gt;=NbEch+Différé,D91,MtEch-E91))</f>
        <v>#NAME?</v>
      </c>
      <c r="G91" s="112" t="e">
        <f t="shared" ca="1" si="14"/>
        <v>#NAME?</v>
      </c>
      <c r="H91" s="113" t="e">
        <f t="shared" ref="H91:H154" ca="1" si="20">SUM(E91:G91)</f>
        <v>#NAME?</v>
      </c>
      <c r="I91" s="79" t="e">
        <f t="shared" ref="I91:I154" ca="1" si="21">DATEDIF(datenaissance,C91,"y")</f>
        <v>#NAME?</v>
      </c>
      <c r="J91" s="115" t="e">
        <f t="shared" ref="J91:J154" ca="1" si="22">reche18(I91)</f>
        <v>#NAME?</v>
      </c>
      <c r="K91" s="78" t="e">
        <f t="shared" ref="K91:K154" ca="1" si="23">montantcapital*(J91*(1+TxPer)^(-0.5))</f>
        <v>#NAME?</v>
      </c>
      <c r="L91" s="78" t="e">
        <f t="shared" ref="L91:L154" ca="1" si="24">K91*fg</f>
        <v>#NAME?</v>
      </c>
      <c r="M91" s="78" t="e">
        <f t="shared" ref="M91:M154" ca="1" si="25">K91*fraisacquisition</f>
        <v>#NAME?</v>
      </c>
      <c r="N91" s="78" t="e">
        <f t="shared" ref="N91:N154" ca="1" si="26">tf*K91</f>
        <v>#NAME?</v>
      </c>
      <c r="AI91" s="69">
        <v>64</v>
      </c>
      <c r="AJ91" s="1">
        <v>688579</v>
      </c>
      <c r="AK91" s="70">
        <f t="shared" ref="AK91:AK122" si="27">IF(AJ91=0,1,AL91/AJ91)</f>
        <v>2.9846974711688855E-2</v>
      </c>
      <c r="AL91" s="72">
        <f t="shared" ref="AL91:AL122" si="28">+AJ91-AJ92</f>
        <v>20552</v>
      </c>
    </row>
    <row r="92" spans="1:38" x14ac:dyDescent="0.25">
      <c r="A92" s="79"/>
      <c r="B92" s="108" t="e">
        <f t="shared" ref="B92:B155" ca="1" si="29">IF(D92=0,"",B91+1)</f>
        <v>#NAME?</v>
      </c>
      <c r="C92" s="109" t="e">
        <f t="shared" ref="C92:C155" ca="1" si="30">IF(D92=0,"",DATE(YEAR(C91),MONTH(C91)+12/NbEchAn,1))</f>
        <v>#NAME?</v>
      </c>
      <c r="D92" s="110" t="e">
        <f t="shared" ca="1" si="17"/>
        <v>#NAME?</v>
      </c>
      <c r="E92" s="111" t="e">
        <f t="shared" ca="1" si="18"/>
        <v>#NAME?</v>
      </c>
      <c r="F92" s="110" t="e">
        <f t="shared" ca="1" si="19"/>
        <v>#NAME?</v>
      </c>
      <c r="G92" s="112" t="e">
        <f t="shared" ref="G92:G155" ca="1" si="31">IF(D92=0,0,ROUND(FraisF+FraisV*D92,NbDeci))</f>
        <v>#NAME?</v>
      </c>
      <c r="H92" s="113" t="e">
        <f t="shared" ca="1" si="20"/>
        <v>#NAME?</v>
      </c>
      <c r="I92" s="79" t="e">
        <f t="shared" ca="1" si="21"/>
        <v>#NAME?</v>
      </c>
      <c r="J92" s="115" t="e">
        <f t="shared" ca="1" si="22"/>
        <v>#NAME?</v>
      </c>
      <c r="K92" s="78" t="e">
        <f t="shared" ca="1" si="23"/>
        <v>#NAME?</v>
      </c>
      <c r="L92" s="78" t="e">
        <f t="shared" ca="1" si="24"/>
        <v>#NAME?</v>
      </c>
      <c r="M92" s="78" t="e">
        <f t="shared" ca="1" si="25"/>
        <v>#NAME?</v>
      </c>
      <c r="N92" s="78" t="e">
        <f t="shared" ca="1" si="26"/>
        <v>#NAME?</v>
      </c>
      <c r="AI92" s="69">
        <v>65</v>
      </c>
      <c r="AJ92" s="1">
        <v>668027</v>
      </c>
      <c r="AK92" s="70">
        <f t="shared" si="27"/>
        <v>3.2545091740303907E-2</v>
      </c>
      <c r="AL92" s="72">
        <f t="shared" si="28"/>
        <v>21741</v>
      </c>
    </row>
    <row r="93" spans="1:38" x14ac:dyDescent="0.25">
      <c r="A93" s="79"/>
      <c r="B93" s="108" t="e">
        <f t="shared" ca="1" si="29"/>
        <v>#NAME?</v>
      </c>
      <c r="C93" s="109" t="e">
        <f t="shared" ca="1" si="30"/>
        <v>#NAME?</v>
      </c>
      <c r="D93" s="110" t="e">
        <f t="shared" ca="1" si="17"/>
        <v>#NAME?</v>
      </c>
      <c r="E93" s="111" t="e">
        <f t="shared" ca="1" si="18"/>
        <v>#NAME?</v>
      </c>
      <c r="F93" s="110" t="e">
        <f t="shared" ca="1" si="19"/>
        <v>#NAME?</v>
      </c>
      <c r="G93" s="112" t="e">
        <f t="shared" ca="1" si="31"/>
        <v>#NAME?</v>
      </c>
      <c r="H93" s="113" t="e">
        <f t="shared" ca="1" si="20"/>
        <v>#NAME?</v>
      </c>
      <c r="I93" s="79" t="e">
        <f t="shared" ca="1" si="21"/>
        <v>#NAME?</v>
      </c>
      <c r="J93" s="115" t="e">
        <f t="shared" ca="1" si="22"/>
        <v>#NAME?</v>
      </c>
      <c r="K93" s="78" t="e">
        <f t="shared" ca="1" si="23"/>
        <v>#NAME?</v>
      </c>
      <c r="L93" s="78" t="e">
        <f t="shared" ca="1" si="24"/>
        <v>#NAME?</v>
      </c>
      <c r="M93" s="78" t="e">
        <f t="shared" ca="1" si="25"/>
        <v>#NAME?</v>
      </c>
      <c r="N93" s="78" t="e">
        <f t="shared" ca="1" si="26"/>
        <v>#NAME?</v>
      </c>
      <c r="AI93" s="69">
        <v>66</v>
      </c>
      <c r="AJ93" s="1">
        <v>646286</v>
      </c>
      <c r="AK93" s="70">
        <f t="shared" si="27"/>
        <v>3.5485837539417531E-2</v>
      </c>
      <c r="AL93" s="72">
        <f t="shared" si="28"/>
        <v>22934</v>
      </c>
    </row>
    <row r="94" spans="1:38" x14ac:dyDescent="0.25">
      <c r="A94" s="79"/>
      <c r="B94" s="108" t="e">
        <f t="shared" ca="1" si="29"/>
        <v>#NAME?</v>
      </c>
      <c r="C94" s="109" t="e">
        <f t="shared" ca="1" si="30"/>
        <v>#NAME?</v>
      </c>
      <c r="D94" s="110" t="e">
        <f t="shared" ca="1" si="17"/>
        <v>#NAME?</v>
      </c>
      <c r="E94" s="111" t="e">
        <f t="shared" ca="1" si="18"/>
        <v>#NAME?</v>
      </c>
      <c r="F94" s="110" t="e">
        <f t="shared" ca="1" si="19"/>
        <v>#NAME?</v>
      </c>
      <c r="G94" s="112" t="e">
        <f t="shared" ca="1" si="31"/>
        <v>#NAME?</v>
      </c>
      <c r="H94" s="113" t="e">
        <f t="shared" ca="1" si="20"/>
        <v>#NAME?</v>
      </c>
      <c r="I94" s="79" t="e">
        <f t="shared" ca="1" si="21"/>
        <v>#NAME?</v>
      </c>
      <c r="J94" s="115" t="e">
        <f t="shared" ca="1" si="22"/>
        <v>#NAME?</v>
      </c>
      <c r="K94" s="78" t="e">
        <f t="shared" ca="1" si="23"/>
        <v>#NAME?</v>
      </c>
      <c r="L94" s="78" t="e">
        <f t="shared" ca="1" si="24"/>
        <v>#NAME?</v>
      </c>
      <c r="M94" s="78" t="e">
        <f t="shared" ca="1" si="25"/>
        <v>#NAME?</v>
      </c>
      <c r="N94" s="78" t="e">
        <f t="shared" ca="1" si="26"/>
        <v>#NAME?</v>
      </c>
      <c r="AI94" s="69">
        <v>67</v>
      </c>
      <c r="AJ94" s="1">
        <v>623352</v>
      </c>
      <c r="AK94" s="70">
        <f t="shared" si="27"/>
        <v>3.8692424184088602E-2</v>
      </c>
      <c r="AL94" s="72">
        <f t="shared" si="28"/>
        <v>24119</v>
      </c>
    </row>
    <row r="95" spans="1:38" x14ac:dyDescent="0.25">
      <c r="A95" s="79"/>
      <c r="B95" s="108" t="e">
        <f t="shared" ca="1" si="29"/>
        <v>#NAME?</v>
      </c>
      <c r="C95" s="109" t="e">
        <f t="shared" ca="1" si="30"/>
        <v>#NAME?</v>
      </c>
      <c r="D95" s="110" t="e">
        <f t="shared" ca="1" si="17"/>
        <v>#NAME?</v>
      </c>
      <c r="E95" s="111" t="e">
        <f t="shared" ca="1" si="18"/>
        <v>#NAME?</v>
      </c>
      <c r="F95" s="110" t="e">
        <f t="shared" ca="1" si="19"/>
        <v>#NAME?</v>
      </c>
      <c r="G95" s="112" t="e">
        <f t="shared" ca="1" si="31"/>
        <v>#NAME?</v>
      </c>
      <c r="H95" s="113" t="e">
        <f t="shared" ca="1" si="20"/>
        <v>#NAME?</v>
      </c>
      <c r="I95" s="79" t="e">
        <f t="shared" ca="1" si="21"/>
        <v>#NAME?</v>
      </c>
      <c r="J95" s="115" t="e">
        <f t="shared" ca="1" si="22"/>
        <v>#NAME?</v>
      </c>
      <c r="K95" s="78" t="e">
        <f t="shared" ca="1" si="23"/>
        <v>#NAME?</v>
      </c>
      <c r="L95" s="78" t="e">
        <f t="shared" ca="1" si="24"/>
        <v>#NAME?</v>
      </c>
      <c r="M95" s="78" t="e">
        <f t="shared" ca="1" si="25"/>
        <v>#NAME?</v>
      </c>
      <c r="N95" s="78" t="e">
        <f t="shared" ca="1" si="26"/>
        <v>#NAME?</v>
      </c>
      <c r="AI95" s="69">
        <v>68</v>
      </c>
      <c r="AJ95" s="1">
        <v>599233</v>
      </c>
      <c r="AK95" s="70">
        <f t="shared" si="27"/>
        <v>4.2183925117608677E-2</v>
      </c>
      <c r="AL95" s="72">
        <f t="shared" si="28"/>
        <v>25278</v>
      </c>
    </row>
    <row r="96" spans="1:38" x14ac:dyDescent="0.25">
      <c r="A96" s="79"/>
      <c r="B96" s="108" t="e">
        <f t="shared" ca="1" si="29"/>
        <v>#NAME?</v>
      </c>
      <c r="C96" s="109" t="e">
        <f t="shared" ca="1" si="30"/>
        <v>#NAME?</v>
      </c>
      <c r="D96" s="110" t="e">
        <f t="shared" ca="1" si="17"/>
        <v>#NAME?</v>
      </c>
      <c r="E96" s="111" t="e">
        <f t="shared" ca="1" si="18"/>
        <v>#NAME?</v>
      </c>
      <c r="F96" s="110" t="e">
        <f t="shared" ca="1" si="19"/>
        <v>#NAME?</v>
      </c>
      <c r="G96" s="112" t="e">
        <f t="shared" ca="1" si="31"/>
        <v>#NAME?</v>
      </c>
      <c r="H96" s="113" t="e">
        <f t="shared" ca="1" si="20"/>
        <v>#NAME?</v>
      </c>
      <c r="I96" s="79" t="e">
        <f t="shared" ca="1" si="21"/>
        <v>#NAME?</v>
      </c>
      <c r="J96" s="115" t="e">
        <f t="shared" ca="1" si="22"/>
        <v>#NAME?</v>
      </c>
      <c r="K96" s="78" t="e">
        <f t="shared" ca="1" si="23"/>
        <v>#NAME?</v>
      </c>
      <c r="L96" s="78" t="e">
        <f t="shared" ca="1" si="24"/>
        <v>#NAME?</v>
      </c>
      <c r="M96" s="78" t="e">
        <f t="shared" ca="1" si="25"/>
        <v>#NAME?</v>
      </c>
      <c r="N96" s="78" t="e">
        <f t="shared" ca="1" si="26"/>
        <v>#NAME?</v>
      </c>
      <c r="AI96" s="69">
        <v>69</v>
      </c>
      <c r="AJ96" s="1">
        <v>573955</v>
      </c>
      <c r="AK96" s="70">
        <f t="shared" si="27"/>
        <v>4.5984441288951225E-2</v>
      </c>
      <c r="AL96" s="72">
        <f t="shared" si="28"/>
        <v>26393</v>
      </c>
    </row>
    <row r="97" spans="1:38" x14ac:dyDescent="0.25">
      <c r="A97" s="79"/>
      <c r="B97" s="108" t="e">
        <f t="shared" ca="1" si="29"/>
        <v>#NAME?</v>
      </c>
      <c r="C97" s="109" t="e">
        <f t="shared" ca="1" si="30"/>
        <v>#NAME?</v>
      </c>
      <c r="D97" s="110" t="e">
        <f t="shared" ca="1" si="17"/>
        <v>#NAME?</v>
      </c>
      <c r="E97" s="111" t="e">
        <f t="shared" ca="1" si="18"/>
        <v>#NAME?</v>
      </c>
      <c r="F97" s="110" t="e">
        <f t="shared" ca="1" si="19"/>
        <v>#NAME?</v>
      </c>
      <c r="G97" s="112" t="e">
        <f t="shared" ca="1" si="31"/>
        <v>#NAME?</v>
      </c>
      <c r="H97" s="113" t="e">
        <f t="shared" ca="1" si="20"/>
        <v>#NAME?</v>
      </c>
      <c r="I97" s="79" t="e">
        <f t="shared" ca="1" si="21"/>
        <v>#NAME?</v>
      </c>
      <c r="J97" s="115" t="e">
        <f t="shared" ca="1" si="22"/>
        <v>#NAME?</v>
      </c>
      <c r="K97" s="78" t="e">
        <f t="shared" ca="1" si="23"/>
        <v>#NAME?</v>
      </c>
      <c r="L97" s="78" t="e">
        <f t="shared" ca="1" si="24"/>
        <v>#NAME?</v>
      </c>
      <c r="M97" s="78" t="e">
        <f t="shared" ca="1" si="25"/>
        <v>#NAME?</v>
      </c>
      <c r="N97" s="78" t="e">
        <f t="shared" ca="1" si="26"/>
        <v>#NAME?</v>
      </c>
      <c r="AI97" s="69">
        <v>70</v>
      </c>
      <c r="AJ97" s="1">
        <v>547562</v>
      </c>
      <c r="AK97" s="70">
        <f t="shared" si="27"/>
        <v>5.01240042223529E-2</v>
      </c>
      <c r="AL97" s="72">
        <f t="shared" si="28"/>
        <v>27446</v>
      </c>
    </row>
    <row r="98" spans="1:38" x14ac:dyDescent="0.25">
      <c r="A98" s="79"/>
      <c r="B98" s="108" t="e">
        <f t="shared" ca="1" si="29"/>
        <v>#NAME?</v>
      </c>
      <c r="C98" s="109" t="e">
        <f t="shared" ca="1" si="30"/>
        <v>#NAME?</v>
      </c>
      <c r="D98" s="110" t="e">
        <f t="shared" ca="1" si="17"/>
        <v>#NAME?</v>
      </c>
      <c r="E98" s="111" t="e">
        <f t="shared" ca="1" si="18"/>
        <v>#NAME?</v>
      </c>
      <c r="F98" s="110" t="e">
        <f t="shared" ca="1" si="19"/>
        <v>#NAME?</v>
      </c>
      <c r="G98" s="112" t="e">
        <f t="shared" ca="1" si="31"/>
        <v>#NAME?</v>
      </c>
      <c r="H98" s="113" t="e">
        <f t="shared" ca="1" si="20"/>
        <v>#NAME?</v>
      </c>
      <c r="I98" s="79" t="e">
        <f t="shared" ca="1" si="21"/>
        <v>#NAME?</v>
      </c>
      <c r="J98" s="115" t="e">
        <f t="shared" ca="1" si="22"/>
        <v>#NAME?</v>
      </c>
      <c r="K98" s="78" t="e">
        <f t="shared" ca="1" si="23"/>
        <v>#NAME?</v>
      </c>
      <c r="L98" s="78" t="e">
        <f t="shared" ca="1" si="24"/>
        <v>#NAME?</v>
      </c>
      <c r="M98" s="78" t="e">
        <f t="shared" ca="1" si="25"/>
        <v>#NAME?</v>
      </c>
      <c r="N98" s="78" t="e">
        <f t="shared" ca="1" si="26"/>
        <v>#NAME?</v>
      </c>
      <c r="AI98" s="69">
        <v>71</v>
      </c>
      <c r="AJ98" s="1">
        <v>520116</v>
      </c>
      <c r="AK98" s="70">
        <f t="shared" si="27"/>
        <v>5.4626275676964368E-2</v>
      </c>
      <c r="AL98" s="72">
        <f t="shared" si="28"/>
        <v>28412</v>
      </c>
    </row>
    <row r="99" spans="1:38" x14ac:dyDescent="0.25">
      <c r="A99" s="79"/>
      <c r="B99" s="108" t="e">
        <f t="shared" ca="1" si="29"/>
        <v>#NAME?</v>
      </c>
      <c r="C99" s="109" t="e">
        <f t="shared" ca="1" si="30"/>
        <v>#NAME?</v>
      </c>
      <c r="D99" s="110" t="e">
        <f t="shared" ca="1" si="17"/>
        <v>#NAME?</v>
      </c>
      <c r="E99" s="111" t="e">
        <f t="shared" ca="1" si="18"/>
        <v>#NAME?</v>
      </c>
      <c r="F99" s="110" t="e">
        <f t="shared" ca="1" si="19"/>
        <v>#NAME?</v>
      </c>
      <c r="G99" s="112" t="e">
        <f t="shared" ca="1" si="31"/>
        <v>#NAME?</v>
      </c>
      <c r="H99" s="113" t="e">
        <f t="shared" ca="1" si="20"/>
        <v>#NAME?</v>
      </c>
      <c r="I99" s="79" t="e">
        <f t="shared" ca="1" si="21"/>
        <v>#NAME?</v>
      </c>
      <c r="J99" s="115" t="e">
        <f t="shared" ca="1" si="22"/>
        <v>#NAME?</v>
      </c>
      <c r="K99" s="78" t="e">
        <f t="shared" ca="1" si="23"/>
        <v>#NAME?</v>
      </c>
      <c r="L99" s="78" t="e">
        <f t="shared" ca="1" si="24"/>
        <v>#NAME?</v>
      </c>
      <c r="M99" s="78" t="e">
        <f t="shared" ca="1" si="25"/>
        <v>#NAME?</v>
      </c>
      <c r="N99" s="78" t="e">
        <f t="shared" ca="1" si="26"/>
        <v>#NAME?</v>
      </c>
      <c r="AI99" s="69">
        <v>72</v>
      </c>
      <c r="AJ99" s="1">
        <v>491704</v>
      </c>
      <c r="AK99" s="70">
        <f t="shared" si="27"/>
        <v>5.952564957779477E-2</v>
      </c>
      <c r="AL99" s="72">
        <f t="shared" si="28"/>
        <v>29269</v>
      </c>
    </row>
    <row r="100" spans="1:38" x14ac:dyDescent="0.25">
      <c r="A100" s="79"/>
      <c r="B100" s="108" t="e">
        <f t="shared" ca="1" si="29"/>
        <v>#NAME?</v>
      </c>
      <c r="C100" s="109" t="e">
        <f t="shared" ca="1" si="30"/>
        <v>#NAME?</v>
      </c>
      <c r="D100" s="110" t="e">
        <f t="shared" ca="1" si="17"/>
        <v>#NAME?</v>
      </c>
      <c r="E100" s="111" t="e">
        <f t="shared" ca="1" si="18"/>
        <v>#NAME?</v>
      </c>
      <c r="F100" s="110" t="e">
        <f t="shared" ca="1" si="19"/>
        <v>#NAME?</v>
      </c>
      <c r="G100" s="112" t="e">
        <f t="shared" ca="1" si="31"/>
        <v>#NAME?</v>
      </c>
      <c r="H100" s="113" t="e">
        <f t="shared" ca="1" si="20"/>
        <v>#NAME?</v>
      </c>
      <c r="I100" s="79" t="e">
        <f t="shared" ca="1" si="21"/>
        <v>#NAME?</v>
      </c>
      <c r="J100" s="115" t="e">
        <f t="shared" ca="1" si="22"/>
        <v>#NAME?</v>
      </c>
      <c r="K100" s="78" t="e">
        <f t="shared" ca="1" si="23"/>
        <v>#NAME?</v>
      </c>
      <c r="L100" s="78" t="e">
        <f t="shared" ca="1" si="24"/>
        <v>#NAME?</v>
      </c>
      <c r="M100" s="78" t="e">
        <f t="shared" ca="1" si="25"/>
        <v>#NAME?</v>
      </c>
      <c r="N100" s="78" t="e">
        <f t="shared" ca="1" si="26"/>
        <v>#NAME?</v>
      </c>
      <c r="AI100" s="69">
        <v>73</v>
      </c>
      <c r="AJ100" s="1">
        <v>462435</v>
      </c>
      <c r="AK100" s="70">
        <f t="shared" si="27"/>
        <v>6.4850195162563393E-2</v>
      </c>
      <c r="AL100" s="72">
        <f t="shared" si="28"/>
        <v>29989</v>
      </c>
    </row>
    <row r="101" spans="1:38" x14ac:dyDescent="0.25">
      <c r="A101" s="79"/>
      <c r="B101" s="108" t="e">
        <f t="shared" ca="1" si="29"/>
        <v>#NAME?</v>
      </c>
      <c r="C101" s="109" t="e">
        <f t="shared" ca="1" si="30"/>
        <v>#NAME?</v>
      </c>
      <c r="D101" s="110" t="e">
        <f t="shared" ca="1" si="17"/>
        <v>#NAME?</v>
      </c>
      <c r="E101" s="111" t="e">
        <f t="shared" ca="1" si="18"/>
        <v>#NAME?</v>
      </c>
      <c r="F101" s="110" t="e">
        <f t="shared" ca="1" si="19"/>
        <v>#NAME?</v>
      </c>
      <c r="G101" s="112" t="e">
        <f t="shared" ca="1" si="31"/>
        <v>#NAME?</v>
      </c>
      <c r="H101" s="113" t="e">
        <f t="shared" ca="1" si="20"/>
        <v>#NAME?</v>
      </c>
      <c r="I101" s="79" t="e">
        <f t="shared" ca="1" si="21"/>
        <v>#NAME?</v>
      </c>
      <c r="J101" s="115" t="e">
        <f t="shared" ca="1" si="22"/>
        <v>#NAME?</v>
      </c>
      <c r="K101" s="78" t="e">
        <f t="shared" ca="1" si="23"/>
        <v>#NAME?</v>
      </c>
      <c r="L101" s="78" t="e">
        <f t="shared" ca="1" si="24"/>
        <v>#NAME?</v>
      </c>
      <c r="M101" s="78" t="e">
        <f t="shared" ca="1" si="25"/>
        <v>#NAME?</v>
      </c>
      <c r="N101" s="78" t="e">
        <f t="shared" ca="1" si="26"/>
        <v>#NAME?</v>
      </c>
      <c r="AI101" s="69">
        <v>74</v>
      </c>
      <c r="AJ101" s="1">
        <v>432446</v>
      </c>
      <c r="AK101" s="70">
        <f t="shared" si="27"/>
        <v>7.0637721241496046E-2</v>
      </c>
      <c r="AL101" s="72">
        <f t="shared" si="28"/>
        <v>30547</v>
      </c>
    </row>
    <row r="102" spans="1:38" x14ac:dyDescent="0.25">
      <c r="A102" s="79"/>
      <c r="B102" s="108" t="e">
        <f t="shared" ca="1" si="29"/>
        <v>#NAME?</v>
      </c>
      <c r="C102" s="109" t="e">
        <f t="shared" ca="1" si="30"/>
        <v>#NAME?</v>
      </c>
      <c r="D102" s="110" t="e">
        <f t="shared" ca="1" si="17"/>
        <v>#NAME?</v>
      </c>
      <c r="E102" s="111" t="e">
        <f t="shared" ca="1" si="18"/>
        <v>#NAME?</v>
      </c>
      <c r="F102" s="110" t="e">
        <f t="shared" ca="1" si="19"/>
        <v>#NAME?</v>
      </c>
      <c r="G102" s="112" t="e">
        <f t="shared" ca="1" si="31"/>
        <v>#NAME?</v>
      </c>
      <c r="H102" s="113" t="e">
        <f t="shared" ca="1" si="20"/>
        <v>#NAME?</v>
      </c>
      <c r="I102" s="79" t="e">
        <f t="shared" ca="1" si="21"/>
        <v>#NAME?</v>
      </c>
      <c r="J102" s="115" t="e">
        <f t="shared" ca="1" si="22"/>
        <v>#NAME?</v>
      </c>
      <c r="K102" s="78" t="e">
        <f t="shared" ca="1" si="23"/>
        <v>#NAME?</v>
      </c>
      <c r="L102" s="78" t="e">
        <f t="shared" ca="1" si="24"/>
        <v>#NAME?</v>
      </c>
      <c r="M102" s="78" t="e">
        <f t="shared" ca="1" si="25"/>
        <v>#NAME?</v>
      </c>
      <c r="N102" s="78" t="e">
        <f t="shared" ca="1" si="26"/>
        <v>#NAME?</v>
      </c>
      <c r="AI102" s="69">
        <v>75</v>
      </c>
      <c r="AJ102" s="1">
        <v>401899</v>
      </c>
      <c r="AK102" s="70">
        <f t="shared" si="27"/>
        <v>7.6919823139644544E-2</v>
      </c>
      <c r="AL102" s="72">
        <f t="shared" si="28"/>
        <v>30914</v>
      </c>
    </row>
    <row r="103" spans="1:38" x14ac:dyDescent="0.25">
      <c r="A103" s="79"/>
      <c r="B103" s="108" t="e">
        <f t="shared" ca="1" si="29"/>
        <v>#NAME?</v>
      </c>
      <c r="C103" s="109" t="e">
        <f t="shared" ca="1" si="30"/>
        <v>#NAME?</v>
      </c>
      <c r="D103" s="110" t="e">
        <f t="shared" ca="1" si="17"/>
        <v>#NAME?</v>
      </c>
      <c r="E103" s="111" t="e">
        <f t="shared" ca="1" si="18"/>
        <v>#NAME?</v>
      </c>
      <c r="F103" s="110" t="e">
        <f t="shared" ca="1" si="19"/>
        <v>#NAME?</v>
      </c>
      <c r="G103" s="112" t="e">
        <f t="shared" ca="1" si="31"/>
        <v>#NAME?</v>
      </c>
      <c r="H103" s="113" t="e">
        <f t="shared" ca="1" si="20"/>
        <v>#NAME?</v>
      </c>
      <c r="I103" s="79" t="e">
        <f t="shared" ca="1" si="21"/>
        <v>#NAME?</v>
      </c>
      <c r="J103" s="115" t="e">
        <f t="shared" ca="1" si="22"/>
        <v>#NAME?</v>
      </c>
      <c r="K103" s="78" t="e">
        <f t="shared" ca="1" si="23"/>
        <v>#NAME?</v>
      </c>
      <c r="L103" s="78" t="e">
        <f t="shared" ca="1" si="24"/>
        <v>#NAME?</v>
      </c>
      <c r="M103" s="78" t="e">
        <f t="shared" ca="1" si="25"/>
        <v>#NAME?</v>
      </c>
      <c r="N103" s="78" t="e">
        <f t="shared" ca="1" si="26"/>
        <v>#NAME?</v>
      </c>
      <c r="AI103" s="69">
        <v>76</v>
      </c>
      <c r="AJ103" s="1">
        <v>370985</v>
      </c>
      <c r="AK103" s="70">
        <f t="shared" si="27"/>
        <v>8.3741930266722373E-2</v>
      </c>
      <c r="AL103" s="72">
        <f t="shared" si="28"/>
        <v>31067</v>
      </c>
    </row>
    <row r="104" spans="1:38" x14ac:dyDescent="0.25">
      <c r="A104" s="79"/>
      <c r="B104" s="108" t="e">
        <f t="shared" ca="1" si="29"/>
        <v>#NAME?</v>
      </c>
      <c r="C104" s="109" t="e">
        <f t="shared" ca="1" si="30"/>
        <v>#NAME?</v>
      </c>
      <c r="D104" s="110" t="e">
        <f t="shared" ca="1" si="17"/>
        <v>#NAME?</v>
      </c>
      <c r="E104" s="111" t="e">
        <f t="shared" ca="1" si="18"/>
        <v>#NAME?</v>
      </c>
      <c r="F104" s="110" t="e">
        <f t="shared" ca="1" si="19"/>
        <v>#NAME?</v>
      </c>
      <c r="G104" s="112" t="e">
        <f t="shared" ca="1" si="31"/>
        <v>#NAME?</v>
      </c>
      <c r="H104" s="113" t="e">
        <f t="shared" ca="1" si="20"/>
        <v>#NAME?</v>
      </c>
      <c r="I104" s="79" t="e">
        <f t="shared" ca="1" si="21"/>
        <v>#NAME?</v>
      </c>
      <c r="J104" s="115" t="e">
        <f t="shared" ca="1" si="22"/>
        <v>#NAME?</v>
      </c>
      <c r="K104" s="78" t="e">
        <f t="shared" ca="1" si="23"/>
        <v>#NAME?</v>
      </c>
      <c r="L104" s="78" t="e">
        <f t="shared" ca="1" si="24"/>
        <v>#NAME?</v>
      </c>
      <c r="M104" s="78" t="e">
        <f t="shared" ca="1" si="25"/>
        <v>#NAME?</v>
      </c>
      <c r="N104" s="78" t="e">
        <f t="shared" ca="1" si="26"/>
        <v>#NAME?</v>
      </c>
      <c r="AI104" s="69">
        <v>77</v>
      </c>
      <c r="AJ104" s="1">
        <v>339918</v>
      </c>
      <c r="AK104" s="70">
        <f t="shared" si="27"/>
        <v>9.1139627792585276E-2</v>
      </c>
      <c r="AL104" s="72">
        <f t="shared" si="28"/>
        <v>30980</v>
      </c>
    </row>
    <row r="105" spans="1:38" x14ac:dyDescent="0.25">
      <c r="A105" s="79"/>
      <c r="B105" s="108" t="e">
        <f t="shared" ca="1" si="29"/>
        <v>#NAME?</v>
      </c>
      <c r="C105" s="109" t="e">
        <f t="shared" ca="1" si="30"/>
        <v>#NAME?</v>
      </c>
      <c r="D105" s="110" t="e">
        <f t="shared" ca="1" si="17"/>
        <v>#NAME?</v>
      </c>
      <c r="E105" s="111" t="e">
        <f t="shared" ca="1" si="18"/>
        <v>#NAME?</v>
      </c>
      <c r="F105" s="110" t="e">
        <f t="shared" ca="1" si="19"/>
        <v>#NAME?</v>
      </c>
      <c r="G105" s="112" t="e">
        <f t="shared" ca="1" si="31"/>
        <v>#NAME?</v>
      </c>
      <c r="H105" s="113" t="e">
        <f t="shared" ca="1" si="20"/>
        <v>#NAME?</v>
      </c>
      <c r="I105" s="79" t="e">
        <f t="shared" ca="1" si="21"/>
        <v>#NAME?</v>
      </c>
      <c r="J105" s="115" t="e">
        <f t="shared" ca="1" si="22"/>
        <v>#NAME?</v>
      </c>
      <c r="K105" s="78" t="e">
        <f t="shared" ca="1" si="23"/>
        <v>#NAME?</v>
      </c>
      <c r="L105" s="78" t="e">
        <f t="shared" ca="1" si="24"/>
        <v>#NAME?</v>
      </c>
      <c r="M105" s="78" t="e">
        <f t="shared" ca="1" si="25"/>
        <v>#NAME?</v>
      </c>
      <c r="N105" s="78" t="e">
        <f t="shared" ca="1" si="26"/>
        <v>#NAME?</v>
      </c>
      <c r="AI105" s="69">
        <v>78</v>
      </c>
      <c r="AJ105" s="1">
        <v>308938</v>
      </c>
      <c r="AK105" s="70">
        <f t="shared" si="27"/>
        <v>9.9155817672154284E-2</v>
      </c>
      <c r="AL105" s="72">
        <f t="shared" si="28"/>
        <v>30633</v>
      </c>
    </row>
    <row r="106" spans="1:38" x14ac:dyDescent="0.25">
      <c r="A106" s="79"/>
      <c r="B106" s="108" t="e">
        <f t="shared" ca="1" si="29"/>
        <v>#NAME?</v>
      </c>
      <c r="C106" s="109" t="e">
        <f t="shared" ca="1" si="30"/>
        <v>#NAME?</v>
      </c>
      <c r="D106" s="110" t="e">
        <f t="shared" ca="1" si="17"/>
        <v>#NAME?</v>
      </c>
      <c r="E106" s="111" t="e">
        <f t="shared" ca="1" si="18"/>
        <v>#NAME?</v>
      </c>
      <c r="F106" s="110" t="e">
        <f t="shared" ca="1" si="19"/>
        <v>#NAME?</v>
      </c>
      <c r="G106" s="112" t="e">
        <f t="shared" ca="1" si="31"/>
        <v>#NAME?</v>
      </c>
      <c r="H106" s="113" t="e">
        <f t="shared" ca="1" si="20"/>
        <v>#NAME?</v>
      </c>
      <c r="I106" s="79" t="e">
        <f t="shared" ca="1" si="21"/>
        <v>#NAME?</v>
      </c>
      <c r="J106" s="115" t="e">
        <f t="shared" ca="1" si="22"/>
        <v>#NAME?</v>
      </c>
      <c r="K106" s="78" t="e">
        <f t="shared" ca="1" si="23"/>
        <v>#NAME?</v>
      </c>
      <c r="L106" s="78" t="e">
        <f t="shared" ca="1" si="24"/>
        <v>#NAME?</v>
      </c>
      <c r="M106" s="78" t="e">
        <f t="shared" ca="1" si="25"/>
        <v>#NAME?</v>
      </c>
      <c r="N106" s="78" t="e">
        <f t="shared" ca="1" si="26"/>
        <v>#NAME?</v>
      </c>
      <c r="AI106" s="69">
        <v>79</v>
      </c>
      <c r="AJ106" s="1">
        <v>278305</v>
      </c>
      <c r="AK106" s="70">
        <f t="shared" si="27"/>
        <v>0.10784211566446884</v>
      </c>
      <c r="AL106" s="72">
        <f t="shared" si="28"/>
        <v>30013</v>
      </c>
    </row>
    <row r="107" spans="1:38" x14ac:dyDescent="0.25">
      <c r="A107" s="79"/>
      <c r="B107" s="108" t="e">
        <f t="shared" ca="1" si="29"/>
        <v>#NAME?</v>
      </c>
      <c r="C107" s="109" t="e">
        <f t="shared" ca="1" si="30"/>
        <v>#NAME?</v>
      </c>
      <c r="D107" s="110" t="e">
        <f t="shared" ca="1" si="17"/>
        <v>#NAME?</v>
      </c>
      <c r="E107" s="111" t="e">
        <f t="shared" ca="1" si="18"/>
        <v>#NAME?</v>
      </c>
      <c r="F107" s="110" t="e">
        <f t="shared" ca="1" si="19"/>
        <v>#NAME?</v>
      </c>
      <c r="G107" s="112" t="e">
        <f t="shared" ca="1" si="31"/>
        <v>#NAME?</v>
      </c>
      <c r="H107" s="113" t="e">
        <f t="shared" ca="1" si="20"/>
        <v>#NAME?</v>
      </c>
      <c r="I107" s="79" t="e">
        <f t="shared" ca="1" si="21"/>
        <v>#NAME?</v>
      </c>
      <c r="J107" s="115" t="e">
        <f t="shared" ca="1" si="22"/>
        <v>#NAME?</v>
      </c>
      <c r="K107" s="78" t="e">
        <f t="shared" ca="1" si="23"/>
        <v>#NAME?</v>
      </c>
      <c r="L107" s="78" t="e">
        <f t="shared" ca="1" si="24"/>
        <v>#NAME?</v>
      </c>
      <c r="M107" s="78" t="e">
        <f t="shared" ca="1" si="25"/>
        <v>#NAME?</v>
      </c>
      <c r="N107" s="78" t="e">
        <f t="shared" ca="1" si="26"/>
        <v>#NAME?</v>
      </c>
      <c r="AI107" s="69">
        <v>80</v>
      </c>
      <c r="AJ107" s="1">
        <v>248292</v>
      </c>
      <c r="AK107" s="70">
        <f t="shared" si="27"/>
        <v>0.11724099044673207</v>
      </c>
      <c r="AL107" s="72">
        <f t="shared" si="28"/>
        <v>29110</v>
      </c>
    </row>
    <row r="108" spans="1:38" x14ac:dyDescent="0.25">
      <c r="A108" s="79"/>
      <c r="B108" s="108" t="e">
        <f t="shared" ca="1" si="29"/>
        <v>#NAME?</v>
      </c>
      <c r="C108" s="109" t="e">
        <f t="shared" ca="1" si="30"/>
        <v>#NAME?</v>
      </c>
      <c r="D108" s="110" t="e">
        <f t="shared" ca="1" si="17"/>
        <v>#NAME?</v>
      </c>
      <c r="E108" s="111" t="e">
        <f t="shared" ca="1" si="18"/>
        <v>#NAME?</v>
      </c>
      <c r="F108" s="110" t="e">
        <f t="shared" ca="1" si="19"/>
        <v>#NAME?</v>
      </c>
      <c r="G108" s="112" t="e">
        <f t="shared" ca="1" si="31"/>
        <v>#NAME?</v>
      </c>
      <c r="H108" s="113" t="e">
        <f t="shared" ca="1" si="20"/>
        <v>#NAME?</v>
      </c>
      <c r="I108" s="79" t="e">
        <f t="shared" ca="1" si="21"/>
        <v>#NAME?</v>
      </c>
      <c r="J108" s="115" t="e">
        <f t="shared" ca="1" si="22"/>
        <v>#NAME?</v>
      </c>
      <c r="K108" s="78" t="e">
        <f t="shared" ca="1" si="23"/>
        <v>#NAME?</v>
      </c>
      <c r="L108" s="78" t="e">
        <f t="shared" ca="1" si="24"/>
        <v>#NAME?</v>
      </c>
      <c r="M108" s="78" t="e">
        <f t="shared" ca="1" si="25"/>
        <v>#NAME?</v>
      </c>
      <c r="N108" s="78" t="e">
        <f t="shared" ca="1" si="26"/>
        <v>#NAME?</v>
      </c>
      <c r="AI108" s="69">
        <v>81</v>
      </c>
      <c r="AJ108" s="1">
        <v>219182</v>
      </c>
      <c r="AK108" s="70">
        <f t="shared" si="27"/>
        <v>0.12739641028916607</v>
      </c>
      <c r="AL108" s="72">
        <f t="shared" si="28"/>
        <v>27923</v>
      </c>
    </row>
    <row r="109" spans="1:38" x14ac:dyDescent="0.25">
      <c r="A109" s="79"/>
      <c r="B109" s="108" t="e">
        <f t="shared" ca="1" si="29"/>
        <v>#NAME?</v>
      </c>
      <c r="C109" s="109" t="e">
        <f t="shared" ca="1" si="30"/>
        <v>#NAME?</v>
      </c>
      <c r="D109" s="110" t="e">
        <f t="shared" ca="1" si="17"/>
        <v>#NAME?</v>
      </c>
      <c r="E109" s="111" t="e">
        <f t="shared" ca="1" si="18"/>
        <v>#NAME?</v>
      </c>
      <c r="F109" s="110" t="e">
        <f t="shared" ca="1" si="19"/>
        <v>#NAME?</v>
      </c>
      <c r="G109" s="112" t="e">
        <f t="shared" ca="1" si="31"/>
        <v>#NAME?</v>
      </c>
      <c r="H109" s="113" t="e">
        <f t="shared" ca="1" si="20"/>
        <v>#NAME?</v>
      </c>
      <c r="I109" s="79" t="e">
        <f t="shared" ca="1" si="21"/>
        <v>#NAME?</v>
      </c>
      <c r="J109" s="115" t="e">
        <f t="shared" ca="1" si="22"/>
        <v>#NAME?</v>
      </c>
      <c r="K109" s="78" t="e">
        <f t="shared" ca="1" si="23"/>
        <v>#NAME?</v>
      </c>
      <c r="L109" s="78" t="e">
        <f t="shared" ca="1" si="24"/>
        <v>#NAME?</v>
      </c>
      <c r="M109" s="78" t="e">
        <f t="shared" ca="1" si="25"/>
        <v>#NAME?</v>
      </c>
      <c r="N109" s="78" t="e">
        <f t="shared" ca="1" si="26"/>
        <v>#NAME?</v>
      </c>
      <c r="AI109" s="69">
        <v>82</v>
      </c>
      <c r="AJ109" s="1">
        <v>191259</v>
      </c>
      <c r="AK109" s="70">
        <f t="shared" si="27"/>
        <v>0.13836734480468893</v>
      </c>
      <c r="AL109" s="72">
        <f t="shared" si="28"/>
        <v>26464</v>
      </c>
    </row>
    <row r="110" spans="1:38" x14ac:dyDescent="0.25">
      <c r="A110" s="79"/>
      <c r="B110" s="108" t="e">
        <f t="shared" ca="1" si="29"/>
        <v>#NAME?</v>
      </c>
      <c r="C110" s="109" t="e">
        <f t="shared" ca="1" si="30"/>
        <v>#NAME?</v>
      </c>
      <c r="D110" s="110" t="e">
        <f t="shared" ca="1" si="17"/>
        <v>#NAME?</v>
      </c>
      <c r="E110" s="111" t="e">
        <f t="shared" ca="1" si="18"/>
        <v>#NAME?</v>
      </c>
      <c r="F110" s="110" t="e">
        <f t="shared" ca="1" si="19"/>
        <v>#NAME?</v>
      </c>
      <c r="G110" s="112" t="e">
        <f t="shared" ca="1" si="31"/>
        <v>#NAME?</v>
      </c>
      <c r="H110" s="113" t="e">
        <f t="shared" ca="1" si="20"/>
        <v>#NAME?</v>
      </c>
      <c r="I110" s="79" t="e">
        <f t="shared" ca="1" si="21"/>
        <v>#NAME?</v>
      </c>
      <c r="J110" s="115" t="e">
        <f t="shared" ca="1" si="22"/>
        <v>#NAME?</v>
      </c>
      <c r="K110" s="78" t="e">
        <f t="shared" ca="1" si="23"/>
        <v>#NAME?</v>
      </c>
      <c r="L110" s="78" t="e">
        <f t="shared" ca="1" si="24"/>
        <v>#NAME?</v>
      </c>
      <c r="M110" s="78" t="e">
        <f t="shared" ca="1" si="25"/>
        <v>#NAME?</v>
      </c>
      <c r="N110" s="78" t="e">
        <f t="shared" ca="1" si="26"/>
        <v>#NAME?</v>
      </c>
      <c r="AI110" s="69">
        <v>83</v>
      </c>
      <c r="AJ110" s="1">
        <v>164795</v>
      </c>
      <c r="AK110" s="70">
        <f t="shared" si="27"/>
        <v>0.15019873175763829</v>
      </c>
      <c r="AL110" s="72">
        <f t="shared" si="28"/>
        <v>24752</v>
      </c>
    </row>
    <row r="111" spans="1:38" x14ac:dyDescent="0.25">
      <c r="A111" s="79"/>
      <c r="B111" s="108" t="e">
        <f t="shared" ca="1" si="29"/>
        <v>#NAME?</v>
      </c>
      <c r="C111" s="109" t="e">
        <f t="shared" ca="1" si="30"/>
        <v>#NAME?</v>
      </c>
      <c r="D111" s="110" t="e">
        <f t="shared" ca="1" si="17"/>
        <v>#NAME?</v>
      </c>
      <c r="E111" s="111" t="e">
        <f t="shared" ca="1" si="18"/>
        <v>#NAME?</v>
      </c>
      <c r="F111" s="110" t="e">
        <f t="shared" ca="1" si="19"/>
        <v>#NAME?</v>
      </c>
      <c r="G111" s="112" t="e">
        <f t="shared" ca="1" si="31"/>
        <v>#NAME?</v>
      </c>
      <c r="H111" s="113" t="e">
        <f t="shared" ca="1" si="20"/>
        <v>#NAME?</v>
      </c>
      <c r="I111" s="79" t="e">
        <f t="shared" ca="1" si="21"/>
        <v>#NAME?</v>
      </c>
      <c r="J111" s="115" t="e">
        <f t="shared" ca="1" si="22"/>
        <v>#NAME?</v>
      </c>
      <c r="K111" s="78" t="e">
        <f t="shared" ca="1" si="23"/>
        <v>#NAME?</v>
      </c>
      <c r="L111" s="78" t="e">
        <f t="shared" ca="1" si="24"/>
        <v>#NAME?</v>
      </c>
      <c r="M111" s="78" t="e">
        <f t="shared" ca="1" si="25"/>
        <v>#NAME?</v>
      </c>
      <c r="N111" s="78" t="e">
        <f t="shared" ca="1" si="26"/>
        <v>#NAME?</v>
      </c>
      <c r="AI111" s="69">
        <v>84</v>
      </c>
      <c r="AJ111" s="1">
        <v>140043</v>
      </c>
      <c r="AK111" s="70">
        <f t="shared" si="27"/>
        <v>0.16294995108645202</v>
      </c>
      <c r="AL111" s="72">
        <f t="shared" si="28"/>
        <v>22820</v>
      </c>
    </row>
    <row r="112" spans="1:38" x14ac:dyDescent="0.25">
      <c r="A112" s="79"/>
      <c r="B112" s="108" t="e">
        <f t="shared" ca="1" si="29"/>
        <v>#NAME?</v>
      </c>
      <c r="C112" s="109" t="e">
        <f t="shared" ca="1" si="30"/>
        <v>#NAME?</v>
      </c>
      <c r="D112" s="110" t="e">
        <f t="shared" ca="1" si="17"/>
        <v>#NAME?</v>
      </c>
      <c r="E112" s="111" t="e">
        <f t="shared" ca="1" si="18"/>
        <v>#NAME?</v>
      </c>
      <c r="F112" s="110" t="e">
        <f t="shared" ca="1" si="19"/>
        <v>#NAME?</v>
      </c>
      <c r="G112" s="112" t="e">
        <f t="shared" ca="1" si="31"/>
        <v>#NAME?</v>
      </c>
      <c r="H112" s="113" t="e">
        <f t="shared" ca="1" si="20"/>
        <v>#NAME?</v>
      </c>
      <c r="I112" s="79" t="e">
        <f t="shared" ca="1" si="21"/>
        <v>#NAME?</v>
      </c>
      <c r="J112" s="115" t="e">
        <f t="shared" ca="1" si="22"/>
        <v>#NAME?</v>
      </c>
      <c r="K112" s="78" t="e">
        <f t="shared" ca="1" si="23"/>
        <v>#NAME?</v>
      </c>
      <c r="L112" s="78" t="e">
        <f t="shared" ca="1" si="24"/>
        <v>#NAME?</v>
      </c>
      <c r="M112" s="78" t="e">
        <f t="shared" ca="1" si="25"/>
        <v>#NAME?</v>
      </c>
      <c r="N112" s="78" t="e">
        <f t="shared" ca="1" si="26"/>
        <v>#NAME?</v>
      </c>
      <c r="AI112" s="69">
        <v>85</v>
      </c>
      <c r="AJ112" s="1">
        <v>117223</v>
      </c>
      <c r="AK112" s="70">
        <f t="shared" si="27"/>
        <v>0.176671813551948</v>
      </c>
      <c r="AL112" s="72">
        <f t="shared" si="28"/>
        <v>20710</v>
      </c>
    </row>
    <row r="113" spans="1:38" x14ac:dyDescent="0.25">
      <c r="A113" s="79"/>
      <c r="B113" s="108" t="e">
        <f t="shared" ca="1" si="29"/>
        <v>#NAME?</v>
      </c>
      <c r="C113" s="109" t="e">
        <f t="shared" ca="1" si="30"/>
        <v>#NAME?</v>
      </c>
      <c r="D113" s="110" t="e">
        <f t="shared" ca="1" si="17"/>
        <v>#NAME?</v>
      </c>
      <c r="E113" s="111" t="e">
        <f t="shared" ca="1" si="18"/>
        <v>#NAME?</v>
      </c>
      <c r="F113" s="110" t="e">
        <f t="shared" ca="1" si="19"/>
        <v>#NAME?</v>
      </c>
      <c r="G113" s="112" t="e">
        <f t="shared" ca="1" si="31"/>
        <v>#NAME?</v>
      </c>
      <c r="H113" s="113" t="e">
        <f t="shared" ca="1" si="20"/>
        <v>#NAME?</v>
      </c>
      <c r="I113" s="79" t="e">
        <f t="shared" ca="1" si="21"/>
        <v>#NAME?</v>
      </c>
      <c r="J113" s="115" t="e">
        <f t="shared" ca="1" si="22"/>
        <v>#NAME?</v>
      </c>
      <c r="K113" s="78" t="e">
        <f t="shared" ca="1" si="23"/>
        <v>#NAME?</v>
      </c>
      <c r="L113" s="78" t="e">
        <f t="shared" ca="1" si="24"/>
        <v>#NAME?</v>
      </c>
      <c r="M113" s="78" t="e">
        <f t="shared" ca="1" si="25"/>
        <v>#NAME?</v>
      </c>
      <c r="N113" s="78" t="e">
        <f t="shared" ca="1" si="26"/>
        <v>#NAME?</v>
      </c>
      <c r="AI113" s="69">
        <v>86</v>
      </c>
      <c r="AJ113" s="1">
        <v>96513</v>
      </c>
      <c r="AK113" s="70">
        <f t="shared" si="27"/>
        <v>0.19140426678271322</v>
      </c>
      <c r="AL113" s="72">
        <f t="shared" si="28"/>
        <v>18473</v>
      </c>
    </row>
    <row r="114" spans="1:38" x14ac:dyDescent="0.25">
      <c r="A114" s="79"/>
      <c r="B114" s="108" t="e">
        <f t="shared" ca="1" si="29"/>
        <v>#NAME?</v>
      </c>
      <c r="C114" s="109" t="e">
        <f t="shared" ca="1" si="30"/>
        <v>#NAME?</v>
      </c>
      <c r="D114" s="110" t="e">
        <f t="shared" ca="1" si="17"/>
        <v>#NAME?</v>
      </c>
      <c r="E114" s="111" t="e">
        <f t="shared" ca="1" si="18"/>
        <v>#NAME?</v>
      </c>
      <c r="F114" s="110" t="e">
        <f t="shared" ca="1" si="19"/>
        <v>#NAME?</v>
      </c>
      <c r="G114" s="112" t="e">
        <f t="shared" ca="1" si="31"/>
        <v>#NAME?</v>
      </c>
      <c r="H114" s="113" t="e">
        <f t="shared" ca="1" si="20"/>
        <v>#NAME?</v>
      </c>
      <c r="I114" s="79" t="e">
        <f t="shared" ca="1" si="21"/>
        <v>#NAME?</v>
      </c>
      <c r="J114" s="115" t="e">
        <f t="shared" ca="1" si="22"/>
        <v>#NAME?</v>
      </c>
      <c r="K114" s="78" t="e">
        <f t="shared" ca="1" si="23"/>
        <v>#NAME?</v>
      </c>
      <c r="L114" s="78" t="e">
        <f t="shared" ca="1" si="24"/>
        <v>#NAME?</v>
      </c>
      <c r="M114" s="78" t="e">
        <f t="shared" ca="1" si="25"/>
        <v>#NAME?</v>
      </c>
      <c r="N114" s="78" t="e">
        <f t="shared" ca="1" si="26"/>
        <v>#NAME?</v>
      </c>
      <c r="AI114" s="69">
        <v>87</v>
      </c>
      <c r="AJ114" s="1">
        <v>78040</v>
      </c>
      <c r="AK114" s="70">
        <f t="shared" si="27"/>
        <v>0.20721424910302408</v>
      </c>
      <c r="AL114" s="72">
        <f t="shared" si="28"/>
        <v>16171</v>
      </c>
    </row>
    <row r="115" spans="1:38" x14ac:dyDescent="0.25">
      <c r="A115" s="79"/>
      <c r="B115" s="108" t="e">
        <f t="shared" ca="1" si="29"/>
        <v>#NAME?</v>
      </c>
      <c r="C115" s="109" t="e">
        <f t="shared" ca="1" si="30"/>
        <v>#NAME?</v>
      </c>
      <c r="D115" s="110" t="e">
        <f t="shared" ca="1" si="17"/>
        <v>#NAME?</v>
      </c>
      <c r="E115" s="111" t="e">
        <f t="shared" ca="1" si="18"/>
        <v>#NAME?</v>
      </c>
      <c r="F115" s="110" t="e">
        <f t="shared" ca="1" si="19"/>
        <v>#NAME?</v>
      </c>
      <c r="G115" s="112" t="e">
        <f t="shared" ca="1" si="31"/>
        <v>#NAME?</v>
      </c>
      <c r="H115" s="113" t="e">
        <f t="shared" ca="1" si="20"/>
        <v>#NAME?</v>
      </c>
      <c r="I115" s="79" t="e">
        <f t="shared" ca="1" si="21"/>
        <v>#NAME?</v>
      </c>
      <c r="J115" s="115" t="e">
        <f t="shared" ca="1" si="22"/>
        <v>#NAME?</v>
      </c>
      <c r="K115" s="78" t="e">
        <f t="shared" ca="1" si="23"/>
        <v>#NAME?</v>
      </c>
      <c r="L115" s="78" t="e">
        <f t="shared" ca="1" si="24"/>
        <v>#NAME?</v>
      </c>
      <c r="M115" s="78" t="e">
        <f t="shared" ca="1" si="25"/>
        <v>#NAME?</v>
      </c>
      <c r="N115" s="78" t="e">
        <f t="shared" ca="1" si="26"/>
        <v>#NAME?</v>
      </c>
      <c r="AI115" s="69">
        <v>88</v>
      </c>
      <c r="AJ115" s="1">
        <v>61869</v>
      </c>
      <c r="AK115" s="70">
        <f t="shared" si="27"/>
        <v>0.2241348656031292</v>
      </c>
      <c r="AL115" s="72">
        <f t="shared" si="28"/>
        <v>13867</v>
      </c>
    </row>
    <row r="116" spans="1:38" x14ac:dyDescent="0.25">
      <c r="A116" s="79"/>
      <c r="B116" s="108" t="e">
        <f t="shared" ca="1" si="29"/>
        <v>#NAME?</v>
      </c>
      <c r="C116" s="109" t="e">
        <f t="shared" ca="1" si="30"/>
        <v>#NAME?</v>
      </c>
      <c r="D116" s="110" t="e">
        <f t="shared" ca="1" si="17"/>
        <v>#NAME?</v>
      </c>
      <c r="E116" s="111" t="e">
        <f t="shared" ca="1" si="18"/>
        <v>#NAME?</v>
      </c>
      <c r="F116" s="110" t="e">
        <f t="shared" ca="1" si="19"/>
        <v>#NAME?</v>
      </c>
      <c r="G116" s="112" t="e">
        <f t="shared" ca="1" si="31"/>
        <v>#NAME?</v>
      </c>
      <c r="H116" s="113" t="e">
        <f t="shared" ca="1" si="20"/>
        <v>#NAME?</v>
      </c>
      <c r="I116" s="79" t="e">
        <f t="shared" ca="1" si="21"/>
        <v>#NAME?</v>
      </c>
      <c r="J116" s="115" t="e">
        <f t="shared" ca="1" si="22"/>
        <v>#NAME?</v>
      </c>
      <c r="K116" s="78" t="e">
        <f t="shared" ca="1" si="23"/>
        <v>#NAME?</v>
      </c>
      <c r="L116" s="78" t="e">
        <f t="shared" ca="1" si="24"/>
        <v>#NAME?</v>
      </c>
      <c r="M116" s="78" t="e">
        <f t="shared" ca="1" si="25"/>
        <v>#NAME?</v>
      </c>
      <c r="N116" s="78" t="e">
        <f t="shared" ca="1" si="26"/>
        <v>#NAME?</v>
      </c>
      <c r="AI116" s="69">
        <v>89</v>
      </c>
      <c r="AJ116" s="1">
        <v>48002</v>
      </c>
      <c r="AK116" s="70">
        <f t="shared" si="27"/>
        <v>0.24223990667055539</v>
      </c>
      <c r="AL116" s="72">
        <f t="shared" si="28"/>
        <v>11628</v>
      </c>
    </row>
    <row r="117" spans="1:38" x14ac:dyDescent="0.25">
      <c r="A117" s="79"/>
      <c r="B117" s="108" t="e">
        <f t="shared" ca="1" si="29"/>
        <v>#NAME?</v>
      </c>
      <c r="C117" s="109" t="e">
        <f t="shared" ca="1" si="30"/>
        <v>#NAME?</v>
      </c>
      <c r="D117" s="110" t="e">
        <f t="shared" ca="1" si="17"/>
        <v>#NAME?</v>
      </c>
      <c r="E117" s="111" t="e">
        <f t="shared" ca="1" si="18"/>
        <v>#NAME?</v>
      </c>
      <c r="F117" s="110" t="e">
        <f t="shared" ca="1" si="19"/>
        <v>#NAME?</v>
      </c>
      <c r="G117" s="112" t="e">
        <f t="shared" ca="1" si="31"/>
        <v>#NAME?</v>
      </c>
      <c r="H117" s="113" t="e">
        <f t="shared" ca="1" si="20"/>
        <v>#NAME?</v>
      </c>
      <c r="I117" s="79" t="e">
        <f t="shared" ca="1" si="21"/>
        <v>#NAME?</v>
      </c>
      <c r="J117" s="115" t="e">
        <f t="shared" ca="1" si="22"/>
        <v>#NAME?</v>
      </c>
      <c r="K117" s="78" t="e">
        <f t="shared" ca="1" si="23"/>
        <v>#NAME?</v>
      </c>
      <c r="L117" s="78" t="e">
        <f t="shared" ca="1" si="24"/>
        <v>#NAME?</v>
      </c>
      <c r="M117" s="78" t="e">
        <f t="shared" ca="1" si="25"/>
        <v>#NAME?</v>
      </c>
      <c r="N117" s="78" t="e">
        <f t="shared" ca="1" si="26"/>
        <v>#NAME?</v>
      </c>
      <c r="AI117" s="69">
        <v>90</v>
      </c>
      <c r="AJ117" s="1">
        <v>36374</v>
      </c>
      <c r="AK117" s="70">
        <f t="shared" si="27"/>
        <v>0.26153296310551494</v>
      </c>
      <c r="AL117" s="72">
        <f t="shared" si="28"/>
        <v>9513</v>
      </c>
    </row>
    <row r="118" spans="1:38" x14ac:dyDescent="0.25">
      <c r="A118" s="79"/>
      <c r="B118" s="108" t="e">
        <f t="shared" ca="1" si="29"/>
        <v>#NAME?</v>
      </c>
      <c r="C118" s="109" t="e">
        <f t="shared" ca="1" si="30"/>
        <v>#NAME?</v>
      </c>
      <c r="D118" s="110" t="e">
        <f t="shared" ca="1" si="17"/>
        <v>#NAME?</v>
      </c>
      <c r="E118" s="111" t="e">
        <f t="shared" ca="1" si="18"/>
        <v>#NAME?</v>
      </c>
      <c r="F118" s="110" t="e">
        <f t="shared" ca="1" si="19"/>
        <v>#NAME?</v>
      </c>
      <c r="G118" s="112" t="e">
        <f t="shared" ca="1" si="31"/>
        <v>#NAME?</v>
      </c>
      <c r="H118" s="113" t="e">
        <f t="shared" ca="1" si="20"/>
        <v>#NAME?</v>
      </c>
      <c r="I118" s="79" t="e">
        <f t="shared" ca="1" si="21"/>
        <v>#NAME?</v>
      </c>
      <c r="J118" s="115" t="e">
        <f t="shared" ca="1" si="22"/>
        <v>#NAME?</v>
      </c>
      <c r="K118" s="78" t="e">
        <f t="shared" ca="1" si="23"/>
        <v>#NAME?</v>
      </c>
      <c r="L118" s="78" t="e">
        <f t="shared" ca="1" si="24"/>
        <v>#NAME?</v>
      </c>
      <c r="M118" s="78" t="e">
        <f t="shared" ca="1" si="25"/>
        <v>#NAME?</v>
      </c>
      <c r="N118" s="78" t="e">
        <f t="shared" ca="1" si="26"/>
        <v>#NAME?</v>
      </c>
      <c r="AI118" s="69">
        <v>91</v>
      </c>
      <c r="AJ118" s="1">
        <v>26861</v>
      </c>
      <c r="AK118" s="70">
        <f t="shared" si="27"/>
        <v>0.28204459997766279</v>
      </c>
      <c r="AL118" s="72">
        <f t="shared" si="28"/>
        <v>7576</v>
      </c>
    </row>
    <row r="119" spans="1:38" x14ac:dyDescent="0.25">
      <c r="A119" s="79"/>
      <c r="B119" s="108" t="e">
        <f t="shared" ca="1" si="29"/>
        <v>#NAME?</v>
      </c>
      <c r="C119" s="109" t="e">
        <f t="shared" ca="1" si="30"/>
        <v>#NAME?</v>
      </c>
      <c r="D119" s="110" t="e">
        <f t="shared" ca="1" si="17"/>
        <v>#NAME?</v>
      </c>
      <c r="E119" s="111" t="e">
        <f t="shared" ca="1" si="18"/>
        <v>#NAME?</v>
      </c>
      <c r="F119" s="110" t="e">
        <f t="shared" ca="1" si="19"/>
        <v>#NAME?</v>
      </c>
      <c r="G119" s="112" t="e">
        <f t="shared" ca="1" si="31"/>
        <v>#NAME?</v>
      </c>
      <c r="H119" s="113" t="e">
        <f t="shared" ca="1" si="20"/>
        <v>#NAME?</v>
      </c>
      <c r="I119" s="79" t="e">
        <f t="shared" ca="1" si="21"/>
        <v>#NAME?</v>
      </c>
      <c r="J119" s="115" t="e">
        <f t="shared" ca="1" si="22"/>
        <v>#NAME?</v>
      </c>
      <c r="K119" s="78" t="e">
        <f t="shared" ca="1" si="23"/>
        <v>#NAME?</v>
      </c>
      <c r="L119" s="78" t="e">
        <f t="shared" ca="1" si="24"/>
        <v>#NAME?</v>
      </c>
      <c r="M119" s="78" t="e">
        <f t="shared" ca="1" si="25"/>
        <v>#NAME?</v>
      </c>
      <c r="N119" s="78" t="e">
        <f t="shared" ca="1" si="26"/>
        <v>#NAME?</v>
      </c>
      <c r="AI119" s="69">
        <v>92</v>
      </c>
      <c r="AJ119" s="1">
        <v>19285</v>
      </c>
      <c r="AK119" s="70">
        <f t="shared" si="27"/>
        <v>0.30381125226860256</v>
      </c>
      <c r="AL119" s="72">
        <f t="shared" si="28"/>
        <v>5859</v>
      </c>
    </row>
    <row r="120" spans="1:38" x14ac:dyDescent="0.25">
      <c r="A120" s="79"/>
      <c r="B120" s="108" t="e">
        <f t="shared" ca="1" si="29"/>
        <v>#NAME?</v>
      </c>
      <c r="C120" s="109" t="e">
        <f t="shared" ca="1" si="30"/>
        <v>#NAME?</v>
      </c>
      <c r="D120" s="110" t="e">
        <f t="shared" ca="1" si="17"/>
        <v>#NAME?</v>
      </c>
      <c r="E120" s="111" t="e">
        <f t="shared" ca="1" si="18"/>
        <v>#NAME?</v>
      </c>
      <c r="F120" s="110" t="e">
        <f t="shared" ca="1" si="19"/>
        <v>#NAME?</v>
      </c>
      <c r="G120" s="112" t="e">
        <f t="shared" ca="1" si="31"/>
        <v>#NAME?</v>
      </c>
      <c r="H120" s="113" t="e">
        <f t="shared" ca="1" si="20"/>
        <v>#NAME?</v>
      </c>
      <c r="I120" s="79" t="e">
        <f t="shared" ca="1" si="21"/>
        <v>#NAME?</v>
      </c>
      <c r="J120" s="115" t="e">
        <f t="shared" ca="1" si="22"/>
        <v>#NAME?</v>
      </c>
      <c r="K120" s="78" t="e">
        <f t="shared" ca="1" si="23"/>
        <v>#NAME?</v>
      </c>
      <c r="L120" s="78" t="e">
        <f t="shared" ca="1" si="24"/>
        <v>#NAME?</v>
      </c>
      <c r="M120" s="78" t="e">
        <f t="shared" ca="1" si="25"/>
        <v>#NAME?</v>
      </c>
      <c r="N120" s="78" t="e">
        <f t="shared" ca="1" si="26"/>
        <v>#NAME?</v>
      </c>
      <c r="AI120" s="69">
        <v>93</v>
      </c>
      <c r="AJ120" s="1">
        <v>13426</v>
      </c>
      <c r="AK120" s="70">
        <f t="shared" si="27"/>
        <v>0.32690302398331594</v>
      </c>
      <c r="AL120" s="72">
        <f t="shared" si="28"/>
        <v>4389</v>
      </c>
    </row>
    <row r="121" spans="1:38" x14ac:dyDescent="0.25">
      <c r="A121" s="79"/>
      <c r="B121" s="108" t="e">
        <f t="shared" ca="1" si="29"/>
        <v>#NAME?</v>
      </c>
      <c r="C121" s="109" t="e">
        <f t="shared" ca="1" si="30"/>
        <v>#NAME?</v>
      </c>
      <c r="D121" s="110" t="e">
        <f t="shared" ca="1" si="17"/>
        <v>#NAME?</v>
      </c>
      <c r="E121" s="111" t="e">
        <f t="shared" ca="1" si="18"/>
        <v>#NAME?</v>
      </c>
      <c r="F121" s="110" t="e">
        <f t="shared" ca="1" si="19"/>
        <v>#NAME?</v>
      </c>
      <c r="G121" s="112" t="e">
        <f t="shared" ca="1" si="31"/>
        <v>#NAME?</v>
      </c>
      <c r="H121" s="113" t="e">
        <f t="shared" ca="1" si="20"/>
        <v>#NAME?</v>
      </c>
      <c r="I121" s="79" t="e">
        <f t="shared" ca="1" si="21"/>
        <v>#NAME?</v>
      </c>
      <c r="J121" s="115" t="e">
        <f t="shared" ca="1" si="22"/>
        <v>#NAME?</v>
      </c>
      <c r="K121" s="78" t="e">
        <f t="shared" ca="1" si="23"/>
        <v>#NAME?</v>
      </c>
      <c r="L121" s="78" t="e">
        <f t="shared" ca="1" si="24"/>
        <v>#NAME?</v>
      </c>
      <c r="M121" s="78" t="e">
        <f t="shared" ca="1" si="25"/>
        <v>#NAME?</v>
      </c>
      <c r="N121" s="78" t="e">
        <f t="shared" ca="1" si="26"/>
        <v>#NAME?</v>
      </c>
      <c r="AI121" s="69">
        <v>94</v>
      </c>
      <c r="AJ121" s="1">
        <v>9037</v>
      </c>
      <c r="AK121" s="70">
        <f t="shared" si="27"/>
        <v>0.35122275091291355</v>
      </c>
      <c r="AL121" s="72">
        <f t="shared" si="28"/>
        <v>3174</v>
      </c>
    </row>
    <row r="122" spans="1:38" x14ac:dyDescent="0.25">
      <c r="A122" s="79"/>
      <c r="B122" s="108" t="e">
        <f t="shared" ca="1" si="29"/>
        <v>#NAME?</v>
      </c>
      <c r="C122" s="109" t="e">
        <f t="shared" ca="1" si="30"/>
        <v>#NAME?</v>
      </c>
      <c r="D122" s="110" t="e">
        <f t="shared" ca="1" si="17"/>
        <v>#NAME?</v>
      </c>
      <c r="E122" s="111" t="e">
        <f t="shared" ca="1" si="18"/>
        <v>#NAME?</v>
      </c>
      <c r="F122" s="110" t="e">
        <f t="shared" ca="1" si="19"/>
        <v>#NAME?</v>
      </c>
      <c r="G122" s="112" t="e">
        <f t="shared" ca="1" si="31"/>
        <v>#NAME?</v>
      </c>
      <c r="H122" s="113" t="e">
        <f t="shared" ca="1" si="20"/>
        <v>#NAME?</v>
      </c>
      <c r="I122" s="79" t="e">
        <f t="shared" ca="1" si="21"/>
        <v>#NAME?</v>
      </c>
      <c r="J122" s="115" t="e">
        <f t="shared" ca="1" si="22"/>
        <v>#NAME?</v>
      </c>
      <c r="K122" s="78" t="e">
        <f t="shared" ca="1" si="23"/>
        <v>#NAME?</v>
      </c>
      <c r="L122" s="78" t="e">
        <f t="shared" ca="1" si="24"/>
        <v>#NAME?</v>
      </c>
      <c r="M122" s="78" t="e">
        <f t="shared" ca="1" si="25"/>
        <v>#NAME?</v>
      </c>
      <c r="N122" s="78" t="e">
        <f t="shared" ca="1" si="26"/>
        <v>#NAME?</v>
      </c>
      <c r="AI122" s="69">
        <v>95</v>
      </c>
      <c r="AJ122" s="1">
        <v>5863</v>
      </c>
      <c r="AK122" s="70">
        <f t="shared" si="27"/>
        <v>0.3767695718915231</v>
      </c>
      <c r="AL122" s="72">
        <f t="shared" si="28"/>
        <v>2209</v>
      </c>
    </row>
    <row r="123" spans="1:38" x14ac:dyDescent="0.25">
      <c r="A123" s="79"/>
      <c r="B123" s="108" t="e">
        <f t="shared" ca="1" si="29"/>
        <v>#NAME?</v>
      </c>
      <c r="C123" s="109" t="e">
        <f t="shared" ca="1" si="30"/>
        <v>#NAME?</v>
      </c>
      <c r="D123" s="110" t="e">
        <f t="shared" ca="1" si="17"/>
        <v>#NAME?</v>
      </c>
      <c r="E123" s="111" t="e">
        <f t="shared" ca="1" si="18"/>
        <v>#NAME?</v>
      </c>
      <c r="F123" s="110" t="e">
        <f t="shared" ca="1" si="19"/>
        <v>#NAME?</v>
      </c>
      <c r="G123" s="112" t="e">
        <f t="shared" ca="1" si="31"/>
        <v>#NAME?</v>
      </c>
      <c r="H123" s="113" t="e">
        <f t="shared" ca="1" si="20"/>
        <v>#NAME?</v>
      </c>
      <c r="I123" s="79" t="e">
        <f t="shared" ca="1" si="21"/>
        <v>#NAME?</v>
      </c>
      <c r="J123" s="115" t="e">
        <f t="shared" ca="1" si="22"/>
        <v>#NAME?</v>
      </c>
      <c r="K123" s="78" t="e">
        <f t="shared" ca="1" si="23"/>
        <v>#NAME?</v>
      </c>
      <c r="L123" s="78" t="e">
        <f t="shared" ca="1" si="24"/>
        <v>#NAME?</v>
      </c>
      <c r="M123" s="78" t="e">
        <f t="shared" ca="1" si="25"/>
        <v>#NAME?</v>
      </c>
      <c r="N123" s="78" t="e">
        <f t="shared" ca="1" si="26"/>
        <v>#NAME?</v>
      </c>
      <c r="AI123" s="69">
        <v>96</v>
      </c>
      <c r="AJ123" s="1">
        <v>3654</v>
      </c>
      <c r="AK123" s="70">
        <f t="shared" ref="AK123:AK137" si="32">IF(AJ123=0,1,AL123/AJ123)</f>
        <v>0.40366721401204159</v>
      </c>
      <c r="AL123" s="72">
        <f t="shared" ref="AL123:AL136" si="33">+AJ123-AJ124</f>
        <v>1475</v>
      </c>
    </row>
    <row r="124" spans="1:38" x14ac:dyDescent="0.25">
      <c r="A124" s="79"/>
      <c r="B124" s="108" t="e">
        <f t="shared" ca="1" si="29"/>
        <v>#NAME?</v>
      </c>
      <c r="C124" s="109" t="e">
        <f t="shared" ca="1" si="30"/>
        <v>#NAME?</v>
      </c>
      <c r="D124" s="110" t="e">
        <f t="shared" ca="1" si="17"/>
        <v>#NAME?</v>
      </c>
      <c r="E124" s="111" t="e">
        <f t="shared" ca="1" si="18"/>
        <v>#NAME?</v>
      </c>
      <c r="F124" s="110" t="e">
        <f t="shared" ca="1" si="19"/>
        <v>#NAME?</v>
      </c>
      <c r="G124" s="112" t="e">
        <f t="shared" ca="1" si="31"/>
        <v>#NAME?</v>
      </c>
      <c r="H124" s="113" t="e">
        <f t="shared" ca="1" si="20"/>
        <v>#NAME?</v>
      </c>
      <c r="I124" s="79" t="e">
        <f t="shared" ca="1" si="21"/>
        <v>#NAME?</v>
      </c>
      <c r="J124" s="115" t="e">
        <f t="shared" ca="1" si="22"/>
        <v>#NAME?</v>
      </c>
      <c r="K124" s="78" t="e">
        <f t="shared" ca="1" si="23"/>
        <v>#NAME?</v>
      </c>
      <c r="L124" s="78" t="e">
        <f t="shared" ca="1" si="24"/>
        <v>#NAME?</v>
      </c>
      <c r="M124" s="78" t="e">
        <f t="shared" ca="1" si="25"/>
        <v>#NAME?</v>
      </c>
      <c r="N124" s="78" t="e">
        <f t="shared" ca="1" si="26"/>
        <v>#NAME?</v>
      </c>
      <c r="AI124" s="69">
        <v>97</v>
      </c>
      <c r="AJ124" s="1">
        <v>2179</v>
      </c>
      <c r="AK124" s="70">
        <f t="shared" si="32"/>
        <v>0.43184947223497017</v>
      </c>
      <c r="AL124" s="72">
        <f t="shared" si="33"/>
        <v>941</v>
      </c>
    </row>
    <row r="125" spans="1:38" x14ac:dyDescent="0.25">
      <c r="A125" s="79"/>
      <c r="B125" s="108" t="e">
        <f t="shared" ca="1" si="29"/>
        <v>#NAME?</v>
      </c>
      <c r="C125" s="109" t="e">
        <f t="shared" ca="1" si="30"/>
        <v>#NAME?</v>
      </c>
      <c r="D125" s="110" t="e">
        <f t="shared" ca="1" si="17"/>
        <v>#NAME?</v>
      </c>
      <c r="E125" s="111" t="e">
        <f t="shared" ca="1" si="18"/>
        <v>#NAME?</v>
      </c>
      <c r="F125" s="110" t="e">
        <f t="shared" ca="1" si="19"/>
        <v>#NAME?</v>
      </c>
      <c r="G125" s="112" t="e">
        <f t="shared" ca="1" si="31"/>
        <v>#NAME?</v>
      </c>
      <c r="H125" s="113" t="e">
        <f t="shared" ca="1" si="20"/>
        <v>#NAME?</v>
      </c>
      <c r="I125" s="79" t="e">
        <f t="shared" ca="1" si="21"/>
        <v>#NAME?</v>
      </c>
      <c r="J125" s="115" t="e">
        <f t="shared" ca="1" si="22"/>
        <v>#NAME?</v>
      </c>
      <c r="K125" s="78" t="e">
        <f t="shared" ca="1" si="23"/>
        <v>#NAME?</v>
      </c>
      <c r="L125" s="78" t="e">
        <f t="shared" ca="1" si="24"/>
        <v>#NAME?</v>
      </c>
      <c r="M125" s="78" t="e">
        <f t="shared" ca="1" si="25"/>
        <v>#NAME?</v>
      </c>
      <c r="N125" s="78" t="e">
        <f t="shared" ca="1" si="26"/>
        <v>#NAME?</v>
      </c>
      <c r="AI125" s="69">
        <v>98</v>
      </c>
      <c r="AJ125" s="1">
        <v>1238</v>
      </c>
      <c r="AK125" s="70">
        <f t="shared" si="32"/>
        <v>0.4604200323101777</v>
      </c>
      <c r="AL125" s="72">
        <f t="shared" si="33"/>
        <v>570</v>
      </c>
    </row>
    <row r="126" spans="1:38" x14ac:dyDescent="0.25">
      <c r="A126" s="79"/>
      <c r="B126" s="108" t="e">
        <f t="shared" ca="1" si="29"/>
        <v>#NAME?</v>
      </c>
      <c r="C126" s="109" t="e">
        <f t="shared" ca="1" si="30"/>
        <v>#NAME?</v>
      </c>
      <c r="D126" s="110" t="e">
        <f t="shared" ca="1" si="17"/>
        <v>#NAME?</v>
      </c>
      <c r="E126" s="111" t="e">
        <f t="shared" ca="1" si="18"/>
        <v>#NAME?</v>
      </c>
      <c r="F126" s="110" t="e">
        <f t="shared" ca="1" si="19"/>
        <v>#NAME?</v>
      </c>
      <c r="G126" s="112" t="e">
        <f t="shared" ca="1" si="31"/>
        <v>#NAME?</v>
      </c>
      <c r="H126" s="113" t="e">
        <f t="shared" ca="1" si="20"/>
        <v>#NAME?</v>
      </c>
      <c r="I126" s="79" t="e">
        <f t="shared" ca="1" si="21"/>
        <v>#NAME?</v>
      </c>
      <c r="J126" s="115" t="e">
        <f t="shared" ca="1" si="22"/>
        <v>#NAME?</v>
      </c>
      <c r="K126" s="78" t="e">
        <f t="shared" ca="1" si="23"/>
        <v>#NAME?</v>
      </c>
      <c r="L126" s="78" t="e">
        <f t="shared" ca="1" si="24"/>
        <v>#NAME?</v>
      </c>
      <c r="M126" s="78" t="e">
        <f t="shared" ca="1" si="25"/>
        <v>#NAME?</v>
      </c>
      <c r="N126" s="78" t="e">
        <f t="shared" ca="1" si="26"/>
        <v>#NAME?</v>
      </c>
      <c r="AI126" s="69">
        <v>99</v>
      </c>
      <c r="AJ126" s="1">
        <v>668</v>
      </c>
      <c r="AK126" s="70">
        <f t="shared" si="32"/>
        <v>0.49101796407185627</v>
      </c>
      <c r="AL126" s="72">
        <f t="shared" si="33"/>
        <v>328</v>
      </c>
    </row>
    <row r="127" spans="1:38" x14ac:dyDescent="0.25">
      <c r="A127" s="79"/>
      <c r="B127" s="108" t="e">
        <f t="shared" ca="1" si="29"/>
        <v>#NAME?</v>
      </c>
      <c r="C127" s="109" t="e">
        <f t="shared" ca="1" si="30"/>
        <v>#NAME?</v>
      </c>
      <c r="D127" s="110" t="e">
        <f t="shared" ca="1" si="17"/>
        <v>#NAME?</v>
      </c>
      <c r="E127" s="111" t="e">
        <f t="shared" ca="1" si="18"/>
        <v>#NAME?</v>
      </c>
      <c r="F127" s="110" t="e">
        <f t="shared" ca="1" si="19"/>
        <v>#NAME?</v>
      </c>
      <c r="G127" s="112" t="e">
        <f t="shared" ca="1" si="31"/>
        <v>#NAME?</v>
      </c>
      <c r="H127" s="113" t="e">
        <f t="shared" ca="1" si="20"/>
        <v>#NAME?</v>
      </c>
      <c r="I127" s="79" t="e">
        <f t="shared" ca="1" si="21"/>
        <v>#NAME?</v>
      </c>
      <c r="J127" s="115" t="e">
        <f t="shared" ca="1" si="22"/>
        <v>#NAME?</v>
      </c>
      <c r="K127" s="78" t="e">
        <f t="shared" ca="1" si="23"/>
        <v>#NAME?</v>
      </c>
      <c r="L127" s="78" t="e">
        <f t="shared" ca="1" si="24"/>
        <v>#NAME?</v>
      </c>
      <c r="M127" s="78" t="e">
        <f t="shared" ca="1" si="25"/>
        <v>#NAME?</v>
      </c>
      <c r="N127" s="78" t="e">
        <f t="shared" ca="1" si="26"/>
        <v>#NAME?</v>
      </c>
      <c r="AI127" s="69">
        <v>100</v>
      </c>
      <c r="AJ127" s="1">
        <v>340</v>
      </c>
      <c r="AK127" s="70">
        <f t="shared" si="32"/>
        <v>0.52058823529411768</v>
      </c>
      <c r="AL127" s="72">
        <f t="shared" si="33"/>
        <v>177</v>
      </c>
    </row>
    <row r="128" spans="1:38" x14ac:dyDescent="0.25">
      <c r="A128" s="79"/>
      <c r="B128" s="108" t="e">
        <f t="shared" ca="1" si="29"/>
        <v>#NAME?</v>
      </c>
      <c r="C128" s="109" t="e">
        <f t="shared" ca="1" si="30"/>
        <v>#NAME?</v>
      </c>
      <c r="D128" s="110" t="e">
        <f t="shared" ca="1" si="17"/>
        <v>#NAME?</v>
      </c>
      <c r="E128" s="111" t="e">
        <f t="shared" ca="1" si="18"/>
        <v>#NAME?</v>
      </c>
      <c r="F128" s="110" t="e">
        <f t="shared" ca="1" si="19"/>
        <v>#NAME?</v>
      </c>
      <c r="G128" s="112" t="e">
        <f t="shared" ca="1" si="31"/>
        <v>#NAME?</v>
      </c>
      <c r="H128" s="113" t="e">
        <f t="shared" ca="1" si="20"/>
        <v>#NAME?</v>
      </c>
      <c r="I128" s="79" t="e">
        <f t="shared" ca="1" si="21"/>
        <v>#NAME?</v>
      </c>
      <c r="J128" s="115" t="e">
        <f t="shared" ca="1" si="22"/>
        <v>#NAME?</v>
      </c>
      <c r="K128" s="78" t="e">
        <f t="shared" ca="1" si="23"/>
        <v>#NAME?</v>
      </c>
      <c r="L128" s="78" t="e">
        <f t="shared" ca="1" si="24"/>
        <v>#NAME?</v>
      </c>
      <c r="M128" s="78" t="e">
        <f t="shared" ca="1" si="25"/>
        <v>#NAME?</v>
      </c>
      <c r="N128" s="78" t="e">
        <f t="shared" ca="1" si="26"/>
        <v>#NAME?</v>
      </c>
      <c r="AI128" s="69">
        <v>101</v>
      </c>
      <c r="AJ128" s="1">
        <v>163</v>
      </c>
      <c r="AK128" s="70">
        <f t="shared" si="32"/>
        <v>0.55214723926380371</v>
      </c>
      <c r="AL128" s="72">
        <f t="shared" si="33"/>
        <v>90</v>
      </c>
    </row>
    <row r="129" spans="1:38" x14ac:dyDescent="0.25">
      <c r="A129" s="79"/>
      <c r="B129" s="108" t="e">
        <f t="shared" ca="1" si="29"/>
        <v>#NAME?</v>
      </c>
      <c r="C129" s="109" t="e">
        <f t="shared" ca="1" si="30"/>
        <v>#NAME?</v>
      </c>
      <c r="D129" s="110" t="e">
        <f t="shared" ca="1" si="17"/>
        <v>#NAME?</v>
      </c>
      <c r="E129" s="111" t="e">
        <f t="shared" ca="1" si="18"/>
        <v>#NAME?</v>
      </c>
      <c r="F129" s="110" t="e">
        <f t="shared" ca="1" si="19"/>
        <v>#NAME?</v>
      </c>
      <c r="G129" s="112" t="e">
        <f t="shared" ca="1" si="31"/>
        <v>#NAME?</v>
      </c>
      <c r="H129" s="113" t="e">
        <f t="shared" ca="1" si="20"/>
        <v>#NAME?</v>
      </c>
      <c r="I129" s="79" t="e">
        <f t="shared" ca="1" si="21"/>
        <v>#NAME?</v>
      </c>
      <c r="J129" s="115" t="e">
        <f t="shared" ca="1" si="22"/>
        <v>#NAME?</v>
      </c>
      <c r="K129" s="78" t="e">
        <f t="shared" ca="1" si="23"/>
        <v>#NAME?</v>
      </c>
      <c r="L129" s="78" t="e">
        <f t="shared" ca="1" si="24"/>
        <v>#NAME?</v>
      </c>
      <c r="M129" s="78" t="e">
        <f t="shared" ca="1" si="25"/>
        <v>#NAME?</v>
      </c>
      <c r="N129" s="78" t="e">
        <f t="shared" ca="1" si="26"/>
        <v>#NAME?</v>
      </c>
      <c r="AI129" s="69">
        <v>102</v>
      </c>
      <c r="AJ129" s="1">
        <v>73</v>
      </c>
      <c r="AK129" s="70">
        <f t="shared" si="32"/>
        <v>0.58904109589041098</v>
      </c>
      <c r="AL129" s="72">
        <f t="shared" si="33"/>
        <v>43</v>
      </c>
    </row>
    <row r="130" spans="1:38" x14ac:dyDescent="0.25">
      <c r="A130" s="79"/>
      <c r="B130" s="108" t="e">
        <f t="shared" ca="1" si="29"/>
        <v>#NAME?</v>
      </c>
      <c r="C130" s="109" t="e">
        <f t="shared" ca="1" si="30"/>
        <v>#NAME?</v>
      </c>
      <c r="D130" s="110" t="e">
        <f t="shared" ca="1" si="17"/>
        <v>#NAME?</v>
      </c>
      <c r="E130" s="111" t="e">
        <f t="shared" ca="1" si="18"/>
        <v>#NAME?</v>
      </c>
      <c r="F130" s="110" t="e">
        <f t="shared" ca="1" si="19"/>
        <v>#NAME?</v>
      </c>
      <c r="G130" s="112" t="e">
        <f t="shared" ca="1" si="31"/>
        <v>#NAME?</v>
      </c>
      <c r="H130" s="113" t="e">
        <f t="shared" ca="1" si="20"/>
        <v>#NAME?</v>
      </c>
      <c r="I130" s="79" t="e">
        <f t="shared" ca="1" si="21"/>
        <v>#NAME?</v>
      </c>
      <c r="J130" s="115" t="e">
        <f t="shared" ca="1" si="22"/>
        <v>#NAME?</v>
      </c>
      <c r="K130" s="78" t="e">
        <f t="shared" ca="1" si="23"/>
        <v>#NAME?</v>
      </c>
      <c r="L130" s="78" t="e">
        <f t="shared" ca="1" si="24"/>
        <v>#NAME?</v>
      </c>
      <c r="M130" s="78" t="e">
        <f t="shared" ca="1" si="25"/>
        <v>#NAME?</v>
      </c>
      <c r="N130" s="78" t="e">
        <f t="shared" ca="1" si="26"/>
        <v>#NAME?</v>
      </c>
      <c r="AI130" s="69">
        <v>103</v>
      </c>
      <c r="AJ130" s="1">
        <v>30</v>
      </c>
      <c r="AK130" s="70">
        <f t="shared" si="32"/>
        <v>0.6333333333333333</v>
      </c>
      <c r="AL130" s="72">
        <f t="shared" si="33"/>
        <v>19</v>
      </c>
    </row>
    <row r="131" spans="1:38" x14ac:dyDescent="0.25">
      <c r="A131" s="79"/>
      <c r="B131" s="108" t="e">
        <f t="shared" ca="1" si="29"/>
        <v>#NAME?</v>
      </c>
      <c r="C131" s="109" t="e">
        <f t="shared" ca="1" si="30"/>
        <v>#NAME?</v>
      </c>
      <c r="D131" s="110" t="e">
        <f t="shared" ca="1" si="17"/>
        <v>#NAME?</v>
      </c>
      <c r="E131" s="111" t="e">
        <f t="shared" ca="1" si="18"/>
        <v>#NAME?</v>
      </c>
      <c r="F131" s="110" t="e">
        <f t="shared" ca="1" si="19"/>
        <v>#NAME?</v>
      </c>
      <c r="G131" s="112" t="e">
        <f t="shared" ca="1" si="31"/>
        <v>#NAME?</v>
      </c>
      <c r="H131" s="113" t="e">
        <f t="shared" ca="1" si="20"/>
        <v>#NAME?</v>
      </c>
      <c r="I131" s="79" t="e">
        <f t="shared" ca="1" si="21"/>
        <v>#NAME?</v>
      </c>
      <c r="J131" s="115" t="e">
        <f t="shared" ca="1" si="22"/>
        <v>#NAME?</v>
      </c>
      <c r="K131" s="78" t="e">
        <f t="shared" ca="1" si="23"/>
        <v>#NAME?</v>
      </c>
      <c r="L131" s="78" t="e">
        <f t="shared" ca="1" si="24"/>
        <v>#NAME?</v>
      </c>
      <c r="M131" s="78" t="e">
        <f t="shared" ca="1" si="25"/>
        <v>#NAME?</v>
      </c>
      <c r="N131" s="78" t="e">
        <f t="shared" ca="1" si="26"/>
        <v>#NAME?</v>
      </c>
      <c r="AI131" s="69">
        <v>104</v>
      </c>
      <c r="AJ131" s="1">
        <v>11</v>
      </c>
      <c r="AK131" s="70">
        <f t="shared" si="32"/>
        <v>0.63636363636363635</v>
      </c>
      <c r="AL131" s="72">
        <f t="shared" si="33"/>
        <v>7</v>
      </c>
    </row>
    <row r="132" spans="1:38" x14ac:dyDescent="0.25">
      <c r="A132" s="79"/>
      <c r="B132" s="108" t="e">
        <f t="shared" ca="1" si="29"/>
        <v>#NAME?</v>
      </c>
      <c r="C132" s="109" t="e">
        <f t="shared" ca="1" si="30"/>
        <v>#NAME?</v>
      </c>
      <c r="D132" s="110" t="e">
        <f t="shared" ca="1" si="17"/>
        <v>#NAME?</v>
      </c>
      <c r="E132" s="111" t="e">
        <f t="shared" ca="1" si="18"/>
        <v>#NAME?</v>
      </c>
      <c r="F132" s="110" t="e">
        <f t="shared" ca="1" si="19"/>
        <v>#NAME?</v>
      </c>
      <c r="G132" s="112" t="e">
        <f t="shared" ca="1" si="31"/>
        <v>#NAME?</v>
      </c>
      <c r="H132" s="113" t="e">
        <f t="shared" ca="1" si="20"/>
        <v>#NAME?</v>
      </c>
      <c r="I132" s="79" t="e">
        <f t="shared" ca="1" si="21"/>
        <v>#NAME?</v>
      </c>
      <c r="J132" s="115" t="e">
        <f t="shared" ca="1" si="22"/>
        <v>#NAME?</v>
      </c>
      <c r="K132" s="78" t="e">
        <f t="shared" ca="1" si="23"/>
        <v>#NAME?</v>
      </c>
      <c r="L132" s="78" t="e">
        <f t="shared" ca="1" si="24"/>
        <v>#NAME?</v>
      </c>
      <c r="M132" s="78" t="e">
        <f t="shared" ca="1" si="25"/>
        <v>#NAME?</v>
      </c>
      <c r="N132" s="78" t="e">
        <f t="shared" ca="1" si="26"/>
        <v>#NAME?</v>
      </c>
      <c r="AI132" s="69">
        <v>105</v>
      </c>
      <c r="AJ132" s="1">
        <v>4</v>
      </c>
      <c r="AK132" s="70">
        <f t="shared" si="32"/>
        <v>0.75</v>
      </c>
      <c r="AL132" s="72">
        <f t="shared" si="33"/>
        <v>3</v>
      </c>
    </row>
    <row r="133" spans="1:38" x14ac:dyDescent="0.25">
      <c r="A133" s="79"/>
      <c r="B133" s="108" t="e">
        <f t="shared" ca="1" si="29"/>
        <v>#NAME?</v>
      </c>
      <c r="C133" s="109" t="e">
        <f t="shared" ca="1" si="30"/>
        <v>#NAME?</v>
      </c>
      <c r="D133" s="110" t="e">
        <f t="shared" ca="1" si="17"/>
        <v>#NAME?</v>
      </c>
      <c r="E133" s="111" t="e">
        <f t="shared" ca="1" si="18"/>
        <v>#NAME?</v>
      </c>
      <c r="F133" s="110" t="e">
        <f t="shared" ca="1" si="19"/>
        <v>#NAME?</v>
      </c>
      <c r="G133" s="112" t="e">
        <f t="shared" ca="1" si="31"/>
        <v>#NAME?</v>
      </c>
      <c r="H133" s="113" t="e">
        <f t="shared" ca="1" si="20"/>
        <v>#NAME?</v>
      </c>
      <c r="I133" s="79" t="e">
        <f t="shared" ca="1" si="21"/>
        <v>#NAME?</v>
      </c>
      <c r="J133" s="115" t="e">
        <f t="shared" ca="1" si="22"/>
        <v>#NAME?</v>
      </c>
      <c r="K133" s="78" t="e">
        <f t="shared" ca="1" si="23"/>
        <v>#NAME?</v>
      </c>
      <c r="L133" s="78" t="e">
        <f t="shared" ca="1" si="24"/>
        <v>#NAME?</v>
      </c>
      <c r="M133" s="78" t="e">
        <f t="shared" ca="1" si="25"/>
        <v>#NAME?</v>
      </c>
      <c r="N133" s="78" t="e">
        <f t="shared" ca="1" si="26"/>
        <v>#NAME?</v>
      </c>
      <c r="AI133" s="69">
        <v>106</v>
      </c>
      <c r="AJ133" s="1">
        <v>1</v>
      </c>
      <c r="AK133" s="70">
        <f t="shared" si="32"/>
        <v>1</v>
      </c>
      <c r="AL133" s="72">
        <f t="shared" si="33"/>
        <v>1</v>
      </c>
    </row>
    <row r="134" spans="1:38" x14ac:dyDescent="0.25">
      <c r="A134" s="79"/>
      <c r="B134" s="108" t="e">
        <f t="shared" ca="1" si="29"/>
        <v>#NAME?</v>
      </c>
      <c r="C134" s="109" t="e">
        <f t="shared" ca="1" si="30"/>
        <v>#NAME?</v>
      </c>
      <c r="D134" s="110" t="e">
        <f t="shared" ca="1" si="17"/>
        <v>#NAME?</v>
      </c>
      <c r="E134" s="111" t="e">
        <f t="shared" ca="1" si="18"/>
        <v>#NAME?</v>
      </c>
      <c r="F134" s="110" t="e">
        <f t="shared" ca="1" si="19"/>
        <v>#NAME?</v>
      </c>
      <c r="G134" s="112" t="e">
        <f t="shared" ca="1" si="31"/>
        <v>#NAME?</v>
      </c>
      <c r="H134" s="113" t="e">
        <f t="shared" ca="1" si="20"/>
        <v>#NAME?</v>
      </c>
      <c r="I134" s="79" t="e">
        <f t="shared" ca="1" si="21"/>
        <v>#NAME?</v>
      </c>
      <c r="J134" s="115" t="e">
        <f t="shared" ca="1" si="22"/>
        <v>#NAME?</v>
      </c>
      <c r="K134" s="78" t="e">
        <f t="shared" ca="1" si="23"/>
        <v>#NAME?</v>
      </c>
      <c r="L134" s="78" t="e">
        <f t="shared" ca="1" si="24"/>
        <v>#NAME?</v>
      </c>
      <c r="M134" s="78" t="e">
        <f t="shared" ca="1" si="25"/>
        <v>#NAME?</v>
      </c>
      <c r="N134" s="78" t="e">
        <f t="shared" ca="1" si="26"/>
        <v>#NAME?</v>
      </c>
      <c r="AI134" s="69">
        <v>107</v>
      </c>
      <c r="AJ134" s="1">
        <v>0</v>
      </c>
      <c r="AK134" s="70">
        <f t="shared" si="32"/>
        <v>1</v>
      </c>
      <c r="AL134" s="72">
        <f t="shared" si="33"/>
        <v>0</v>
      </c>
    </row>
    <row r="135" spans="1:38" x14ac:dyDescent="0.25">
      <c r="A135" s="79"/>
      <c r="B135" s="108" t="e">
        <f t="shared" ca="1" si="29"/>
        <v>#NAME?</v>
      </c>
      <c r="C135" s="109" t="e">
        <f t="shared" ca="1" si="30"/>
        <v>#NAME?</v>
      </c>
      <c r="D135" s="110" t="e">
        <f t="shared" ca="1" si="17"/>
        <v>#NAME?</v>
      </c>
      <c r="E135" s="111" t="e">
        <f t="shared" ca="1" si="18"/>
        <v>#NAME?</v>
      </c>
      <c r="F135" s="110" t="e">
        <f t="shared" ca="1" si="19"/>
        <v>#NAME?</v>
      </c>
      <c r="G135" s="112" t="e">
        <f t="shared" ca="1" si="31"/>
        <v>#NAME?</v>
      </c>
      <c r="H135" s="113" t="e">
        <f t="shared" ca="1" si="20"/>
        <v>#NAME?</v>
      </c>
      <c r="I135" s="79" t="e">
        <f t="shared" ca="1" si="21"/>
        <v>#NAME?</v>
      </c>
      <c r="J135" s="115" t="e">
        <f t="shared" ca="1" si="22"/>
        <v>#NAME?</v>
      </c>
      <c r="K135" s="78" t="e">
        <f t="shared" ca="1" si="23"/>
        <v>#NAME?</v>
      </c>
      <c r="L135" s="78" t="e">
        <f t="shared" ca="1" si="24"/>
        <v>#NAME?</v>
      </c>
      <c r="M135" s="78" t="e">
        <f t="shared" ca="1" si="25"/>
        <v>#NAME?</v>
      </c>
      <c r="N135" s="78" t="e">
        <f t="shared" ca="1" si="26"/>
        <v>#NAME?</v>
      </c>
      <c r="AI135" s="69">
        <v>108</v>
      </c>
      <c r="AJ135" s="1">
        <v>0</v>
      </c>
      <c r="AK135" s="70">
        <f t="shared" si="32"/>
        <v>1</v>
      </c>
      <c r="AL135" s="72">
        <f t="shared" si="33"/>
        <v>0</v>
      </c>
    </row>
    <row r="136" spans="1:38" x14ac:dyDescent="0.25">
      <c r="A136" s="79"/>
      <c r="B136" s="108" t="e">
        <f t="shared" ca="1" si="29"/>
        <v>#NAME?</v>
      </c>
      <c r="C136" s="109" t="e">
        <f t="shared" ca="1" si="30"/>
        <v>#NAME?</v>
      </c>
      <c r="D136" s="110" t="e">
        <f t="shared" ca="1" si="17"/>
        <v>#NAME?</v>
      </c>
      <c r="E136" s="111" t="e">
        <f t="shared" ca="1" si="18"/>
        <v>#NAME?</v>
      </c>
      <c r="F136" s="110" t="e">
        <f t="shared" ca="1" si="19"/>
        <v>#NAME?</v>
      </c>
      <c r="G136" s="112" t="e">
        <f t="shared" ca="1" si="31"/>
        <v>#NAME?</v>
      </c>
      <c r="H136" s="113" t="e">
        <f t="shared" ca="1" si="20"/>
        <v>#NAME?</v>
      </c>
      <c r="I136" s="79" t="e">
        <f t="shared" ca="1" si="21"/>
        <v>#NAME?</v>
      </c>
      <c r="J136" s="115" t="e">
        <f t="shared" ca="1" si="22"/>
        <v>#NAME?</v>
      </c>
      <c r="K136" s="78" t="e">
        <f t="shared" ca="1" si="23"/>
        <v>#NAME?</v>
      </c>
      <c r="L136" s="78" t="e">
        <f t="shared" ca="1" si="24"/>
        <v>#NAME?</v>
      </c>
      <c r="M136" s="78" t="e">
        <f t="shared" ca="1" si="25"/>
        <v>#NAME?</v>
      </c>
      <c r="N136" s="78" t="e">
        <f t="shared" ca="1" si="26"/>
        <v>#NAME?</v>
      </c>
      <c r="AI136" s="69">
        <v>109</v>
      </c>
      <c r="AJ136" s="1">
        <v>0</v>
      </c>
      <c r="AK136" s="70">
        <f t="shared" si="32"/>
        <v>1</v>
      </c>
      <c r="AL136" s="72">
        <f t="shared" si="33"/>
        <v>0</v>
      </c>
    </row>
    <row r="137" spans="1:38" x14ac:dyDescent="0.25">
      <c r="A137" s="79"/>
      <c r="B137" s="108" t="e">
        <f t="shared" ca="1" si="29"/>
        <v>#NAME?</v>
      </c>
      <c r="C137" s="109" t="e">
        <f t="shared" ca="1" si="30"/>
        <v>#NAME?</v>
      </c>
      <c r="D137" s="110" t="e">
        <f t="shared" ca="1" si="17"/>
        <v>#NAME?</v>
      </c>
      <c r="E137" s="111" t="e">
        <f t="shared" ca="1" si="18"/>
        <v>#NAME?</v>
      </c>
      <c r="F137" s="110" t="e">
        <f t="shared" ca="1" si="19"/>
        <v>#NAME?</v>
      </c>
      <c r="G137" s="112" t="e">
        <f t="shared" ca="1" si="31"/>
        <v>#NAME?</v>
      </c>
      <c r="H137" s="113" t="e">
        <f t="shared" ca="1" si="20"/>
        <v>#NAME?</v>
      </c>
      <c r="I137" s="79" t="e">
        <f t="shared" ca="1" si="21"/>
        <v>#NAME?</v>
      </c>
      <c r="J137" s="115" t="e">
        <f t="shared" ca="1" si="22"/>
        <v>#NAME?</v>
      </c>
      <c r="K137" s="78" t="e">
        <f t="shared" ca="1" si="23"/>
        <v>#NAME?</v>
      </c>
      <c r="L137" s="78" t="e">
        <f t="shared" ca="1" si="24"/>
        <v>#NAME?</v>
      </c>
      <c r="M137" s="78" t="e">
        <f t="shared" ca="1" si="25"/>
        <v>#NAME?</v>
      </c>
      <c r="N137" s="78" t="e">
        <f t="shared" ca="1" si="26"/>
        <v>#NAME?</v>
      </c>
      <c r="AI137" s="73">
        <v>110</v>
      </c>
      <c r="AJ137" s="35">
        <v>0</v>
      </c>
      <c r="AK137" s="74">
        <f t="shared" si="32"/>
        <v>1</v>
      </c>
      <c r="AL137" s="75" t="e">
        <f>+AJ137-#REF!</f>
        <v>#REF!</v>
      </c>
    </row>
    <row r="138" spans="1:38" x14ac:dyDescent="0.25">
      <c r="A138" s="79"/>
      <c r="B138" s="108" t="e">
        <f t="shared" ca="1" si="29"/>
        <v>#NAME?</v>
      </c>
      <c r="C138" s="109" t="e">
        <f t="shared" ca="1" si="30"/>
        <v>#NAME?</v>
      </c>
      <c r="D138" s="110" t="e">
        <f t="shared" ca="1" si="17"/>
        <v>#NAME?</v>
      </c>
      <c r="E138" s="111" t="e">
        <f t="shared" ca="1" si="18"/>
        <v>#NAME?</v>
      </c>
      <c r="F138" s="110" t="e">
        <f t="shared" ca="1" si="19"/>
        <v>#NAME?</v>
      </c>
      <c r="G138" s="112" t="e">
        <f t="shared" ca="1" si="31"/>
        <v>#NAME?</v>
      </c>
      <c r="H138" s="113" t="e">
        <f t="shared" ca="1" si="20"/>
        <v>#NAME?</v>
      </c>
      <c r="I138" s="79" t="e">
        <f t="shared" ca="1" si="21"/>
        <v>#NAME?</v>
      </c>
      <c r="J138" s="115" t="e">
        <f t="shared" ca="1" si="22"/>
        <v>#NAME?</v>
      </c>
      <c r="K138" s="78" t="e">
        <f t="shared" ca="1" si="23"/>
        <v>#NAME?</v>
      </c>
      <c r="L138" s="78" t="e">
        <f t="shared" ca="1" si="24"/>
        <v>#NAME?</v>
      </c>
      <c r="M138" s="78" t="e">
        <f t="shared" ca="1" si="25"/>
        <v>#NAME?</v>
      </c>
      <c r="N138" s="78" t="e">
        <f t="shared" ca="1" si="26"/>
        <v>#NAME?</v>
      </c>
    </row>
    <row r="139" spans="1:38" x14ac:dyDescent="0.25">
      <c r="A139" s="79"/>
      <c r="B139" s="108" t="e">
        <f t="shared" ca="1" si="29"/>
        <v>#NAME?</v>
      </c>
      <c r="C139" s="109" t="e">
        <f t="shared" ca="1" si="30"/>
        <v>#NAME?</v>
      </c>
      <c r="D139" s="110" t="e">
        <f t="shared" ca="1" si="17"/>
        <v>#NAME?</v>
      </c>
      <c r="E139" s="111" t="e">
        <f t="shared" ca="1" si="18"/>
        <v>#NAME?</v>
      </c>
      <c r="F139" s="110" t="e">
        <f t="shared" ca="1" si="19"/>
        <v>#NAME?</v>
      </c>
      <c r="G139" s="112" t="e">
        <f t="shared" ca="1" si="31"/>
        <v>#NAME?</v>
      </c>
      <c r="H139" s="113" t="e">
        <f t="shared" ca="1" si="20"/>
        <v>#NAME?</v>
      </c>
      <c r="I139" s="79" t="e">
        <f t="shared" ca="1" si="21"/>
        <v>#NAME?</v>
      </c>
      <c r="J139" s="115" t="e">
        <f t="shared" ca="1" si="22"/>
        <v>#NAME?</v>
      </c>
      <c r="K139" s="78" t="e">
        <f t="shared" ca="1" si="23"/>
        <v>#NAME?</v>
      </c>
      <c r="L139" s="78" t="e">
        <f t="shared" ca="1" si="24"/>
        <v>#NAME?</v>
      </c>
      <c r="M139" s="78" t="e">
        <f t="shared" ca="1" si="25"/>
        <v>#NAME?</v>
      </c>
      <c r="N139" s="78" t="e">
        <f t="shared" ca="1" si="26"/>
        <v>#NAME?</v>
      </c>
    </row>
    <row r="140" spans="1:38" x14ac:dyDescent="0.25">
      <c r="A140" s="79"/>
      <c r="B140" s="108" t="e">
        <f t="shared" ca="1" si="29"/>
        <v>#NAME?</v>
      </c>
      <c r="C140" s="109" t="e">
        <f t="shared" ca="1" si="30"/>
        <v>#NAME?</v>
      </c>
      <c r="D140" s="110" t="e">
        <f t="shared" ca="1" si="17"/>
        <v>#NAME?</v>
      </c>
      <c r="E140" s="111" t="e">
        <f t="shared" ca="1" si="18"/>
        <v>#NAME?</v>
      </c>
      <c r="F140" s="110" t="e">
        <f t="shared" ca="1" si="19"/>
        <v>#NAME?</v>
      </c>
      <c r="G140" s="112" t="e">
        <f t="shared" ca="1" si="31"/>
        <v>#NAME?</v>
      </c>
      <c r="H140" s="113" t="e">
        <f t="shared" ca="1" si="20"/>
        <v>#NAME?</v>
      </c>
      <c r="I140" s="79" t="e">
        <f t="shared" ca="1" si="21"/>
        <v>#NAME?</v>
      </c>
      <c r="J140" s="115" t="e">
        <f t="shared" ca="1" si="22"/>
        <v>#NAME?</v>
      </c>
      <c r="K140" s="78" t="e">
        <f t="shared" ca="1" si="23"/>
        <v>#NAME?</v>
      </c>
      <c r="L140" s="78" t="e">
        <f t="shared" ca="1" si="24"/>
        <v>#NAME?</v>
      </c>
      <c r="M140" s="78" t="e">
        <f t="shared" ca="1" si="25"/>
        <v>#NAME?</v>
      </c>
      <c r="N140" s="78" t="e">
        <f t="shared" ca="1" si="26"/>
        <v>#NAME?</v>
      </c>
    </row>
    <row r="141" spans="1:38" x14ac:dyDescent="0.25">
      <c r="A141" s="79"/>
      <c r="B141" s="108" t="e">
        <f t="shared" ca="1" si="29"/>
        <v>#NAME?</v>
      </c>
      <c r="C141" s="109" t="e">
        <f t="shared" ca="1" si="30"/>
        <v>#NAME?</v>
      </c>
      <c r="D141" s="110" t="e">
        <f t="shared" ca="1" si="17"/>
        <v>#NAME?</v>
      </c>
      <c r="E141" s="111" t="e">
        <f t="shared" ca="1" si="18"/>
        <v>#NAME?</v>
      </c>
      <c r="F141" s="110" t="e">
        <f t="shared" ca="1" si="19"/>
        <v>#NAME?</v>
      </c>
      <c r="G141" s="112" t="e">
        <f t="shared" ca="1" si="31"/>
        <v>#NAME?</v>
      </c>
      <c r="H141" s="113" t="e">
        <f t="shared" ca="1" si="20"/>
        <v>#NAME?</v>
      </c>
      <c r="I141" s="79" t="e">
        <f t="shared" ca="1" si="21"/>
        <v>#NAME?</v>
      </c>
      <c r="J141" s="115" t="e">
        <f t="shared" ca="1" si="22"/>
        <v>#NAME?</v>
      </c>
      <c r="K141" s="78" t="e">
        <f t="shared" ca="1" si="23"/>
        <v>#NAME?</v>
      </c>
      <c r="L141" s="78" t="e">
        <f t="shared" ca="1" si="24"/>
        <v>#NAME?</v>
      </c>
      <c r="M141" s="78" t="e">
        <f t="shared" ca="1" si="25"/>
        <v>#NAME?</v>
      </c>
      <c r="N141" s="78" t="e">
        <f t="shared" ca="1" si="26"/>
        <v>#NAME?</v>
      </c>
    </row>
    <row r="142" spans="1:38" x14ac:dyDescent="0.25">
      <c r="A142" s="79"/>
      <c r="B142" s="108" t="e">
        <f t="shared" ca="1" si="29"/>
        <v>#NAME?</v>
      </c>
      <c r="C142" s="109" t="e">
        <f t="shared" ca="1" si="30"/>
        <v>#NAME?</v>
      </c>
      <c r="D142" s="110" t="e">
        <f t="shared" ca="1" si="17"/>
        <v>#NAME?</v>
      </c>
      <c r="E142" s="111" t="e">
        <f t="shared" ca="1" si="18"/>
        <v>#NAME?</v>
      </c>
      <c r="F142" s="110" t="e">
        <f t="shared" ca="1" si="19"/>
        <v>#NAME?</v>
      </c>
      <c r="G142" s="112" t="e">
        <f t="shared" ca="1" si="31"/>
        <v>#NAME?</v>
      </c>
      <c r="H142" s="113" t="e">
        <f t="shared" ca="1" si="20"/>
        <v>#NAME?</v>
      </c>
      <c r="I142" s="79" t="e">
        <f t="shared" ca="1" si="21"/>
        <v>#NAME?</v>
      </c>
      <c r="J142" s="115" t="e">
        <f t="shared" ca="1" si="22"/>
        <v>#NAME?</v>
      </c>
      <c r="K142" s="78" t="e">
        <f t="shared" ca="1" si="23"/>
        <v>#NAME?</v>
      </c>
      <c r="L142" s="78" t="e">
        <f t="shared" ca="1" si="24"/>
        <v>#NAME?</v>
      </c>
      <c r="M142" s="78" t="e">
        <f t="shared" ca="1" si="25"/>
        <v>#NAME?</v>
      </c>
      <c r="N142" s="78" t="e">
        <f t="shared" ca="1" si="26"/>
        <v>#NAME?</v>
      </c>
    </row>
    <row r="143" spans="1:38" x14ac:dyDescent="0.25">
      <c r="A143" s="79"/>
      <c r="B143" s="108" t="e">
        <f t="shared" ca="1" si="29"/>
        <v>#NAME?</v>
      </c>
      <c r="C143" s="109" t="e">
        <f t="shared" ca="1" si="30"/>
        <v>#NAME?</v>
      </c>
      <c r="D143" s="110" t="e">
        <f t="shared" ca="1" si="17"/>
        <v>#NAME?</v>
      </c>
      <c r="E143" s="111" t="e">
        <f t="shared" ca="1" si="18"/>
        <v>#NAME?</v>
      </c>
      <c r="F143" s="110" t="e">
        <f t="shared" ca="1" si="19"/>
        <v>#NAME?</v>
      </c>
      <c r="G143" s="112" t="e">
        <f t="shared" ca="1" si="31"/>
        <v>#NAME?</v>
      </c>
      <c r="H143" s="113" t="e">
        <f t="shared" ca="1" si="20"/>
        <v>#NAME?</v>
      </c>
      <c r="I143" s="79" t="e">
        <f t="shared" ca="1" si="21"/>
        <v>#NAME?</v>
      </c>
      <c r="J143" s="115" t="e">
        <f t="shared" ca="1" si="22"/>
        <v>#NAME?</v>
      </c>
      <c r="K143" s="78" t="e">
        <f t="shared" ca="1" si="23"/>
        <v>#NAME?</v>
      </c>
      <c r="L143" s="78" t="e">
        <f t="shared" ca="1" si="24"/>
        <v>#NAME?</v>
      </c>
      <c r="M143" s="78" t="e">
        <f t="shared" ca="1" si="25"/>
        <v>#NAME?</v>
      </c>
      <c r="N143" s="78" t="e">
        <f t="shared" ca="1" si="26"/>
        <v>#NAME?</v>
      </c>
    </row>
    <row r="144" spans="1:38" x14ac:dyDescent="0.25">
      <c r="A144" s="79"/>
      <c r="B144" s="108" t="e">
        <f t="shared" ca="1" si="29"/>
        <v>#NAME?</v>
      </c>
      <c r="C144" s="109" t="e">
        <f t="shared" ca="1" si="30"/>
        <v>#NAME?</v>
      </c>
      <c r="D144" s="110" t="e">
        <f t="shared" ca="1" si="17"/>
        <v>#NAME?</v>
      </c>
      <c r="E144" s="111" t="e">
        <f t="shared" ca="1" si="18"/>
        <v>#NAME?</v>
      </c>
      <c r="F144" s="110" t="e">
        <f t="shared" ca="1" si="19"/>
        <v>#NAME?</v>
      </c>
      <c r="G144" s="112" t="e">
        <f t="shared" ca="1" si="31"/>
        <v>#NAME?</v>
      </c>
      <c r="H144" s="113" t="e">
        <f t="shared" ca="1" si="20"/>
        <v>#NAME?</v>
      </c>
      <c r="I144" s="79" t="e">
        <f t="shared" ca="1" si="21"/>
        <v>#NAME?</v>
      </c>
      <c r="J144" s="115" t="e">
        <f t="shared" ca="1" si="22"/>
        <v>#NAME?</v>
      </c>
      <c r="K144" s="78" t="e">
        <f t="shared" ca="1" si="23"/>
        <v>#NAME?</v>
      </c>
      <c r="L144" s="78" t="e">
        <f t="shared" ca="1" si="24"/>
        <v>#NAME?</v>
      </c>
      <c r="M144" s="78" t="e">
        <f t="shared" ca="1" si="25"/>
        <v>#NAME?</v>
      </c>
      <c r="N144" s="78" t="e">
        <f t="shared" ca="1" si="26"/>
        <v>#NAME?</v>
      </c>
    </row>
    <row r="145" spans="1:14" x14ac:dyDescent="0.25">
      <c r="A145" s="79"/>
      <c r="B145" s="108" t="e">
        <f t="shared" ca="1" si="29"/>
        <v>#NAME?</v>
      </c>
      <c r="C145" s="109" t="e">
        <f t="shared" ca="1" si="30"/>
        <v>#NAME?</v>
      </c>
      <c r="D145" s="110" t="e">
        <f t="shared" ca="1" si="17"/>
        <v>#NAME?</v>
      </c>
      <c r="E145" s="111" t="e">
        <f t="shared" ca="1" si="18"/>
        <v>#NAME?</v>
      </c>
      <c r="F145" s="110" t="e">
        <f t="shared" ca="1" si="19"/>
        <v>#NAME?</v>
      </c>
      <c r="G145" s="112" t="e">
        <f t="shared" ca="1" si="31"/>
        <v>#NAME?</v>
      </c>
      <c r="H145" s="113" t="e">
        <f t="shared" ca="1" si="20"/>
        <v>#NAME?</v>
      </c>
      <c r="I145" s="79" t="e">
        <f t="shared" ca="1" si="21"/>
        <v>#NAME?</v>
      </c>
      <c r="J145" s="115" t="e">
        <f t="shared" ca="1" si="22"/>
        <v>#NAME?</v>
      </c>
      <c r="K145" s="78" t="e">
        <f t="shared" ca="1" si="23"/>
        <v>#NAME?</v>
      </c>
      <c r="L145" s="78" t="e">
        <f t="shared" ca="1" si="24"/>
        <v>#NAME?</v>
      </c>
      <c r="M145" s="78" t="e">
        <f t="shared" ca="1" si="25"/>
        <v>#NAME?</v>
      </c>
      <c r="N145" s="78" t="e">
        <f t="shared" ca="1" si="26"/>
        <v>#NAME?</v>
      </c>
    </row>
    <row r="146" spans="1:14" x14ac:dyDescent="0.25">
      <c r="A146" s="79"/>
      <c r="B146" s="108" t="e">
        <f t="shared" ca="1" si="29"/>
        <v>#NAME?</v>
      </c>
      <c r="C146" s="109" t="e">
        <f t="shared" ca="1" si="30"/>
        <v>#NAME?</v>
      </c>
      <c r="D146" s="110" t="e">
        <f t="shared" ca="1" si="17"/>
        <v>#NAME?</v>
      </c>
      <c r="E146" s="111" t="e">
        <f t="shared" ca="1" si="18"/>
        <v>#NAME?</v>
      </c>
      <c r="F146" s="110" t="e">
        <f t="shared" ca="1" si="19"/>
        <v>#NAME?</v>
      </c>
      <c r="G146" s="112" t="e">
        <f t="shared" ca="1" si="31"/>
        <v>#NAME?</v>
      </c>
      <c r="H146" s="113" t="e">
        <f t="shared" ca="1" si="20"/>
        <v>#NAME?</v>
      </c>
      <c r="I146" s="79" t="e">
        <f t="shared" ca="1" si="21"/>
        <v>#NAME?</v>
      </c>
      <c r="J146" s="115" t="e">
        <f t="shared" ca="1" si="22"/>
        <v>#NAME?</v>
      </c>
      <c r="K146" s="78" t="e">
        <f t="shared" ca="1" si="23"/>
        <v>#NAME?</v>
      </c>
      <c r="L146" s="78" t="e">
        <f t="shared" ca="1" si="24"/>
        <v>#NAME?</v>
      </c>
      <c r="M146" s="78" t="e">
        <f t="shared" ca="1" si="25"/>
        <v>#NAME?</v>
      </c>
      <c r="N146" s="78" t="e">
        <f t="shared" ca="1" si="26"/>
        <v>#NAME?</v>
      </c>
    </row>
    <row r="147" spans="1:14" x14ac:dyDescent="0.25">
      <c r="A147" s="79"/>
      <c r="B147" s="108" t="e">
        <f t="shared" ca="1" si="29"/>
        <v>#NAME?</v>
      </c>
      <c r="C147" s="109" t="e">
        <f t="shared" ca="1" si="30"/>
        <v>#NAME?</v>
      </c>
      <c r="D147" s="110" t="e">
        <f t="shared" ca="1" si="17"/>
        <v>#NAME?</v>
      </c>
      <c r="E147" s="111" t="e">
        <f t="shared" ca="1" si="18"/>
        <v>#NAME?</v>
      </c>
      <c r="F147" s="110" t="e">
        <f t="shared" ca="1" si="19"/>
        <v>#NAME?</v>
      </c>
      <c r="G147" s="112" t="e">
        <f t="shared" ca="1" si="31"/>
        <v>#NAME?</v>
      </c>
      <c r="H147" s="113" t="e">
        <f t="shared" ca="1" si="20"/>
        <v>#NAME?</v>
      </c>
      <c r="I147" s="79" t="e">
        <f t="shared" ca="1" si="21"/>
        <v>#NAME?</v>
      </c>
      <c r="J147" s="115" t="e">
        <f t="shared" ca="1" si="22"/>
        <v>#NAME?</v>
      </c>
      <c r="K147" s="78" t="e">
        <f t="shared" ca="1" si="23"/>
        <v>#NAME?</v>
      </c>
      <c r="L147" s="78" t="e">
        <f t="shared" ca="1" si="24"/>
        <v>#NAME?</v>
      </c>
      <c r="M147" s="78" t="e">
        <f t="shared" ca="1" si="25"/>
        <v>#NAME?</v>
      </c>
      <c r="N147" s="78" t="e">
        <f t="shared" ca="1" si="26"/>
        <v>#NAME?</v>
      </c>
    </row>
    <row r="148" spans="1:14" x14ac:dyDescent="0.25">
      <c r="A148" s="79"/>
      <c r="B148" s="108" t="e">
        <f t="shared" ca="1" si="29"/>
        <v>#NAME?</v>
      </c>
      <c r="C148" s="109" t="e">
        <f t="shared" ca="1" si="30"/>
        <v>#NAME?</v>
      </c>
      <c r="D148" s="110" t="e">
        <f t="shared" ca="1" si="17"/>
        <v>#NAME?</v>
      </c>
      <c r="E148" s="111" t="e">
        <f t="shared" ca="1" si="18"/>
        <v>#NAME?</v>
      </c>
      <c r="F148" s="110" t="e">
        <f t="shared" ca="1" si="19"/>
        <v>#NAME?</v>
      </c>
      <c r="G148" s="112" t="e">
        <f t="shared" ca="1" si="31"/>
        <v>#NAME?</v>
      </c>
      <c r="H148" s="113" t="e">
        <f t="shared" ca="1" si="20"/>
        <v>#NAME?</v>
      </c>
      <c r="I148" s="79" t="e">
        <f t="shared" ca="1" si="21"/>
        <v>#NAME?</v>
      </c>
      <c r="J148" s="115" t="e">
        <f t="shared" ca="1" si="22"/>
        <v>#NAME?</v>
      </c>
      <c r="K148" s="78" t="e">
        <f t="shared" ca="1" si="23"/>
        <v>#NAME?</v>
      </c>
      <c r="L148" s="78" t="e">
        <f t="shared" ca="1" si="24"/>
        <v>#NAME?</v>
      </c>
      <c r="M148" s="78" t="e">
        <f t="shared" ca="1" si="25"/>
        <v>#NAME?</v>
      </c>
      <c r="N148" s="78" t="e">
        <f t="shared" ca="1" si="26"/>
        <v>#NAME?</v>
      </c>
    </row>
    <row r="149" spans="1:14" x14ac:dyDescent="0.25">
      <c r="A149" s="79"/>
      <c r="B149" s="108" t="e">
        <f t="shared" ca="1" si="29"/>
        <v>#NAME?</v>
      </c>
      <c r="C149" s="109" t="e">
        <f t="shared" ca="1" si="30"/>
        <v>#NAME?</v>
      </c>
      <c r="D149" s="110" t="e">
        <f t="shared" ca="1" si="17"/>
        <v>#NAME?</v>
      </c>
      <c r="E149" s="111" t="e">
        <f t="shared" ca="1" si="18"/>
        <v>#NAME?</v>
      </c>
      <c r="F149" s="110" t="e">
        <f t="shared" ca="1" si="19"/>
        <v>#NAME?</v>
      </c>
      <c r="G149" s="112" t="e">
        <f t="shared" ca="1" si="31"/>
        <v>#NAME?</v>
      </c>
      <c r="H149" s="113" t="e">
        <f t="shared" ca="1" si="20"/>
        <v>#NAME?</v>
      </c>
      <c r="I149" s="79" t="e">
        <f t="shared" ca="1" si="21"/>
        <v>#NAME?</v>
      </c>
      <c r="J149" s="115" t="e">
        <f t="shared" ca="1" si="22"/>
        <v>#NAME?</v>
      </c>
      <c r="K149" s="78" t="e">
        <f t="shared" ca="1" si="23"/>
        <v>#NAME?</v>
      </c>
      <c r="L149" s="78" t="e">
        <f t="shared" ca="1" si="24"/>
        <v>#NAME?</v>
      </c>
      <c r="M149" s="78" t="e">
        <f t="shared" ca="1" si="25"/>
        <v>#NAME?</v>
      </c>
      <c r="N149" s="78" t="e">
        <f t="shared" ca="1" si="26"/>
        <v>#NAME?</v>
      </c>
    </row>
    <row r="150" spans="1:14" x14ac:dyDescent="0.25">
      <c r="A150" s="79"/>
      <c r="B150" s="108" t="e">
        <f t="shared" ca="1" si="29"/>
        <v>#NAME?</v>
      </c>
      <c r="C150" s="109" t="e">
        <f t="shared" ca="1" si="30"/>
        <v>#NAME?</v>
      </c>
      <c r="D150" s="110" t="e">
        <f t="shared" ca="1" si="17"/>
        <v>#NAME?</v>
      </c>
      <c r="E150" s="111" t="e">
        <f t="shared" ca="1" si="18"/>
        <v>#NAME?</v>
      </c>
      <c r="F150" s="110" t="e">
        <f t="shared" ca="1" si="19"/>
        <v>#NAME?</v>
      </c>
      <c r="G150" s="112" t="e">
        <f t="shared" ca="1" si="31"/>
        <v>#NAME?</v>
      </c>
      <c r="H150" s="113" t="e">
        <f t="shared" ca="1" si="20"/>
        <v>#NAME?</v>
      </c>
      <c r="I150" s="79" t="e">
        <f t="shared" ca="1" si="21"/>
        <v>#NAME?</v>
      </c>
      <c r="J150" s="115" t="e">
        <f t="shared" ca="1" si="22"/>
        <v>#NAME?</v>
      </c>
      <c r="K150" s="78" t="e">
        <f t="shared" ca="1" si="23"/>
        <v>#NAME?</v>
      </c>
      <c r="L150" s="78" t="e">
        <f t="shared" ca="1" si="24"/>
        <v>#NAME?</v>
      </c>
      <c r="M150" s="78" t="e">
        <f t="shared" ca="1" si="25"/>
        <v>#NAME?</v>
      </c>
      <c r="N150" s="78" t="e">
        <f t="shared" ca="1" si="26"/>
        <v>#NAME?</v>
      </c>
    </row>
    <row r="151" spans="1:14" x14ac:dyDescent="0.25">
      <c r="A151" s="79"/>
      <c r="B151" s="108" t="e">
        <f t="shared" ca="1" si="29"/>
        <v>#NAME?</v>
      </c>
      <c r="C151" s="109" t="e">
        <f t="shared" ca="1" si="30"/>
        <v>#NAME?</v>
      </c>
      <c r="D151" s="110" t="e">
        <f t="shared" ca="1" si="17"/>
        <v>#NAME?</v>
      </c>
      <c r="E151" s="111" t="e">
        <f t="shared" ca="1" si="18"/>
        <v>#NAME?</v>
      </c>
      <c r="F151" s="110" t="e">
        <f t="shared" ca="1" si="19"/>
        <v>#NAME?</v>
      </c>
      <c r="G151" s="112" t="e">
        <f t="shared" ca="1" si="31"/>
        <v>#NAME?</v>
      </c>
      <c r="H151" s="113" t="e">
        <f t="shared" ca="1" si="20"/>
        <v>#NAME?</v>
      </c>
      <c r="I151" s="79" t="e">
        <f t="shared" ca="1" si="21"/>
        <v>#NAME?</v>
      </c>
      <c r="J151" s="115" t="e">
        <f t="shared" ca="1" si="22"/>
        <v>#NAME?</v>
      </c>
      <c r="K151" s="78" t="e">
        <f t="shared" ca="1" si="23"/>
        <v>#NAME?</v>
      </c>
      <c r="L151" s="78" t="e">
        <f t="shared" ca="1" si="24"/>
        <v>#NAME?</v>
      </c>
      <c r="M151" s="78" t="e">
        <f t="shared" ca="1" si="25"/>
        <v>#NAME?</v>
      </c>
      <c r="N151" s="78" t="e">
        <f t="shared" ca="1" si="26"/>
        <v>#NAME?</v>
      </c>
    </row>
    <row r="152" spans="1:14" x14ac:dyDescent="0.25">
      <c r="A152" s="79"/>
      <c r="B152" s="108" t="e">
        <f t="shared" ca="1" si="29"/>
        <v>#NAME?</v>
      </c>
      <c r="C152" s="109" t="e">
        <f t="shared" ca="1" si="30"/>
        <v>#NAME?</v>
      </c>
      <c r="D152" s="110" t="e">
        <f t="shared" ca="1" si="17"/>
        <v>#NAME?</v>
      </c>
      <c r="E152" s="111" t="e">
        <f t="shared" ca="1" si="18"/>
        <v>#NAME?</v>
      </c>
      <c r="F152" s="110" t="e">
        <f t="shared" ca="1" si="19"/>
        <v>#NAME?</v>
      </c>
      <c r="G152" s="112" t="e">
        <f t="shared" ca="1" si="31"/>
        <v>#NAME?</v>
      </c>
      <c r="H152" s="113" t="e">
        <f t="shared" ca="1" si="20"/>
        <v>#NAME?</v>
      </c>
      <c r="I152" s="79" t="e">
        <f t="shared" ca="1" si="21"/>
        <v>#NAME?</v>
      </c>
      <c r="J152" s="115" t="e">
        <f t="shared" ca="1" si="22"/>
        <v>#NAME?</v>
      </c>
      <c r="K152" s="78" t="e">
        <f t="shared" ca="1" si="23"/>
        <v>#NAME?</v>
      </c>
      <c r="L152" s="78" t="e">
        <f t="shared" ca="1" si="24"/>
        <v>#NAME?</v>
      </c>
      <c r="M152" s="78" t="e">
        <f t="shared" ca="1" si="25"/>
        <v>#NAME?</v>
      </c>
      <c r="N152" s="78" t="e">
        <f t="shared" ca="1" si="26"/>
        <v>#NAME?</v>
      </c>
    </row>
    <row r="153" spans="1:14" x14ac:dyDescent="0.25">
      <c r="A153" s="79"/>
      <c r="B153" s="108" t="e">
        <f t="shared" ca="1" si="29"/>
        <v>#NAME?</v>
      </c>
      <c r="C153" s="109" t="e">
        <f t="shared" ca="1" si="30"/>
        <v>#NAME?</v>
      </c>
      <c r="D153" s="110" t="e">
        <f t="shared" ca="1" si="17"/>
        <v>#NAME?</v>
      </c>
      <c r="E153" s="111" t="e">
        <f t="shared" ca="1" si="18"/>
        <v>#NAME?</v>
      </c>
      <c r="F153" s="110" t="e">
        <f t="shared" ca="1" si="19"/>
        <v>#NAME?</v>
      </c>
      <c r="G153" s="112" t="e">
        <f t="shared" ca="1" si="31"/>
        <v>#NAME?</v>
      </c>
      <c r="H153" s="113" t="e">
        <f t="shared" ca="1" si="20"/>
        <v>#NAME?</v>
      </c>
      <c r="I153" s="79" t="e">
        <f t="shared" ca="1" si="21"/>
        <v>#NAME?</v>
      </c>
      <c r="J153" s="115" t="e">
        <f t="shared" ca="1" si="22"/>
        <v>#NAME?</v>
      </c>
      <c r="K153" s="78" t="e">
        <f t="shared" ca="1" si="23"/>
        <v>#NAME?</v>
      </c>
      <c r="L153" s="78" t="e">
        <f t="shared" ca="1" si="24"/>
        <v>#NAME?</v>
      </c>
      <c r="M153" s="78" t="e">
        <f t="shared" ca="1" si="25"/>
        <v>#NAME?</v>
      </c>
      <c r="N153" s="78" t="e">
        <f t="shared" ca="1" si="26"/>
        <v>#NAME?</v>
      </c>
    </row>
    <row r="154" spans="1:14" x14ac:dyDescent="0.25">
      <c r="A154" s="79"/>
      <c r="B154" s="108" t="e">
        <f t="shared" ca="1" si="29"/>
        <v>#NAME?</v>
      </c>
      <c r="C154" s="109" t="e">
        <f t="shared" ca="1" si="30"/>
        <v>#NAME?</v>
      </c>
      <c r="D154" s="110" t="e">
        <f t="shared" ca="1" si="17"/>
        <v>#NAME?</v>
      </c>
      <c r="E154" s="111" t="e">
        <f t="shared" ca="1" si="18"/>
        <v>#NAME?</v>
      </c>
      <c r="F154" s="110" t="e">
        <f t="shared" ca="1" si="19"/>
        <v>#NAME?</v>
      </c>
      <c r="G154" s="112" t="e">
        <f t="shared" ca="1" si="31"/>
        <v>#NAME?</v>
      </c>
      <c r="H154" s="113" t="e">
        <f t="shared" ca="1" si="20"/>
        <v>#NAME?</v>
      </c>
      <c r="I154" s="79" t="e">
        <f t="shared" ca="1" si="21"/>
        <v>#NAME?</v>
      </c>
      <c r="J154" s="115" t="e">
        <f t="shared" ca="1" si="22"/>
        <v>#NAME?</v>
      </c>
      <c r="K154" s="78" t="e">
        <f t="shared" ca="1" si="23"/>
        <v>#NAME?</v>
      </c>
      <c r="L154" s="78" t="e">
        <f t="shared" ca="1" si="24"/>
        <v>#NAME?</v>
      </c>
      <c r="M154" s="78" t="e">
        <f t="shared" ca="1" si="25"/>
        <v>#NAME?</v>
      </c>
      <c r="N154" s="78" t="e">
        <f t="shared" ca="1" si="26"/>
        <v>#NAME?</v>
      </c>
    </row>
    <row r="155" spans="1:14" x14ac:dyDescent="0.25">
      <c r="A155" s="79"/>
      <c r="B155" s="108" t="e">
        <f t="shared" ca="1" si="29"/>
        <v>#NAME?</v>
      </c>
      <c r="C155" s="109" t="e">
        <f t="shared" ca="1" si="30"/>
        <v>#NAME?</v>
      </c>
      <c r="D155" s="110" t="e">
        <f t="shared" ref="D155:D218" ca="1" si="34">montantcapital*J155*(1+i_2)^(-0.5)*(1+t_2)*(1+FraisF)</f>
        <v>#NAME?</v>
      </c>
      <c r="E155" s="111" t="e">
        <f t="shared" ref="E155:E218" ca="1" si="35">ROUND(D155*TxPer,NbDeci)</f>
        <v>#NAME?</v>
      </c>
      <c r="F155" s="110" t="e">
        <f t="shared" ref="F155:F218" ca="1" si="36">IF(B155&lt;=Différé,0,IF(B155&gt;=NbEch+Différé,D155,MtEch-E155))</f>
        <v>#NAME?</v>
      </c>
      <c r="G155" s="112" t="e">
        <f t="shared" ca="1" si="31"/>
        <v>#NAME?</v>
      </c>
      <c r="H155" s="113" t="e">
        <f t="shared" ref="H155:H218" ca="1" si="37">SUM(E155:G155)</f>
        <v>#NAME?</v>
      </c>
      <c r="I155" s="79" t="e">
        <f t="shared" ref="I155:I218" ca="1" si="38">DATEDIF(datenaissance,C155,"y")</f>
        <v>#NAME?</v>
      </c>
      <c r="J155" s="115" t="e">
        <f t="shared" ref="J155:J218" ca="1" si="39">reche18(I155)</f>
        <v>#NAME?</v>
      </c>
      <c r="K155" s="78" t="e">
        <f t="shared" ref="K155:K218" ca="1" si="40">montantcapital*(J155*(1+TxPer)^(-0.5))</f>
        <v>#NAME?</v>
      </c>
      <c r="L155" s="78" t="e">
        <f t="shared" ref="L155:L218" ca="1" si="41">K155*fg</f>
        <v>#NAME?</v>
      </c>
      <c r="M155" s="78" t="e">
        <f t="shared" ref="M155:M218" ca="1" si="42">K155*fraisacquisition</f>
        <v>#NAME?</v>
      </c>
      <c r="N155" s="78" t="e">
        <f t="shared" ref="N155:N218" ca="1" si="43">tf*K155</f>
        <v>#NAME?</v>
      </c>
    </row>
    <row r="156" spans="1:14" x14ac:dyDescent="0.25">
      <c r="A156" s="79"/>
      <c r="B156" s="108" t="e">
        <f t="shared" ref="B156:B219" ca="1" si="44">IF(D156=0,"",B155+1)</f>
        <v>#NAME?</v>
      </c>
      <c r="C156" s="109" t="e">
        <f t="shared" ref="C156:C219" ca="1" si="45">IF(D156=0,"",DATE(YEAR(C155),MONTH(C155)+12/NbEchAn,1))</f>
        <v>#NAME?</v>
      </c>
      <c r="D156" s="110" t="e">
        <f t="shared" ca="1" si="34"/>
        <v>#NAME?</v>
      </c>
      <c r="E156" s="111" t="e">
        <f t="shared" ca="1" si="35"/>
        <v>#NAME?</v>
      </c>
      <c r="F156" s="110" t="e">
        <f t="shared" ca="1" si="36"/>
        <v>#NAME?</v>
      </c>
      <c r="G156" s="112" t="e">
        <f t="shared" ref="G156:G219" ca="1" si="46">IF(D156=0,0,ROUND(FraisF+FraisV*D156,NbDeci))</f>
        <v>#NAME?</v>
      </c>
      <c r="H156" s="113" t="e">
        <f t="shared" ca="1" si="37"/>
        <v>#NAME?</v>
      </c>
      <c r="I156" s="79" t="e">
        <f t="shared" ca="1" si="38"/>
        <v>#NAME?</v>
      </c>
      <c r="J156" s="115" t="e">
        <f t="shared" ca="1" si="39"/>
        <v>#NAME?</v>
      </c>
      <c r="K156" s="78" t="e">
        <f t="shared" ca="1" si="40"/>
        <v>#NAME?</v>
      </c>
      <c r="L156" s="78" t="e">
        <f t="shared" ca="1" si="41"/>
        <v>#NAME?</v>
      </c>
      <c r="M156" s="78" t="e">
        <f t="shared" ca="1" si="42"/>
        <v>#NAME?</v>
      </c>
      <c r="N156" s="78" t="e">
        <f t="shared" ca="1" si="43"/>
        <v>#NAME?</v>
      </c>
    </row>
    <row r="157" spans="1:14" x14ac:dyDescent="0.25">
      <c r="A157" s="79"/>
      <c r="B157" s="108" t="e">
        <f t="shared" ca="1" si="44"/>
        <v>#NAME?</v>
      </c>
      <c r="C157" s="109" t="e">
        <f t="shared" ca="1" si="45"/>
        <v>#NAME?</v>
      </c>
      <c r="D157" s="110" t="e">
        <f t="shared" ca="1" si="34"/>
        <v>#NAME?</v>
      </c>
      <c r="E157" s="111" t="e">
        <f t="shared" ca="1" si="35"/>
        <v>#NAME?</v>
      </c>
      <c r="F157" s="110" t="e">
        <f t="shared" ca="1" si="36"/>
        <v>#NAME?</v>
      </c>
      <c r="G157" s="112" t="e">
        <f t="shared" ca="1" si="46"/>
        <v>#NAME?</v>
      </c>
      <c r="H157" s="113" t="e">
        <f t="shared" ca="1" si="37"/>
        <v>#NAME?</v>
      </c>
      <c r="I157" s="79" t="e">
        <f t="shared" ca="1" si="38"/>
        <v>#NAME?</v>
      </c>
      <c r="J157" s="115" t="e">
        <f t="shared" ca="1" si="39"/>
        <v>#NAME?</v>
      </c>
      <c r="K157" s="78" t="e">
        <f t="shared" ca="1" si="40"/>
        <v>#NAME?</v>
      </c>
      <c r="L157" s="78" t="e">
        <f t="shared" ca="1" si="41"/>
        <v>#NAME?</v>
      </c>
      <c r="M157" s="78" t="e">
        <f t="shared" ca="1" si="42"/>
        <v>#NAME?</v>
      </c>
      <c r="N157" s="78" t="e">
        <f t="shared" ca="1" si="43"/>
        <v>#NAME?</v>
      </c>
    </row>
    <row r="158" spans="1:14" x14ac:dyDescent="0.25">
      <c r="A158" s="79"/>
      <c r="B158" s="108" t="e">
        <f t="shared" ca="1" si="44"/>
        <v>#NAME?</v>
      </c>
      <c r="C158" s="109" t="e">
        <f t="shared" ca="1" si="45"/>
        <v>#NAME?</v>
      </c>
      <c r="D158" s="110" t="e">
        <f t="shared" ca="1" si="34"/>
        <v>#NAME?</v>
      </c>
      <c r="E158" s="111" t="e">
        <f t="shared" ca="1" si="35"/>
        <v>#NAME?</v>
      </c>
      <c r="F158" s="110" t="e">
        <f t="shared" ca="1" si="36"/>
        <v>#NAME?</v>
      </c>
      <c r="G158" s="112" t="e">
        <f t="shared" ca="1" si="46"/>
        <v>#NAME?</v>
      </c>
      <c r="H158" s="113" t="e">
        <f t="shared" ca="1" si="37"/>
        <v>#NAME?</v>
      </c>
      <c r="I158" s="79" t="e">
        <f t="shared" ca="1" si="38"/>
        <v>#NAME?</v>
      </c>
      <c r="J158" s="115" t="e">
        <f t="shared" ca="1" si="39"/>
        <v>#NAME?</v>
      </c>
      <c r="K158" s="78" t="e">
        <f t="shared" ca="1" si="40"/>
        <v>#NAME?</v>
      </c>
      <c r="L158" s="78" t="e">
        <f t="shared" ca="1" si="41"/>
        <v>#NAME?</v>
      </c>
      <c r="M158" s="78" t="e">
        <f t="shared" ca="1" si="42"/>
        <v>#NAME?</v>
      </c>
      <c r="N158" s="78" t="e">
        <f t="shared" ca="1" si="43"/>
        <v>#NAME?</v>
      </c>
    </row>
    <row r="159" spans="1:14" x14ac:dyDescent="0.25">
      <c r="A159" s="79"/>
      <c r="B159" s="108" t="e">
        <f t="shared" ca="1" si="44"/>
        <v>#NAME?</v>
      </c>
      <c r="C159" s="109" t="e">
        <f t="shared" ca="1" si="45"/>
        <v>#NAME?</v>
      </c>
      <c r="D159" s="110" t="e">
        <f t="shared" ca="1" si="34"/>
        <v>#NAME?</v>
      </c>
      <c r="E159" s="111" t="e">
        <f t="shared" ca="1" si="35"/>
        <v>#NAME?</v>
      </c>
      <c r="F159" s="110" t="e">
        <f t="shared" ca="1" si="36"/>
        <v>#NAME?</v>
      </c>
      <c r="G159" s="112" t="e">
        <f t="shared" ca="1" si="46"/>
        <v>#NAME?</v>
      </c>
      <c r="H159" s="113" t="e">
        <f t="shared" ca="1" si="37"/>
        <v>#NAME?</v>
      </c>
      <c r="I159" s="79" t="e">
        <f t="shared" ca="1" si="38"/>
        <v>#NAME?</v>
      </c>
      <c r="J159" s="115" t="e">
        <f t="shared" ca="1" si="39"/>
        <v>#NAME?</v>
      </c>
      <c r="K159" s="78" t="e">
        <f t="shared" ca="1" si="40"/>
        <v>#NAME?</v>
      </c>
      <c r="L159" s="78" t="e">
        <f t="shared" ca="1" si="41"/>
        <v>#NAME?</v>
      </c>
      <c r="M159" s="78" t="e">
        <f t="shared" ca="1" si="42"/>
        <v>#NAME?</v>
      </c>
      <c r="N159" s="78" t="e">
        <f t="shared" ca="1" si="43"/>
        <v>#NAME?</v>
      </c>
    </row>
    <row r="160" spans="1:14" x14ac:dyDescent="0.25">
      <c r="A160" s="79"/>
      <c r="B160" s="108" t="e">
        <f t="shared" ca="1" si="44"/>
        <v>#NAME?</v>
      </c>
      <c r="C160" s="109" t="e">
        <f t="shared" ca="1" si="45"/>
        <v>#NAME?</v>
      </c>
      <c r="D160" s="110" t="e">
        <f t="shared" ca="1" si="34"/>
        <v>#NAME?</v>
      </c>
      <c r="E160" s="111" t="e">
        <f t="shared" ca="1" si="35"/>
        <v>#NAME?</v>
      </c>
      <c r="F160" s="110" t="e">
        <f t="shared" ca="1" si="36"/>
        <v>#NAME?</v>
      </c>
      <c r="G160" s="112" t="e">
        <f t="shared" ca="1" si="46"/>
        <v>#NAME?</v>
      </c>
      <c r="H160" s="113" t="e">
        <f t="shared" ca="1" si="37"/>
        <v>#NAME?</v>
      </c>
      <c r="I160" s="79" t="e">
        <f t="shared" ca="1" si="38"/>
        <v>#NAME?</v>
      </c>
      <c r="J160" s="115" t="e">
        <f t="shared" ca="1" si="39"/>
        <v>#NAME?</v>
      </c>
      <c r="K160" s="78" t="e">
        <f t="shared" ca="1" si="40"/>
        <v>#NAME?</v>
      </c>
      <c r="L160" s="78" t="e">
        <f t="shared" ca="1" si="41"/>
        <v>#NAME?</v>
      </c>
      <c r="M160" s="78" t="e">
        <f t="shared" ca="1" si="42"/>
        <v>#NAME?</v>
      </c>
      <c r="N160" s="78" t="e">
        <f t="shared" ca="1" si="43"/>
        <v>#NAME?</v>
      </c>
    </row>
    <row r="161" spans="1:14" x14ac:dyDescent="0.25">
      <c r="A161" s="79"/>
      <c r="B161" s="108" t="e">
        <f t="shared" ca="1" si="44"/>
        <v>#NAME?</v>
      </c>
      <c r="C161" s="109" t="e">
        <f t="shared" ca="1" si="45"/>
        <v>#NAME?</v>
      </c>
      <c r="D161" s="110" t="e">
        <f t="shared" ca="1" si="34"/>
        <v>#NAME?</v>
      </c>
      <c r="E161" s="111" t="e">
        <f t="shared" ca="1" si="35"/>
        <v>#NAME?</v>
      </c>
      <c r="F161" s="110" t="e">
        <f t="shared" ca="1" si="36"/>
        <v>#NAME?</v>
      </c>
      <c r="G161" s="112" t="e">
        <f t="shared" ca="1" si="46"/>
        <v>#NAME?</v>
      </c>
      <c r="H161" s="113" t="e">
        <f t="shared" ca="1" si="37"/>
        <v>#NAME?</v>
      </c>
      <c r="I161" s="79" t="e">
        <f t="shared" ca="1" si="38"/>
        <v>#NAME?</v>
      </c>
      <c r="J161" s="115" t="e">
        <f t="shared" ca="1" si="39"/>
        <v>#NAME?</v>
      </c>
      <c r="K161" s="78" t="e">
        <f t="shared" ca="1" si="40"/>
        <v>#NAME?</v>
      </c>
      <c r="L161" s="78" t="e">
        <f t="shared" ca="1" si="41"/>
        <v>#NAME?</v>
      </c>
      <c r="M161" s="78" t="e">
        <f t="shared" ca="1" si="42"/>
        <v>#NAME?</v>
      </c>
      <c r="N161" s="78" t="e">
        <f t="shared" ca="1" si="43"/>
        <v>#NAME?</v>
      </c>
    </row>
    <row r="162" spans="1:14" x14ac:dyDescent="0.25">
      <c r="A162" s="79"/>
      <c r="B162" s="108" t="e">
        <f t="shared" ca="1" si="44"/>
        <v>#NAME?</v>
      </c>
      <c r="C162" s="109" t="e">
        <f t="shared" ca="1" si="45"/>
        <v>#NAME?</v>
      </c>
      <c r="D162" s="110" t="e">
        <f t="shared" ca="1" si="34"/>
        <v>#NAME?</v>
      </c>
      <c r="E162" s="111" t="e">
        <f t="shared" ca="1" si="35"/>
        <v>#NAME?</v>
      </c>
      <c r="F162" s="110" t="e">
        <f t="shared" ca="1" si="36"/>
        <v>#NAME?</v>
      </c>
      <c r="G162" s="112" t="e">
        <f t="shared" ca="1" si="46"/>
        <v>#NAME?</v>
      </c>
      <c r="H162" s="113" t="e">
        <f t="shared" ca="1" si="37"/>
        <v>#NAME?</v>
      </c>
      <c r="I162" s="79" t="e">
        <f t="shared" ca="1" si="38"/>
        <v>#NAME?</v>
      </c>
      <c r="J162" s="115" t="e">
        <f t="shared" ca="1" si="39"/>
        <v>#NAME?</v>
      </c>
      <c r="K162" s="78" t="e">
        <f t="shared" ca="1" si="40"/>
        <v>#NAME?</v>
      </c>
      <c r="L162" s="78" t="e">
        <f t="shared" ca="1" si="41"/>
        <v>#NAME?</v>
      </c>
      <c r="M162" s="78" t="e">
        <f t="shared" ca="1" si="42"/>
        <v>#NAME?</v>
      </c>
      <c r="N162" s="78" t="e">
        <f t="shared" ca="1" si="43"/>
        <v>#NAME?</v>
      </c>
    </row>
    <row r="163" spans="1:14" x14ac:dyDescent="0.25">
      <c r="A163" s="79"/>
      <c r="B163" s="108" t="e">
        <f t="shared" ca="1" si="44"/>
        <v>#NAME?</v>
      </c>
      <c r="C163" s="109" t="e">
        <f t="shared" ca="1" si="45"/>
        <v>#NAME?</v>
      </c>
      <c r="D163" s="110" t="e">
        <f t="shared" ca="1" si="34"/>
        <v>#NAME?</v>
      </c>
      <c r="E163" s="111" t="e">
        <f t="shared" ca="1" si="35"/>
        <v>#NAME?</v>
      </c>
      <c r="F163" s="110" t="e">
        <f t="shared" ca="1" si="36"/>
        <v>#NAME?</v>
      </c>
      <c r="G163" s="112" t="e">
        <f t="shared" ca="1" si="46"/>
        <v>#NAME?</v>
      </c>
      <c r="H163" s="113" t="e">
        <f t="shared" ca="1" si="37"/>
        <v>#NAME?</v>
      </c>
      <c r="I163" s="79" t="e">
        <f t="shared" ca="1" si="38"/>
        <v>#NAME?</v>
      </c>
      <c r="J163" s="115" t="e">
        <f t="shared" ca="1" si="39"/>
        <v>#NAME?</v>
      </c>
      <c r="K163" s="78" t="e">
        <f t="shared" ca="1" si="40"/>
        <v>#NAME?</v>
      </c>
      <c r="L163" s="78" t="e">
        <f t="shared" ca="1" si="41"/>
        <v>#NAME?</v>
      </c>
      <c r="M163" s="78" t="e">
        <f t="shared" ca="1" si="42"/>
        <v>#NAME?</v>
      </c>
      <c r="N163" s="78" t="e">
        <f t="shared" ca="1" si="43"/>
        <v>#NAME?</v>
      </c>
    </row>
    <row r="164" spans="1:14" x14ac:dyDescent="0.25">
      <c r="A164" s="79"/>
      <c r="B164" s="108" t="e">
        <f t="shared" ca="1" si="44"/>
        <v>#NAME?</v>
      </c>
      <c r="C164" s="109" t="e">
        <f t="shared" ca="1" si="45"/>
        <v>#NAME?</v>
      </c>
      <c r="D164" s="110" t="e">
        <f t="shared" ca="1" si="34"/>
        <v>#NAME?</v>
      </c>
      <c r="E164" s="111" t="e">
        <f t="shared" ca="1" si="35"/>
        <v>#NAME?</v>
      </c>
      <c r="F164" s="110" t="e">
        <f t="shared" ca="1" si="36"/>
        <v>#NAME?</v>
      </c>
      <c r="G164" s="112" t="e">
        <f t="shared" ca="1" si="46"/>
        <v>#NAME?</v>
      </c>
      <c r="H164" s="113" t="e">
        <f t="shared" ca="1" si="37"/>
        <v>#NAME?</v>
      </c>
      <c r="I164" s="79" t="e">
        <f t="shared" ca="1" si="38"/>
        <v>#NAME?</v>
      </c>
      <c r="J164" s="115" t="e">
        <f t="shared" ca="1" si="39"/>
        <v>#NAME?</v>
      </c>
      <c r="K164" s="78" t="e">
        <f t="shared" ca="1" si="40"/>
        <v>#NAME?</v>
      </c>
      <c r="L164" s="78" t="e">
        <f t="shared" ca="1" si="41"/>
        <v>#NAME?</v>
      </c>
      <c r="M164" s="78" t="e">
        <f t="shared" ca="1" si="42"/>
        <v>#NAME?</v>
      </c>
      <c r="N164" s="78" t="e">
        <f t="shared" ca="1" si="43"/>
        <v>#NAME?</v>
      </c>
    </row>
    <row r="165" spans="1:14" x14ac:dyDescent="0.25">
      <c r="A165" s="79"/>
      <c r="B165" s="108" t="e">
        <f t="shared" ca="1" si="44"/>
        <v>#NAME?</v>
      </c>
      <c r="C165" s="109" t="e">
        <f t="shared" ca="1" si="45"/>
        <v>#NAME?</v>
      </c>
      <c r="D165" s="110" t="e">
        <f t="shared" ca="1" si="34"/>
        <v>#NAME?</v>
      </c>
      <c r="E165" s="111" t="e">
        <f t="shared" ca="1" si="35"/>
        <v>#NAME?</v>
      </c>
      <c r="F165" s="110" t="e">
        <f t="shared" ca="1" si="36"/>
        <v>#NAME?</v>
      </c>
      <c r="G165" s="112" t="e">
        <f t="shared" ca="1" si="46"/>
        <v>#NAME?</v>
      </c>
      <c r="H165" s="113" t="e">
        <f t="shared" ca="1" si="37"/>
        <v>#NAME?</v>
      </c>
      <c r="I165" s="79" t="e">
        <f t="shared" ca="1" si="38"/>
        <v>#NAME?</v>
      </c>
      <c r="J165" s="115" t="e">
        <f t="shared" ca="1" si="39"/>
        <v>#NAME?</v>
      </c>
      <c r="K165" s="78" t="e">
        <f t="shared" ca="1" si="40"/>
        <v>#NAME?</v>
      </c>
      <c r="L165" s="78" t="e">
        <f t="shared" ca="1" si="41"/>
        <v>#NAME?</v>
      </c>
      <c r="M165" s="78" t="e">
        <f t="shared" ca="1" si="42"/>
        <v>#NAME?</v>
      </c>
      <c r="N165" s="78" t="e">
        <f t="shared" ca="1" si="43"/>
        <v>#NAME?</v>
      </c>
    </row>
    <row r="166" spans="1:14" x14ac:dyDescent="0.25">
      <c r="A166" s="79"/>
      <c r="B166" s="108" t="e">
        <f t="shared" ca="1" si="44"/>
        <v>#NAME?</v>
      </c>
      <c r="C166" s="109" t="e">
        <f t="shared" ca="1" si="45"/>
        <v>#NAME?</v>
      </c>
      <c r="D166" s="110" t="e">
        <f t="shared" ca="1" si="34"/>
        <v>#NAME?</v>
      </c>
      <c r="E166" s="111" t="e">
        <f t="shared" ca="1" si="35"/>
        <v>#NAME?</v>
      </c>
      <c r="F166" s="110" t="e">
        <f t="shared" ca="1" si="36"/>
        <v>#NAME?</v>
      </c>
      <c r="G166" s="112" t="e">
        <f t="shared" ca="1" si="46"/>
        <v>#NAME?</v>
      </c>
      <c r="H166" s="113" t="e">
        <f t="shared" ca="1" si="37"/>
        <v>#NAME?</v>
      </c>
      <c r="I166" s="79" t="e">
        <f t="shared" ca="1" si="38"/>
        <v>#NAME?</v>
      </c>
      <c r="J166" s="115" t="e">
        <f t="shared" ca="1" si="39"/>
        <v>#NAME?</v>
      </c>
      <c r="K166" s="78" t="e">
        <f t="shared" ca="1" si="40"/>
        <v>#NAME?</v>
      </c>
      <c r="L166" s="78" t="e">
        <f t="shared" ca="1" si="41"/>
        <v>#NAME?</v>
      </c>
      <c r="M166" s="78" t="e">
        <f t="shared" ca="1" si="42"/>
        <v>#NAME?</v>
      </c>
      <c r="N166" s="78" t="e">
        <f t="shared" ca="1" si="43"/>
        <v>#NAME?</v>
      </c>
    </row>
    <row r="167" spans="1:14" x14ac:dyDescent="0.25">
      <c r="A167" s="79"/>
      <c r="B167" s="108" t="e">
        <f t="shared" ca="1" si="44"/>
        <v>#NAME?</v>
      </c>
      <c r="C167" s="109" t="e">
        <f t="shared" ca="1" si="45"/>
        <v>#NAME?</v>
      </c>
      <c r="D167" s="110" t="e">
        <f t="shared" ca="1" si="34"/>
        <v>#NAME?</v>
      </c>
      <c r="E167" s="111" t="e">
        <f t="shared" ca="1" si="35"/>
        <v>#NAME?</v>
      </c>
      <c r="F167" s="110" t="e">
        <f t="shared" ca="1" si="36"/>
        <v>#NAME?</v>
      </c>
      <c r="G167" s="112" t="e">
        <f t="shared" ca="1" si="46"/>
        <v>#NAME?</v>
      </c>
      <c r="H167" s="113" t="e">
        <f t="shared" ca="1" si="37"/>
        <v>#NAME?</v>
      </c>
      <c r="I167" s="79" t="e">
        <f t="shared" ca="1" si="38"/>
        <v>#NAME?</v>
      </c>
      <c r="J167" s="115" t="e">
        <f t="shared" ca="1" si="39"/>
        <v>#NAME?</v>
      </c>
      <c r="K167" s="78" t="e">
        <f t="shared" ca="1" si="40"/>
        <v>#NAME?</v>
      </c>
      <c r="L167" s="78" t="e">
        <f t="shared" ca="1" si="41"/>
        <v>#NAME?</v>
      </c>
      <c r="M167" s="78" t="e">
        <f t="shared" ca="1" si="42"/>
        <v>#NAME?</v>
      </c>
      <c r="N167" s="78" t="e">
        <f t="shared" ca="1" si="43"/>
        <v>#NAME?</v>
      </c>
    </row>
    <row r="168" spans="1:14" x14ac:dyDescent="0.25">
      <c r="A168" s="79"/>
      <c r="B168" s="108" t="e">
        <f t="shared" ca="1" si="44"/>
        <v>#NAME?</v>
      </c>
      <c r="C168" s="109" t="e">
        <f t="shared" ca="1" si="45"/>
        <v>#NAME?</v>
      </c>
      <c r="D168" s="110" t="e">
        <f t="shared" ca="1" si="34"/>
        <v>#NAME?</v>
      </c>
      <c r="E168" s="111" t="e">
        <f t="shared" ca="1" si="35"/>
        <v>#NAME?</v>
      </c>
      <c r="F168" s="110" t="e">
        <f t="shared" ca="1" si="36"/>
        <v>#NAME?</v>
      </c>
      <c r="G168" s="112" t="e">
        <f t="shared" ca="1" si="46"/>
        <v>#NAME?</v>
      </c>
      <c r="H168" s="113" t="e">
        <f t="shared" ca="1" si="37"/>
        <v>#NAME?</v>
      </c>
      <c r="I168" s="79" t="e">
        <f t="shared" ca="1" si="38"/>
        <v>#NAME?</v>
      </c>
      <c r="J168" s="115" t="e">
        <f t="shared" ca="1" si="39"/>
        <v>#NAME?</v>
      </c>
      <c r="K168" s="78" t="e">
        <f t="shared" ca="1" si="40"/>
        <v>#NAME?</v>
      </c>
      <c r="L168" s="78" t="e">
        <f t="shared" ca="1" si="41"/>
        <v>#NAME?</v>
      </c>
      <c r="M168" s="78" t="e">
        <f t="shared" ca="1" si="42"/>
        <v>#NAME?</v>
      </c>
      <c r="N168" s="78" t="e">
        <f t="shared" ca="1" si="43"/>
        <v>#NAME?</v>
      </c>
    </row>
    <row r="169" spans="1:14" x14ac:dyDescent="0.25">
      <c r="A169" s="79"/>
      <c r="B169" s="108" t="e">
        <f t="shared" ca="1" si="44"/>
        <v>#NAME?</v>
      </c>
      <c r="C169" s="109" t="e">
        <f t="shared" ca="1" si="45"/>
        <v>#NAME?</v>
      </c>
      <c r="D169" s="110" t="e">
        <f t="shared" ca="1" si="34"/>
        <v>#NAME?</v>
      </c>
      <c r="E169" s="111" t="e">
        <f t="shared" ca="1" si="35"/>
        <v>#NAME?</v>
      </c>
      <c r="F169" s="110" t="e">
        <f t="shared" ca="1" si="36"/>
        <v>#NAME?</v>
      </c>
      <c r="G169" s="112" t="e">
        <f t="shared" ca="1" si="46"/>
        <v>#NAME?</v>
      </c>
      <c r="H169" s="113" t="e">
        <f t="shared" ca="1" si="37"/>
        <v>#NAME?</v>
      </c>
      <c r="I169" s="79" t="e">
        <f t="shared" ca="1" si="38"/>
        <v>#NAME?</v>
      </c>
      <c r="J169" s="115" t="e">
        <f t="shared" ca="1" si="39"/>
        <v>#NAME?</v>
      </c>
      <c r="K169" s="78" t="e">
        <f t="shared" ca="1" si="40"/>
        <v>#NAME?</v>
      </c>
      <c r="L169" s="78" t="e">
        <f t="shared" ca="1" si="41"/>
        <v>#NAME?</v>
      </c>
      <c r="M169" s="78" t="e">
        <f t="shared" ca="1" si="42"/>
        <v>#NAME?</v>
      </c>
      <c r="N169" s="78" t="e">
        <f t="shared" ca="1" si="43"/>
        <v>#NAME?</v>
      </c>
    </row>
    <row r="170" spans="1:14" x14ac:dyDescent="0.25">
      <c r="A170" s="79"/>
      <c r="B170" s="108" t="e">
        <f t="shared" ca="1" si="44"/>
        <v>#NAME?</v>
      </c>
      <c r="C170" s="109" t="e">
        <f t="shared" ca="1" si="45"/>
        <v>#NAME?</v>
      </c>
      <c r="D170" s="110" t="e">
        <f t="shared" ca="1" si="34"/>
        <v>#NAME?</v>
      </c>
      <c r="E170" s="111" t="e">
        <f t="shared" ca="1" si="35"/>
        <v>#NAME?</v>
      </c>
      <c r="F170" s="110" t="e">
        <f t="shared" ca="1" si="36"/>
        <v>#NAME?</v>
      </c>
      <c r="G170" s="112" t="e">
        <f t="shared" ca="1" si="46"/>
        <v>#NAME?</v>
      </c>
      <c r="H170" s="113" t="e">
        <f t="shared" ca="1" si="37"/>
        <v>#NAME?</v>
      </c>
      <c r="I170" s="79" t="e">
        <f t="shared" ca="1" si="38"/>
        <v>#NAME?</v>
      </c>
      <c r="J170" s="115" t="e">
        <f t="shared" ca="1" si="39"/>
        <v>#NAME?</v>
      </c>
      <c r="K170" s="78" t="e">
        <f t="shared" ca="1" si="40"/>
        <v>#NAME?</v>
      </c>
      <c r="L170" s="78" t="e">
        <f t="shared" ca="1" si="41"/>
        <v>#NAME?</v>
      </c>
      <c r="M170" s="78" t="e">
        <f t="shared" ca="1" si="42"/>
        <v>#NAME?</v>
      </c>
      <c r="N170" s="78" t="e">
        <f t="shared" ca="1" si="43"/>
        <v>#NAME?</v>
      </c>
    </row>
    <row r="171" spans="1:14" x14ac:dyDescent="0.25">
      <c r="A171" s="79"/>
      <c r="B171" s="108" t="e">
        <f t="shared" ca="1" si="44"/>
        <v>#NAME?</v>
      </c>
      <c r="C171" s="109" t="e">
        <f t="shared" ca="1" si="45"/>
        <v>#NAME?</v>
      </c>
      <c r="D171" s="110" t="e">
        <f t="shared" ca="1" si="34"/>
        <v>#NAME?</v>
      </c>
      <c r="E171" s="111" t="e">
        <f t="shared" ca="1" si="35"/>
        <v>#NAME?</v>
      </c>
      <c r="F171" s="110" t="e">
        <f t="shared" ca="1" si="36"/>
        <v>#NAME?</v>
      </c>
      <c r="G171" s="112" t="e">
        <f t="shared" ca="1" si="46"/>
        <v>#NAME?</v>
      </c>
      <c r="H171" s="113" t="e">
        <f t="shared" ca="1" si="37"/>
        <v>#NAME?</v>
      </c>
      <c r="I171" s="79" t="e">
        <f t="shared" ca="1" si="38"/>
        <v>#NAME?</v>
      </c>
      <c r="J171" s="115" t="e">
        <f t="shared" ca="1" si="39"/>
        <v>#NAME?</v>
      </c>
      <c r="K171" s="78" t="e">
        <f t="shared" ca="1" si="40"/>
        <v>#NAME?</v>
      </c>
      <c r="L171" s="78" t="e">
        <f t="shared" ca="1" si="41"/>
        <v>#NAME?</v>
      </c>
      <c r="M171" s="78" t="e">
        <f t="shared" ca="1" si="42"/>
        <v>#NAME?</v>
      </c>
      <c r="N171" s="78" t="e">
        <f t="shared" ca="1" si="43"/>
        <v>#NAME?</v>
      </c>
    </row>
    <row r="172" spans="1:14" x14ac:dyDescent="0.25">
      <c r="A172" s="79"/>
      <c r="B172" s="108" t="e">
        <f t="shared" ca="1" si="44"/>
        <v>#NAME?</v>
      </c>
      <c r="C172" s="109" t="e">
        <f t="shared" ca="1" si="45"/>
        <v>#NAME?</v>
      </c>
      <c r="D172" s="110" t="e">
        <f t="shared" ca="1" si="34"/>
        <v>#NAME?</v>
      </c>
      <c r="E172" s="111" t="e">
        <f t="shared" ca="1" si="35"/>
        <v>#NAME?</v>
      </c>
      <c r="F172" s="110" t="e">
        <f t="shared" ca="1" si="36"/>
        <v>#NAME?</v>
      </c>
      <c r="G172" s="112" t="e">
        <f t="shared" ca="1" si="46"/>
        <v>#NAME?</v>
      </c>
      <c r="H172" s="113" t="e">
        <f t="shared" ca="1" si="37"/>
        <v>#NAME?</v>
      </c>
      <c r="I172" s="79" t="e">
        <f t="shared" ca="1" si="38"/>
        <v>#NAME?</v>
      </c>
      <c r="J172" s="115" t="e">
        <f t="shared" ca="1" si="39"/>
        <v>#NAME?</v>
      </c>
      <c r="K172" s="78" t="e">
        <f t="shared" ca="1" si="40"/>
        <v>#NAME?</v>
      </c>
      <c r="L172" s="78" t="e">
        <f t="shared" ca="1" si="41"/>
        <v>#NAME?</v>
      </c>
      <c r="M172" s="78" t="e">
        <f t="shared" ca="1" si="42"/>
        <v>#NAME?</v>
      </c>
      <c r="N172" s="78" t="e">
        <f t="shared" ca="1" si="43"/>
        <v>#NAME?</v>
      </c>
    </row>
    <row r="173" spans="1:14" x14ac:dyDescent="0.25">
      <c r="A173" s="79"/>
      <c r="B173" s="108" t="e">
        <f t="shared" ca="1" si="44"/>
        <v>#NAME?</v>
      </c>
      <c r="C173" s="109" t="e">
        <f t="shared" ca="1" si="45"/>
        <v>#NAME?</v>
      </c>
      <c r="D173" s="110" t="e">
        <f t="shared" ca="1" si="34"/>
        <v>#NAME?</v>
      </c>
      <c r="E173" s="111" t="e">
        <f t="shared" ca="1" si="35"/>
        <v>#NAME?</v>
      </c>
      <c r="F173" s="110" t="e">
        <f t="shared" ca="1" si="36"/>
        <v>#NAME?</v>
      </c>
      <c r="G173" s="112" t="e">
        <f t="shared" ca="1" si="46"/>
        <v>#NAME?</v>
      </c>
      <c r="H173" s="113" t="e">
        <f t="shared" ca="1" si="37"/>
        <v>#NAME?</v>
      </c>
      <c r="I173" s="79" t="e">
        <f t="shared" ca="1" si="38"/>
        <v>#NAME?</v>
      </c>
      <c r="J173" s="115" t="e">
        <f t="shared" ca="1" si="39"/>
        <v>#NAME?</v>
      </c>
      <c r="K173" s="78" t="e">
        <f t="shared" ca="1" si="40"/>
        <v>#NAME?</v>
      </c>
      <c r="L173" s="78" t="e">
        <f t="shared" ca="1" si="41"/>
        <v>#NAME?</v>
      </c>
      <c r="M173" s="78" t="e">
        <f t="shared" ca="1" si="42"/>
        <v>#NAME?</v>
      </c>
      <c r="N173" s="78" t="e">
        <f t="shared" ca="1" si="43"/>
        <v>#NAME?</v>
      </c>
    </row>
    <row r="174" spans="1:14" x14ac:dyDescent="0.25">
      <c r="A174" s="79"/>
      <c r="B174" s="108" t="e">
        <f t="shared" ca="1" si="44"/>
        <v>#NAME?</v>
      </c>
      <c r="C174" s="109" t="e">
        <f t="shared" ca="1" si="45"/>
        <v>#NAME?</v>
      </c>
      <c r="D174" s="110" t="e">
        <f t="shared" ca="1" si="34"/>
        <v>#NAME?</v>
      </c>
      <c r="E174" s="111" t="e">
        <f t="shared" ca="1" si="35"/>
        <v>#NAME?</v>
      </c>
      <c r="F174" s="110" t="e">
        <f t="shared" ca="1" si="36"/>
        <v>#NAME?</v>
      </c>
      <c r="G174" s="112" t="e">
        <f t="shared" ca="1" si="46"/>
        <v>#NAME?</v>
      </c>
      <c r="H174" s="113" t="e">
        <f t="shared" ca="1" si="37"/>
        <v>#NAME?</v>
      </c>
      <c r="I174" s="79" t="e">
        <f t="shared" ca="1" si="38"/>
        <v>#NAME?</v>
      </c>
      <c r="J174" s="115" t="e">
        <f t="shared" ca="1" si="39"/>
        <v>#NAME?</v>
      </c>
      <c r="K174" s="78" t="e">
        <f t="shared" ca="1" si="40"/>
        <v>#NAME?</v>
      </c>
      <c r="L174" s="78" t="e">
        <f t="shared" ca="1" si="41"/>
        <v>#NAME?</v>
      </c>
      <c r="M174" s="78" t="e">
        <f t="shared" ca="1" si="42"/>
        <v>#NAME?</v>
      </c>
      <c r="N174" s="78" t="e">
        <f t="shared" ca="1" si="43"/>
        <v>#NAME?</v>
      </c>
    </row>
    <row r="175" spans="1:14" x14ac:dyDescent="0.25">
      <c r="A175" s="79"/>
      <c r="B175" s="108" t="e">
        <f t="shared" ca="1" si="44"/>
        <v>#NAME?</v>
      </c>
      <c r="C175" s="109" t="e">
        <f t="shared" ca="1" si="45"/>
        <v>#NAME?</v>
      </c>
      <c r="D175" s="110" t="e">
        <f t="shared" ca="1" si="34"/>
        <v>#NAME?</v>
      </c>
      <c r="E175" s="111" t="e">
        <f t="shared" ca="1" si="35"/>
        <v>#NAME?</v>
      </c>
      <c r="F175" s="110" t="e">
        <f t="shared" ca="1" si="36"/>
        <v>#NAME?</v>
      </c>
      <c r="G175" s="112" t="e">
        <f t="shared" ca="1" si="46"/>
        <v>#NAME?</v>
      </c>
      <c r="H175" s="113" t="e">
        <f t="shared" ca="1" si="37"/>
        <v>#NAME?</v>
      </c>
      <c r="I175" s="79" t="e">
        <f t="shared" ca="1" si="38"/>
        <v>#NAME?</v>
      </c>
      <c r="J175" s="115" t="e">
        <f t="shared" ca="1" si="39"/>
        <v>#NAME?</v>
      </c>
      <c r="K175" s="78" t="e">
        <f t="shared" ca="1" si="40"/>
        <v>#NAME?</v>
      </c>
      <c r="L175" s="78" t="e">
        <f t="shared" ca="1" si="41"/>
        <v>#NAME?</v>
      </c>
      <c r="M175" s="78" t="e">
        <f t="shared" ca="1" si="42"/>
        <v>#NAME?</v>
      </c>
      <c r="N175" s="78" t="e">
        <f t="shared" ca="1" si="43"/>
        <v>#NAME?</v>
      </c>
    </row>
    <row r="176" spans="1:14" x14ac:dyDescent="0.25">
      <c r="A176" s="79"/>
      <c r="B176" s="108" t="e">
        <f t="shared" ca="1" si="44"/>
        <v>#NAME?</v>
      </c>
      <c r="C176" s="109" t="e">
        <f t="shared" ca="1" si="45"/>
        <v>#NAME?</v>
      </c>
      <c r="D176" s="110" t="e">
        <f t="shared" ca="1" si="34"/>
        <v>#NAME?</v>
      </c>
      <c r="E176" s="111" t="e">
        <f t="shared" ca="1" si="35"/>
        <v>#NAME?</v>
      </c>
      <c r="F176" s="110" t="e">
        <f t="shared" ca="1" si="36"/>
        <v>#NAME?</v>
      </c>
      <c r="G176" s="112" t="e">
        <f t="shared" ca="1" si="46"/>
        <v>#NAME?</v>
      </c>
      <c r="H176" s="113" t="e">
        <f t="shared" ca="1" si="37"/>
        <v>#NAME?</v>
      </c>
      <c r="I176" s="79" t="e">
        <f t="shared" ca="1" si="38"/>
        <v>#NAME?</v>
      </c>
      <c r="J176" s="115" t="e">
        <f t="shared" ca="1" si="39"/>
        <v>#NAME?</v>
      </c>
      <c r="K176" s="78" t="e">
        <f t="shared" ca="1" si="40"/>
        <v>#NAME?</v>
      </c>
      <c r="L176" s="78" t="e">
        <f t="shared" ca="1" si="41"/>
        <v>#NAME?</v>
      </c>
      <c r="M176" s="78" t="e">
        <f t="shared" ca="1" si="42"/>
        <v>#NAME?</v>
      </c>
      <c r="N176" s="78" t="e">
        <f t="shared" ca="1" si="43"/>
        <v>#NAME?</v>
      </c>
    </row>
    <row r="177" spans="1:14" x14ac:dyDescent="0.25">
      <c r="A177" s="79"/>
      <c r="B177" s="108" t="e">
        <f t="shared" ca="1" si="44"/>
        <v>#NAME?</v>
      </c>
      <c r="C177" s="109" t="e">
        <f t="shared" ca="1" si="45"/>
        <v>#NAME?</v>
      </c>
      <c r="D177" s="110" t="e">
        <f t="shared" ca="1" si="34"/>
        <v>#NAME?</v>
      </c>
      <c r="E177" s="111" t="e">
        <f t="shared" ca="1" si="35"/>
        <v>#NAME?</v>
      </c>
      <c r="F177" s="110" t="e">
        <f t="shared" ca="1" si="36"/>
        <v>#NAME?</v>
      </c>
      <c r="G177" s="112" t="e">
        <f t="shared" ca="1" si="46"/>
        <v>#NAME?</v>
      </c>
      <c r="H177" s="113" t="e">
        <f t="shared" ca="1" si="37"/>
        <v>#NAME?</v>
      </c>
      <c r="I177" s="79" t="e">
        <f t="shared" ca="1" si="38"/>
        <v>#NAME?</v>
      </c>
      <c r="J177" s="115" t="e">
        <f t="shared" ca="1" si="39"/>
        <v>#NAME?</v>
      </c>
      <c r="K177" s="78" t="e">
        <f t="shared" ca="1" si="40"/>
        <v>#NAME?</v>
      </c>
      <c r="L177" s="78" t="e">
        <f t="shared" ca="1" si="41"/>
        <v>#NAME?</v>
      </c>
      <c r="M177" s="78" t="e">
        <f t="shared" ca="1" si="42"/>
        <v>#NAME?</v>
      </c>
      <c r="N177" s="78" t="e">
        <f t="shared" ca="1" si="43"/>
        <v>#NAME?</v>
      </c>
    </row>
    <row r="178" spans="1:14" x14ac:dyDescent="0.25">
      <c r="A178" s="79"/>
      <c r="B178" s="108" t="e">
        <f t="shared" ca="1" si="44"/>
        <v>#NAME?</v>
      </c>
      <c r="C178" s="109" t="e">
        <f t="shared" ca="1" si="45"/>
        <v>#NAME?</v>
      </c>
      <c r="D178" s="110" t="e">
        <f t="shared" ca="1" si="34"/>
        <v>#NAME?</v>
      </c>
      <c r="E178" s="111" t="e">
        <f t="shared" ca="1" si="35"/>
        <v>#NAME?</v>
      </c>
      <c r="F178" s="110" t="e">
        <f t="shared" ca="1" si="36"/>
        <v>#NAME?</v>
      </c>
      <c r="G178" s="112" t="e">
        <f t="shared" ca="1" si="46"/>
        <v>#NAME?</v>
      </c>
      <c r="H178" s="113" t="e">
        <f t="shared" ca="1" si="37"/>
        <v>#NAME?</v>
      </c>
      <c r="I178" s="79" t="e">
        <f t="shared" ca="1" si="38"/>
        <v>#NAME?</v>
      </c>
      <c r="J178" s="115" t="e">
        <f t="shared" ca="1" si="39"/>
        <v>#NAME?</v>
      </c>
      <c r="K178" s="78" t="e">
        <f t="shared" ca="1" si="40"/>
        <v>#NAME?</v>
      </c>
      <c r="L178" s="78" t="e">
        <f t="shared" ca="1" si="41"/>
        <v>#NAME?</v>
      </c>
      <c r="M178" s="78" t="e">
        <f t="shared" ca="1" si="42"/>
        <v>#NAME?</v>
      </c>
      <c r="N178" s="78" t="e">
        <f t="shared" ca="1" si="43"/>
        <v>#NAME?</v>
      </c>
    </row>
    <row r="179" spans="1:14" x14ac:dyDescent="0.25">
      <c r="A179" s="79"/>
      <c r="B179" s="108" t="e">
        <f t="shared" ca="1" si="44"/>
        <v>#NAME?</v>
      </c>
      <c r="C179" s="109" t="e">
        <f t="shared" ca="1" si="45"/>
        <v>#NAME?</v>
      </c>
      <c r="D179" s="110" t="e">
        <f t="shared" ca="1" si="34"/>
        <v>#NAME?</v>
      </c>
      <c r="E179" s="111" t="e">
        <f t="shared" ca="1" si="35"/>
        <v>#NAME?</v>
      </c>
      <c r="F179" s="110" t="e">
        <f t="shared" ca="1" si="36"/>
        <v>#NAME?</v>
      </c>
      <c r="G179" s="112" t="e">
        <f t="shared" ca="1" si="46"/>
        <v>#NAME?</v>
      </c>
      <c r="H179" s="113" t="e">
        <f t="shared" ca="1" si="37"/>
        <v>#NAME?</v>
      </c>
      <c r="I179" s="79" t="e">
        <f t="shared" ca="1" si="38"/>
        <v>#NAME?</v>
      </c>
      <c r="J179" s="115" t="e">
        <f t="shared" ca="1" si="39"/>
        <v>#NAME?</v>
      </c>
      <c r="K179" s="78" t="e">
        <f t="shared" ca="1" si="40"/>
        <v>#NAME?</v>
      </c>
      <c r="L179" s="78" t="e">
        <f t="shared" ca="1" si="41"/>
        <v>#NAME?</v>
      </c>
      <c r="M179" s="78" t="e">
        <f t="shared" ca="1" si="42"/>
        <v>#NAME?</v>
      </c>
      <c r="N179" s="78" t="e">
        <f t="shared" ca="1" si="43"/>
        <v>#NAME?</v>
      </c>
    </row>
    <row r="180" spans="1:14" x14ac:dyDescent="0.25">
      <c r="A180" s="79"/>
      <c r="B180" s="108" t="e">
        <f t="shared" ca="1" si="44"/>
        <v>#NAME?</v>
      </c>
      <c r="C180" s="109" t="e">
        <f t="shared" ca="1" si="45"/>
        <v>#NAME?</v>
      </c>
      <c r="D180" s="110" t="e">
        <f t="shared" ca="1" si="34"/>
        <v>#NAME?</v>
      </c>
      <c r="E180" s="111" t="e">
        <f t="shared" ca="1" si="35"/>
        <v>#NAME?</v>
      </c>
      <c r="F180" s="110" t="e">
        <f t="shared" ca="1" si="36"/>
        <v>#NAME?</v>
      </c>
      <c r="G180" s="112" t="e">
        <f t="shared" ca="1" si="46"/>
        <v>#NAME?</v>
      </c>
      <c r="H180" s="113" t="e">
        <f t="shared" ca="1" si="37"/>
        <v>#NAME?</v>
      </c>
      <c r="I180" s="79" t="e">
        <f t="shared" ca="1" si="38"/>
        <v>#NAME?</v>
      </c>
      <c r="J180" s="115" t="e">
        <f t="shared" ca="1" si="39"/>
        <v>#NAME?</v>
      </c>
      <c r="K180" s="78" t="e">
        <f t="shared" ca="1" si="40"/>
        <v>#NAME?</v>
      </c>
      <c r="L180" s="78" t="e">
        <f t="shared" ca="1" si="41"/>
        <v>#NAME?</v>
      </c>
      <c r="M180" s="78" t="e">
        <f t="shared" ca="1" si="42"/>
        <v>#NAME?</v>
      </c>
      <c r="N180" s="78" t="e">
        <f t="shared" ca="1" si="43"/>
        <v>#NAME?</v>
      </c>
    </row>
    <row r="181" spans="1:14" x14ac:dyDescent="0.25">
      <c r="A181" s="79"/>
      <c r="B181" s="108" t="e">
        <f t="shared" ca="1" si="44"/>
        <v>#NAME?</v>
      </c>
      <c r="C181" s="109" t="e">
        <f t="shared" ca="1" si="45"/>
        <v>#NAME?</v>
      </c>
      <c r="D181" s="110" t="e">
        <f t="shared" ca="1" si="34"/>
        <v>#NAME?</v>
      </c>
      <c r="E181" s="111" t="e">
        <f t="shared" ca="1" si="35"/>
        <v>#NAME?</v>
      </c>
      <c r="F181" s="110" t="e">
        <f t="shared" ca="1" si="36"/>
        <v>#NAME?</v>
      </c>
      <c r="G181" s="112" t="e">
        <f t="shared" ca="1" si="46"/>
        <v>#NAME?</v>
      </c>
      <c r="H181" s="113" t="e">
        <f t="shared" ca="1" si="37"/>
        <v>#NAME?</v>
      </c>
      <c r="I181" s="79" t="e">
        <f t="shared" ca="1" si="38"/>
        <v>#NAME?</v>
      </c>
      <c r="J181" s="115" t="e">
        <f t="shared" ca="1" si="39"/>
        <v>#NAME?</v>
      </c>
      <c r="K181" s="78" t="e">
        <f t="shared" ca="1" si="40"/>
        <v>#NAME?</v>
      </c>
      <c r="L181" s="78" t="e">
        <f t="shared" ca="1" si="41"/>
        <v>#NAME?</v>
      </c>
      <c r="M181" s="78" t="e">
        <f t="shared" ca="1" si="42"/>
        <v>#NAME?</v>
      </c>
      <c r="N181" s="78" t="e">
        <f t="shared" ca="1" si="43"/>
        <v>#NAME?</v>
      </c>
    </row>
    <row r="182" spans="1:14" x14ac:dyDescent="0.25">
      <c r="A182" s="79"/>
      <c r="B182" s="108" t="e">
        <f t="shared" ca="1" si="44"/>
        <v>#NAME?</v>
      </c>
      <c r="C182" s="109" t="e">
        <f t="shared" ca="1" si="45"/>
        <v>#NAME?</v>
      </c>
      <c r="D182" s="110" t="e">
        <f t="shared" ca="1" si="34"/>
        <v>#NAME?</v>
      </c>
      <c r="E182" s="111" t="e">
        <f t="shared" ca="1" si="35"/>
        <v>#NAME?</v>
      </c>
      <c r="F182" s="110" t="e">
        <f t="shared" ca="1" si="36"/>
        <v>#NAME?</v>
      </c>
      <c r="G182" s="112" t="e">
        <f t="shared" ca="1" si="46"/>
        <v>#NAME?</v>
      </c>
      <c r="H182" s="113" t="e">
        <f t="shared" ca="1" si="37"/>
        <v>#NAME?</v>
      </c>
      <c r="I182" s="79" t="e">
        <f t="shared" ca="1" si="38"/>
        <v>#NAME?</v>
      </c>
      <c r="J182" s="115" t="e">
        <f t="shared" ca="1" si="39"/>
        <v>#NAME?</v>
      </c>
      <c r="K182" s="78" t="e">
        <f t="shared" ca="1" si="40"/>
        <v>#NAME?</v>
      </c>
      <c r="L182" s="78" t="e">
        <f t="shared" ca="1" si="41"/>
        <v>#NAME?</v>
      </c>
      <c r="M182" s="78" t="e">
        <f t="shared" ca="1" si="42"/>
        <v>#NAME?</v>
      </c>
      <c r="N182" s="78" t="e">
        <f t="shared" ca="1" si="43"/>
        <v>#NAME?</v>
      </c>
    </row>
    <row r="183" spans="1:14" x14ac:dyDescent="0.25">
      <c r="A183" s="79"/>
      <c r="B183" s="108" t="e">
        <f t="shared" ca="1" si="44"/>
        <v>#NAME?</v>
      </c>
      <c r="C183" s="109" t="e">
        <f t="shared" ca="1" si="45"/>
        <v>#NAME?</v>
      </c>
      <c r="D183" s="110" t="e">
        <f t="shared" ca="1" si="34"/>
        <v>#NAME?</v>
      </c>
      <c r="E183" s="111" t="e">
        <f t="shared" ca="1" si="35"/>
        <v>#NAME?</v>
      </c>
      <c r="F183" s="110" t="e">
        <f t="shared" ca="1" si="36"/>
        <v>#NAME?</v>
      </c>
      <c r="G183" s="112" t="e">
        <f t="shared" ca="1" si="46"/>
        <v>#NAME?</v>
      </c>
      <c r="H183" s="113" t="e">
        <f t="shared" ca="1" si="37"/>
        <v>#NAME?</v>
      </c>
      <c r="I183" s="79" t="e">
        <f t="shared" ca="1" si="38"/>
        <v>#NAME?</v>
      </c>
      <c r="J183" s="115" t="e">
        <f t="shared" ca="1" si="39"/>
        <v>#NAME?</v>
      </c>
      <c r="K183" s="78" t="e">
        <f t="shared" ca="1" si="40"/>
        <v>#NAME?</v>
      </c>
      <c r="L183" s="78" t="e">
        <f t="shared" ca="1" si="41"/>
        <v>#NAME?</v>
      </c>
      <c r="M183" s="78" t="e">
        <f t="shared" ca="1" si="42"/>
        <v>#NAME?</v>
      </c>
      <c r="N183" s="78" t="e">
        <f t="shared" ca="1" si="43"/>
        <v>#NAME?</v>
      </c>
    </row>
    <row r="184" spans="1:14" x14ac:dyDescent="0.25">
      <c r="A184" s="79"/>
      <c r="B184" s="108" t="e">
        <f t="shared" ca="1" si="44"/>
        <v>#NAME?</v>
      </c>
      <c r="C184" s="109" t="e">
        <f t="shared" ca="1" si="45"/>
        <v>#NAME?</v>
      </c>
      <c r="D184" s="110" t="e">
        <f t="shared" ca="1" si="34"/>
        <v>#NAME?</v>
      </c>
      <c r="E184" s="111" t="e">
        <f t="shared" ca="1" si="35"/>
        <v>#NAME?</v>
      </c>
      <c r="F184" s="110" t="e">
        <f t="shared" ca="1" si="36"/>
        <v>#NAME?</v>
      </c>
      <c r="G184" s="112" t="e">
        <f t="shared" ca="1" si="46"/>
        <v>#NAME?</v>
      </c>
      <c r="H184" s="113" t="e">
        <f t="shared" ca="1" si="37"/>
        <v>#NAME?</v>
      </c>
      <c r="I184" s="79" t="e">
        <f t="shared" ca="1" si="38"/>
        <v>#NAME?</v>
      </c>
      <c r="J184" s="115" t="e">
        <f t="shared" ca="1" si="39"/>
        <v>#NAME?</v>
      </c>
      <c r="K184" s="78" t="e">
        <f t="shared" ca="1" si="40"/>
        <v>#NAME?</v>
      </c>
      <c r="L184" s="78" t="e">
        <f t="shared" ca="1" si="41"/>
        <v>#NAME?</v>
      </c>
      <c r="M184" s="78" t="e">
        <f t="shared" ca="1" si="42"/>
        <v>#NAME?</v>
      </c>
      <c r="N184" s="78" t="e">
        <f t="shared" ca="1" si="43"/>
        <v>#NAME?</v>
      </c>
    </row>
    <row r="185" spans="1:14" x14ac:dyDescent="0.25">
      <c r="A185" s="79"/>
      <c r="B185" s="108" t="e">
        <f t="shared" ca="1" si="44"/>
        <v>#NAME?</v>
      </c>
      <c r="C185" s="109" t="e">
        <f t="shared" ca="1" si="45"/>
        <v>#NAME?</v>
      </c>
      <c r="D185" s="110" t="e">
        <f t="shared" ca="1" si="34"/>
        <v>#NAME?</v>
      </c>
      <c r="E185" s="111" t="e">
        <f t="shared" ca="1" si="35"/>
        <v>#NAME?</v>
      </c>
      <c r="F185" s="110" t="e">
        <f t="shared" ca="1" si="36"/>
        <v>#NAME?</v>
      </c>
      <c r="G185" s="112" t="e">
        <f t="shared" ca="1" si="46"/>
        <v>#NAME?</v>
      </c>
      <c r="H185" s="113" t="e">
        <f t="shared" ca="1" si="37"/>
        <v>#NAME?</v>
      </c>
      <c r="I185" s="79" t="e">
        <f t="shared" ca="1" si="38"/>
        <v>#NAME?</v>
      </c>
      <c r="J185" s="115" t="e">
        <f t="shared" ca="1" si="39"/>
        <v>#NAME?</v>
      </c>
      <c r="K185" s="78" t="e">
        <f t="shared" ca="1" si="40"/>
        <v>#NAME?</v>
      </c>
      <c r="L185" s="78" t="e">
        <f t="shared" ca="1" si="41"/>
        <v>#NAME?</v>
      </c>
      <c r="M185" s="78" t="e">
        <f t="shared" ca="1" si="42"/>
        <v>#NAME?</v>
      </c>
      <c r="N185" s="78" t="e">
        <f t="shared" ca="1" si="43"/>
        <v>#NAME?</v>
      </c>
    </row>
    <row r="186" spans="1:14" x14ac:dyDescent="0.25">
      <c r="A186" s="79"/>
      <c r="B186" s="108" t="e">
        <f t="shared" ca="1" si="44"/>
        <v>#NAME?</v>
      </c>
      <c r="C186" s="109" t="e">
        <f t="shared" ca="1" si="45"/>
        <v>#NAME?</v>
      </c>
      <c r="D186" s="110" t="e">
        <f t="shared" ca="1" si="34"/>
        <v>#NAME?</v>
      </c>
      <c r="E186" s="111" t="e">
        <f t="shared" ca="1" si="35"/>
        <v>#NAME?</v>
      </c>
      <c r="F186" s="110" t="e">
        <f t="shared" ca="1" si="36"/>
        <v>#NAME?</v>
      </c>
      <c r="G186" s="112" t="e">
        <f t="shared" ca="1" si="46"/>
        <v>#NAME?</v>
      </c>
      <c r="H186" s="113" t="e">
        <f t="shared" ca="1" si="37"/>
        <v>#NAME?</v>
      </c>
      <c r="I186" s="79" t="e">
        <f t="shared" ca="1" si="38"/>
        <v>#NAME?</v>
      </c>
      <c r="J186" s="115" t="e">
        <f t="shared" ca="1" si="39"/>
        <v>#NAME?</v>
      </c>
      <c r="K186" s="78" t="e">
        <f t="shared" ca="1" si="40"/>
        <v>#NAME?</v>
      </c>
      <c r="L186" s="78" t="e">
        <f t="shared" ca="1" si="41"/>
        <v>#NAME?</v>
      </c>
      <c r="M186" s="78" t="e">
        <f t="shared" ca="1" si="42"/>
        <v>#NAME?</v>
      </c>
      <c r="N186" s="78" t="e">
        <f t="shared" ca="1" si="43"/>
        <v>#NAME?</v>
      </c>
    </row>
    <row r="187" spans="1:14" x14ac:dyDescent="0.25">
      <c r="A187" s="79"/>
      <c r="B187" s="108" t="e">
        <f t="shared" ca="1" si="44"/>
        <v>#NAME?</v>
      </c>
      <c r="C187" s="109" t="e">
        <f t="shared" ca="1" si="45"/>
        <v>#NAME?</v>
      </c>
      <c r="D187" s="110" t="e">
        <f t="shared" ca="1" si="34"/>
        <v>#NAME?</v>
      </c>
      <c r="E187" s="111" t="e">
        <f t="shared" ca="1" si="35"/>
        <v>#NAME?</v>
      </c>
      <c r="F187" s="110" t="e">
        <f t="shared" ca="1" si="36"/>
        <v>#NAME?</v>
      </c>
      <c r="G187" s="112" t="e">
        <f t="shared" ca="1" si="46"/>
        <v>#NAME?</v>
      </c>
      <c r="H187" s="113" t="e">
        <f t="shared" ca="1" si="37"/>
        <v>#NAME?</v>
      </c>
      <c r="I187" s="79" t="e">
        <f t="shared" ca="1" si="38"/>
        <v>#NAME?</v>
      </c>
      <c r="J187" s="115" t="e">
        <f t="shared" ca="1" si="39"/>
        <v>#NAME?</v>
      </c>
      <c r="K187" s="78" t="e">
        <f t="shared" ca="1" si="40"/>
        <v>#NAME?</v>
      </c>
      <c r="L187" s="78" t="e">
        <f t="shared" ca="1" si="41"/>
        <v>#NAME?</v>
      </c>
      <c r="M187" s="78" t="e">
        <f t="shared" ca="1" si="42"/>
        <v>#NAME?</v>
      </c>
      <c r="N187" s="78" t="e">
        <f t="shared" ca="1" si="43"/>
        <v>#NAME?</v>
      </c>
    </row>
    <row r="188" spans="1:14" x14ac:dyDescent="0.25">
      <c r="A188" s="79"/>
      <c r="B188" s="108" t="e">
        <f t="shared" ca="1" si="44"/>
        <v>#NAME?</v>
      </c>
      <c r="C188" s="109" t="e">
        <f t="shared" ca="1" si="45"/>
        <v>#NAME?</v>
      </c>
      <c r="D188" s="110" t="e">
        <f t="shared" ca="1" si="34"/>
        <v>#NAME?</v>
      </c>
      <c r="E188" s="111" t="e">
        <f t="shared" ca="1" si="35"/>
        <v>#NAME?</v>
      </c>
      <c r="F188" s="110" t="e">
        <f t="shared" ca="1" si="36"/>
        <v>#NAME?</v>
      </c>
      <c r="G188" s="112" t="e">
        <f t="shared" ca="1" si="46"/>
        <v>#NAME?</v>
      </c>
      <c r="H188" s="113" t="e">
        <f t="shared" ca="1" si="37"/>
        <v>#NAME?</v>
      </c>
      <c r="I188" s="79" t="e">
        <f t="shared" ca="1" si="38"/>
        <v>#NAME?</v>
      </c>
      <c r="J188" s="115" t="e">
        <f t="shared" ca="1" si="39"/>
        <v>#NAME?</v>
      </c>
      <c r="K188" s="78" t="e">
        <f t="shared" ca="1" si="40"/>
        <v>#NAME?</v>
      </c>
      <c r="L188" s="78" t="e">
        <f t="shared" ca="1" si="41"/>
        <v>#NAME?</v>
      </c>
      <c r="M188" s="78" t="e">
        <f t="shared" ca="1" si="42"/>
        <v>#NAME?</v>
      </c>
      <c r="N188" s="78" t="e">
        <f t="shared" ca="1" si="43"/>
        <v>#NAME?</v>
      </c>
    </row>
    <row r="189" spans="1:14" x14ac:dyDescent="0.25">
      <c r="A189" s="79"/>
      <c r="B189" s="108" t="e">
        <f t="shared" ca="1" si="44"/>
        <v>#NAME?</v>
      </c>
      <c r="C189" s="109" t="e">
        <f t="shared" ca="1" si="45"/>
        <v>#NAME?</v>
      </c>
      <c r="D189" s="110" t="e">
        <f t="shared" ca="1" si="34"/>
        <v>#NAME?</v>
      </c>
      <c r="E189" s="111" t="e">
        <f t="shared" ca="1" si="35"/>
        <v>#NAME?</v>
      </c>
      <c r="F189" s="110" t="e">
        <f t="shared" ca="1" si="36"/>
        <v>#NAME?</v>
      </c>
      <c r="G189" s="112" t="e">
        <f t="shared" ca="1" si="46"/>
        <v>#NAME?</v>
      </c>
      <c r="H189" s="113" t="e">
        <f t="shared" ca="1" si="37"/>
        <v>#NAME?</v>
      </c>
      <c r="I189" s="79" t="e">
        <f t="shared" ca="1" si="38"/>
        <v>#NAME?</v>
      </c>
      <c r="J189" s="115" t="e">
        <f t="shared" ca="1" si="39"/>
        <v>#NAME?</v>
      </c>
      <c r="K189" s="78" t="e">
        <f t="shared" ca="1" si="40"/>
        <v>#NAME?</v>
      </c>
      <c r="L189" s="78" t="e">
        <f t="shared" ca="1" si="41"/>
        <v>#NAME?</v>
      </c>
      <c r="M189" s="78" t="e">
        <f t="shared" ca="1" si="42"/>
        <v>#NAME?</v>
      </c>
      <c r="N189" s="78" t="e">
        <f t="shared" ca="1" si="43"/>
        <v>#NAME?</v>
      </c>
    </row>
    <row r="190" spans="1:14" x14ac:dyDescent="0.25">
      <c r="A190" s="79"/>
      <c r="B190" s="108" t="e">
        <f t="shared" ca="1" si="44"/>
        <v>#NAME?</v>
      </c>
      <c r="C190" s="109" t="e">
        <f t="shared" ca="1" si="45"/>
        <v>#NAME?</v>
      </c>
      <c r="D190" s="110" t="e">
        <f t="shared" ca="1" si="34"/>
        <v>#NAME?</v>
      </c>
      <c r="E190" s="111" t="e">
        <f t="shared" ca="1" si="35"/>
        <v>#NAME?</v>
      </c>
      <c r="F190" s="110" t="e">
        <f t="shared" ca="1" si="36"/>
        <v>#NAME?</v>
      </c>
      <c r="G190" s="112" t="e">
        <f t="shared" ca="1" si="46"/>
        <v>#NAME?</v>
      </c>
      <c r="H190" s="113" t="e">
        <f t="shared" ca="1" si="37"/>
        <v>#NAME?</v>
      </c>
      <c r="I190" s="79" t="e">
        <f t="shared" ca="1" si="38"/>
        <v>#NAME?</v>
      </c>
      <c r="J190" s="115" t="e">
        <f t="shared" ca="1" si="39"/>
        <v>#NAME?</v>
      </c>
      <c r="K190" s="78" t="e">
        <f t="shared" ca="1" si="40"/>
        <v>#NAME?</v>
      </c>
      <c r="L190" s="78" t="e">
        <f t="shared" ca="1" si="41"/>
        <v>#NAME?</v>
      </c>
      <c r="M190" s="78" t="e">
        <f t="shared" ca="1" si="42"/>
        <v>#NAME?</v>
      </c>
      <c r="N190" s="78" t="e">
        <f t="shared" ca="1" si="43"/>
        <v>#NAME?</v>
      </c>
    </row>
    <row r="191" spans="1:14" x14ac:dyDescent="0.25">
      <c r="A191" s="79"/>
      <c r="B191" s="108" t="e">
        <f t="shared" ca="1" si="44"/>
        <v>#NAME?</v>
      </c>
      <c r="C191" s="109" t="e">
        <f t="shared" ca="1" si="45"/>
        <v>#NAME?</v>
      </c>
      <c r="D191" s="110" t="e">
        <f t="shared" ca="1" si="34"/>
        <v>#NAME?</v>
      </c>
      <c r="E191" s="111" t="e">
        <f t="shared" ca="1" si="35"/>
        <v>#NAME?</v>
      </c>
      <c r="F191" s="110" t="e">
        <f t="shared" ca="1" si="36"/>
        <v>#NAME?</v>
      </c>
      <c r="G191" s="112" t="e">
        <f t="shared" ca="1" si="46"/>
        <v>#NAME?</v>
      </c>
      <c r="H191" s="113" t="e">
        <f t="shared" ca="1" si="37"/>
        <v>#NAME?</v>
      </c>
      <c r="I191" s="79" t="e">
        <f t="shared" ca="1" si="38"/>
        <v>#NAME?</v>
      </c>
      <c r="J191" s="115" t="e">
        <f t="shared" ca="1" si="39"/>
        <v>#NAME?</v>
      </c>
      <c r="K191" s="78" t="e">
        <f t="shared" ca="1" si="40"/>
        <v>#NAME?</v>
      </c>
      <c r="L191" s="78" t="e">
        <f t="shared" ca="1" si="41"/>
        <v>#NAME?</v>
      </c>
      <c r="M191" s="78" t="e">
        <f t="shared" ca="1" si="42"/>
        <v>#NAME?</v>
      </c>
      <c r="N191" s="78" t="e">
        <f t="shared" ca="1" si="43"/>
        <v>#NAME?</v>
      </c>
    </row>
    <row r="192" spans="1:14" x14ac:dyDescent="0.25">
      <c r="A192" s="79"/>
      <c r="B192" s="108" t="e">
        <f t="shared" ca="1" si="44"/>
        <v>#NAME?</v>
      </c>
      <c r="C192" s="109" t="e">
        <f t="shared" ca="1" si="45"/>
        <v>#NAME?</v>
      </c>
      <c r="D192" s="110" t="e">
        <f t="shared" ca="1" si="34"/>
        <v>#NAME?</v>
      </c>
      <c r="E192" s="111" t="e">
        <f t="shared" ca="1" si="35"/>
        <v>#NAME?</v>
      </c>
      <c r="F192" s="110" t="e">
        <f t="shared" ca="1" si="36"/>
        <v>#NAME?</v>
      </c>
      <c r="G192" s="112" t="e">
        <f t="shared" ca="1" si="46"/>
        <v>#NAME?</v>
      </c>
      <c r="H192" s="113" t="e">
        <f t="shared" ca="1" si="37"/>
        <v>#NAME?</v>
      </c>
      <c r="I192" s="79" t="e">
        <f t="shared" ca="1" si="38"/>
        <v>#NAME?</v>
      </c>
      <c r="J192" s="115" t="e">
        <f t="shared" ca="1" si="39"/>
        <v>#NAME?</v>
      </c>
      <c r="K192" s="78" t="e">
        <f t="shared" ca="1" si="40"/>
        <v>#NAME?</v>
      </c>
      <c r="L192" s="78" t="e">
        <f t="shared" ca="1" si="41"/>
        <v>#NAME?</v>
      </c>
      <c r="M192" s="78" t="e">
        <f t="shared" ca="1" si="42"/>
        <v>#NAME?</v>
      </c>
      <c r="N192" s="78" t="e">
        <f t="shared" ca="1" si="43"/>
        <v>#NAME?</v>
      </c>
    </row>
    <row r="193" spans="1:14" x14ac:dyDescent="0.25">
      <c r="A193" s="79"/>
      <c r="B193" s="108" t="e">
        <f t="shared" ca="1" si="44"/>
        <v>#NAME?</v>
      </c>
      <c r="C193" s="109" t="e">
        <f t="shared" ca="1" si="45"/>
        <v>#NAME?</v>
      </c>
      <c r="D193" s="110" t="e">
        <f t="shared" ca="1" si="34"/>
        <v>#NAME?</v>
      </c>
      <c r="E193" s="111" t="e">
        <f t="shared" ca="1" si="35"/>
        <v>#NAME?</v>
      </c>
      <c r="F193" s="110" t="e">
        <f t="shared" ca="1" si="36"/>
        <v>#NAME?</v>
      </c>
      <c r="G193" s="112" t="e">
        <f t="shared" ca="1" si="46"/>
        <v>#NAME?</v>
      </c>
      <c r="H193" s="113" t="e">
        <f t="shared" ca="1" si="37"/>
        <v>#NAME?</v>
      </c>
      <c r="I193" s="79" t="e">
        <f t="shared" ca="1" si="38"/>
        <v>#NAME?</v>
      </c>
      <c r="J193" s="115" t="e">
        <f t="shared" ca="1" si="39"/>
        <v>#NAME?</v>
      </c>
      <c r="K193" s="78" t="e">
        <f t="shared" ca="1" si="40"/>
        <v>#NAME?</v>
      </c>
      <c r="L193" s="78" t="e">
        <f t="shared" ca="1" si="41"/>
        <v>#NAME?</v>
      </c>
      <c r="M193" s="78" t="e">
        <f t="shared" ca="1" si="42"/>
        <v>#NAME?</v>
      </c>
      <c r="N193" s="78" t="e">
        <f t="shared" ca="1" si="43"/>
        <v>#NAME?</v>
      </c>
    </row>
    <row r="194" spans="1:14" x14ac:dyDescent="0.25">
      <c r="A194" s="79"/>
      <c r="B194" s="108" t="e">
        <f t="shared" ca="1" si="44"/>
        <v>#NAME?</v>
      </c>
      <c r="C194" s="109" t="e">
        <f t="shared" ca="1" si="45"/>
        <v>#NAME?</v>
      </c>
      <c r="D194" s="110" t="e">
        <f t="shared" ca="1" si="34"/>
        <v>#NAME?</v>
      </c>
      <c r="E194" s="111" t="e">
        <f t="shared" ca="1" si="35"/>
        <v>#NAME?</v>
      </c>
      <c r="F194" s="110" t="e">
        <f t="shared" ca="1" si="36"/>
        <v>#NAME?</v>
      </c>
      <c r="G194" s="112" t="e">
        <f t="shared" ca="1" si="46"/>
        <v>#NAME?</v>
      </c>
      <c r="H194" s="113" t="e">
        <f t="shared" ca="1" si="37"/>
        <v>#NAME?</v>
      </c>
      <c r="I194" s="79" t="e">
        <f t="shared" ca="1" si="38"/>
        <v>#NAME?</v>
      </c>
      <c r="J194" s="115" t="e">
        <f t="shared" ca="1" si="39"/>
        <v>#NAME?</v>
      </c>
      <c r="K194" s="78" t="e">
        <f t="shared" ca="1" si="40"/>
        <v>#NAME?</v>
      </c>
      <c r="L194" s="78" t="e">
        <f t="shared" ca="1" si="41"/>
        <v>#NAME?</v>
      </c>
      <c r="M194" s="78" t="e">
        <f t="shared" ca="1" si="42"/>
        <v>#NAME?</v>
      </c>
      <c r="N194" s="78" t="e">
        <f t="shared" ca="1" si="43"/>
        <v>#NAME?</v>
      </c>
    </row>
    <row r="195" spans="1:14" x14ac:dyDescent="0.25">
      <c r="A195" s="79"/>
      <c r="B195" s="108" t="e">
        <f t="shared" ca="1" si="44"/>
        <v>#NAME?</v>
      </c>
      <c r="C195" s="109" t="e">
        <f t="shared" ca="1" si="45"/>
        <v>#NAME?</v>
      </c>
      <c r="D195" s="110" t="e">
        <f t="shared" ca="1" si="34"/>
        <v>#NAME?</v>
      </c>
      <c r="E195" s="111" t="e">
        <f t="shared" ca="1" si="35"/>
        <v>#NAME?</v>
      </c>
      <c r="F195" s="110" t="e">
        <f t="shared" ca="1" si="36"/>
        <v>#NAME?</v>
      </c>
      <c r="G195" s="112" t="e">
        <f t="shared" ca="1" si="46"/>
        <v>#NAME?</v>
      </c>
      <c r="H195" s="113" t="e">
        <f t="shared" ca="1" si="37"/>
        <v>#NAME?</v>
      </c>
      <c r="I195" s="79" t="e">
        <f t="shared" ca="1" si="38"/>
        <v>#NAME?</v>
      </c>
      <c r="J195" s="115" t="e">
        <f t="shared" ca="1" si="39"/>
        <v>#NAME?</v>
      </c>
      <c r="K195" s="78" t="e">
        <f t="shared" ca="1" si="40"/>
        <v>#NAME?</v>
      </c>
      <c r="L195" s="78" t="e">
        <f t="shared" ca="1" si="41"/>
        <v>#NAME?</v>
      </c>
      <c r="M195" s="78" t="e">
        <f t="shared" ca="1" si="42"/>
        <v>#NAME?</v>
      </c>
      <c r="N195" s="78" t="e">
        <f t="shared" ca="1" si="43"/>
        <v>#NAME?</v>
      </c>
    </row>
    <row r="196" spans="1:14" x14ac:dyDescent="0.25">
      <c r="A196" s="79"/>
      <c r="B196" s="108" t="e">
        <f t="shared" ca="1" si="44"/>
        <v>#NAME?</v>
      </c>
      <c r="C196" s="109" t="e">
        <f t="shared" ca="1" si="45"/>
        <v>#NAME?</v>
      </c>
      <c r="D196" s="110" t="e">
        <f t="shared" ca="1" si="34"/>
        <v>#NAME?</v>
      </c>
      <c r="E196" s="111" t="e">
        <f t="shared" ca="1" si="35"/>
        <v>#NAME?</v>
      </c>
      <c r="F196" s="110" t="e">
        <f t="shared" ca="1" si="36"/>
        <v>#NAME?</v>
      </c>
      <c r="G196" s="112" t="e">
        <f t="shared" ca="1" si="46"/>
        <v>#NAME?</v>
      </c>
      <c r="H196" s="113" t="e">
        <f t="shared" ca="1" si="37"/>
        <v>#NAME?</v>
      </c>
      <c r="I196" s="79" t="e">
        <f t="shared" ca="1" si="38"/>
        <v>#NAME?</v>
      </c>
      <c r="J196" s="115" t="e">
        <f t="shared" ca="1" si="39"/>
        <v>#NAME?</v>
      </c>
      <c r="K196" s="78" t="e">
        <f t="shared" ca="1" si="40"/>
        <v>#NAME?</v>
      </c>
      <c r="L196" s="78" t="e">
        <f t="shared" ca="1" si="41"/>
        <v>#NAME?</v>
      </c>
      <c r="M196" s="78" t="e">
        <f t="shared" ca="1" si="42"/>
        <v>#NAME?</v>
      </c>
      <c r="N196" s="78" t="e">
        <f t="shared" ca="1" si="43"/>
        <v>#NAME?</v>
      </c>
    </row>
    <row r="197" spans="1:14" x14ac:dyDescent="0.25">
      <c r="A197" s="79"/>
      <c r="B197" s="108" t="e">
        <f t="shared" ca="1" si="44"/>
        <v>#NAME?</v>
      </c>
      <c r="C197" s="109" t="e">
        <f t="shared" ca="1" si="45"/>
        <v>#NAME?</v>
      </c>
      <c r="D197" s="110" t="e">
        <f t="shared" ca="1" si="34"/>
        <v>#NAME?</v>
      </c>
      <c r="E197" s="111" t="e">
        <f t="shared" ca="1" si="35"/>
        <v>#NAME?</v>
      </c>
      <c r="F197" s="110" t="e">
        <f t="shared" ca="1" si="36"/>
        <v>#NAME?</v>
      </c>
      <c r="G197" s="112" t="e">
        <f t="shared" ca="1" si="46"/>
        <v>#NAME?</v>
      </c>
      <c r="H197" s="113" t="e">
        <f t="shared" ca="1" si="37"/>
        <v>#NAME?</v>
      </c>
      <c r="I197" s="79" t="e">
        <f t="shared" ca="1" si="38"/>
        <v>#NAME?</v>
      </c>
      <c r="J197" s="115" t="e">
        <f t="shared" ca="1" si="39"/>
        <v>#NAME?</v>
      </c>
      <c r="K197" s="78" t="e">
        <f t="shared" ca="1" si="40"/>
        <v>#NAME?</v>
      </c>
      <c r="L197" s="78" t="e">
        <f t="shared" ca="1" si="41"/>
        <v>#NAME?</v>
      </c>
      <c r="M197" s="78" t="e">
        <f t="shared" ca="1" si="42"/>
        <v>#NAME?</v>
      </c>
      <c r="N197" s="78" t="e">
        <f t="shared" ca="1" si="43"/>
        <v>#NAME?</v>
      </c>
    </row>
    <row r="198" spans="1:14" x14ac:dyDescent="0.25">
      <c r="A198" s="79"/>
      <c r="B198" s="108" t="e">
        <f t="shared" ca="1" si="44"/>
        <v>#NAME?</v>
      </c>
      <c r="C198" s="109" t="e">
        <f t="shared" ca="1" si="45"/>
        <v>#NAME?</v>
      </c>
      <c r="D198" s="110" t="e">
        <f t="shared" ca="1" si="34"/>
        <v>#NAME?</v>
      </c>
      <c r="E198" s="111" t="e">
        <f t="shared" ca="1" si="35"/>
        <v>#NAME?</v>
      </c>
      <c r="F198" s="110" t="e">
        <f t="shared" ca="1" si="36"/>
        <v>#NAME?</v>
      </c>
      <c r="G198" s="112" t="e">
        <f t="shared" ca="1" si="46"/>
        <v>#NAME?</v>
      </c>
      <c r="H198" s="113" t="e">
        <f t="shared" ca="1" si="37"/>
        <v>#NAME?</v>
      </c>
      <c r="I198" s="79" t="e">
        <f t="shared" ca="1" si="38"/>
        <v>#NAME?</v>
      </c>
      <c r="J198" s="115" t="e">
        <f t="shared" ca="1" si="39"/>
        <v>#NAME?</v>
      </c>
      <c r="K198" s="78" t="e">
        <f t="shared" ca="1" si="40"/>
        <v>#NAME?</v>
      </c>
      <c r="L198" s="78" t="e">
        <f t="shared" ca="1" si="41"/>
        <v>#NAME?</v>
      </c>
      <c r="M198" s="78" t="e">
        <f t="shared" ca="1" si="42"/>
        <v>#NAME?</v>
      </c>
      <c r="N198" s="78" t="e">
        <f t="shared" ca="1" si="43"/>
        <v>#NAME?</v>
      </c>
    </row>
    <row r="199" spans="1:14" x14ac:dyDescent="0.25">
      <c r="A199" s="79"/>
      <c r="B199" s="108" t="e">
        <f t="shared" ca="1" si="44"/>
        <v>#NAME?</v>
      </c>
      <c r="C199" s="109" t="e">
        <f t="shared" ca="1" si="45"/>
        <v>#NAME?</v>
      </c>
      <c r="D199" s="110" t="e">
        <f t="shared" ca="1" si="34"/>
        <v>#NAME?</v>
      </c>
      <c r="E199" s="111" t="e">
        <f t="shared" ca="1" si="35"/>
        <v>#NAME?</v>
      </c>
      <c r="F199" s="110" t="e">
        <f t="shared" ca="1" si="36"/>
        <v>#NAME?</v>
      </c>
      <c r="G199" s="112" t="e">
        <f t="shared" ca="1" si="46"/>
        <v>#NAME?</v>
      </c>
      <c r="H199" s="113" t="e">
        <f t="shared" ca="1" si="37"/>
        <v>#NAME?</v>
      </c>
      <c r="I199" s="79" t="e">
        <f t="shared" ca="1" si="38"/>
        <v>#NAME?</v>
      </c>
      <c r="J199" s="115" t="e">
        <f t="shared" ca="1" si="39"/>
        <v>#NAME?</v>
      </c>
      <c r="K199" s="78" t="e">
        <f t="shared" ca="1" si="40"/>
        <v>#NAME?</v>
      </c>
      <c r="L199" s="78" t="e">
        <f t="shared" ca="1" si="41"/>
        <v>#NAME?</v>
      </c>
      <c r="M199" s="78" t="e">
        <f t="shared" ca="1" si="42"/>
        <v>#NAME?</v>
      </c>
      <c r="N199" s="78" t="e">
        <f t="shared" ca="1" si="43"/>
        <v>#NAME?</v>
      </c>
    </row>
    <row r="200" spans="1:14" x14ac:dyDescent="0.25">
      <c r="A200" s="79"/>
      <c r="B200" s="108" t="e">
        <f t="shared" ca="1" si="44"/>
        <v>#NAME?</v>
      </c>
      <c r="C200" s="109" t="e">
        <f t="shared" ca="1" si="45"/>
        <v>#NAME?</v>
      </c>
      <c r="D200" s="110" t="e">
        <f t="shared" ca="1" si="34"/>
        <v>#NAME?</v>
      </c>
      <c r="E200" s="111" t="e">
        <f t="shared" ca="1" si="35"/>
        <v>#NAME?</v>
      </c>
      <c r="F200" s="110" t="e">
        <f t="shared" ca="1" si="36"/>
        <v>#NAME?</v>
      </c>
      <c r="G200" s="112" t="e">
        <f t="shared" ca="1" si="46"/>
        <v>#NAME?</v>
      </c>
      <c r="H200" s="113" t="e">
        <f t="shared" ca="1" si="37"/>
        <v>#NAME?</v>
      </c>
      <c r="I200" s="79" t="e">
        <f t="shared" ca="1" si="38"/>
        <v>#NAME?</v>
      </c>
      <c r="J200" s="115" t="e">
        <f t="shared" ca="1" si="39"/>
        <v>#NAME?</v>
      </c>
      <c r="K200" s="78" t="e">
        <f t="shared" ca="1" si="40"/>
        <v>#NAME?</v>
      </c>
      <c r="L200" s="78" t="e">
        <f t="shared" ca="1" si="41"/>
        <v>#NAME?</v>
      </c>
      <c r="M200" s="78" t="e">
        <f t="shared" ca="1" si="42"/>
        <v>#NAME?</v>
      </c>
      <c r="N200" s="78" t="e">
        <f t="shared" ca="1" si="43"/>
        <v>#NAME?</v>
      </c>
    </row>
    <row r="201" spans="1:14" x14ac:dyDescent="0.25">
      <c r="A201" s="79"/>
      <c r="B201" s="108" t="e">
        <f t="shared" ca="1" si="44"/>
        <v>#NAME?</v>
      </c>
      <c r="C201" s="109" t="e">
        <f t="shared" ca="1" si="45"/>
        <v>#NAME?</v>
      </c>
      <c r="D201" s="110" t="e">
        <f t="shared" ca="1" si="34"/>
        <v>#NAME?</v>
      </c>
      <c r="E201" s="111" t="e">
        <f t="shared" ca="1" si="35"/>
        <v>#NAME?</v>
      </c>
      <c r="F201" s="110" t="e">
        <f t="shared" ca="1" si="36"/>
        <v>#NAME?</v>
      </c>
      <c r="G201" s="112" t="e">
        <f t="shared" ca="1" si="46"/>
        <v>#NAME?</v>
      </c>
      <c r="H201" s="113" t="e">
        <f t="shared" ca="1" si="37"/>
        <v>#NAME?</v>
      </c>
      <c r="I201" s="79" t="e">
        <f t="shared" ca="1" si="38"/>
        <v>#NAME?</v>
      </c>
      <c r="J201" s="115" t="e">
        <f t="shared" ca="1" si="39"/>
        <v>#NAME?</v>
      </c>
      <c r="K201" s="78" t="e">
        <f t="shared" ca="1" si="40"/>
        <v>#NAME?</v>
      </c>
      <c r="L201" s="78" t="e">
        <f t="shared" ca="1" si="41"/>
        <v>#NAME?</v>
      </c>
      <c r="M201" s="78" t="e">
        <f t="shared" ca="1" si="42"/>
        <v>#NAME?</v>
      </c>
      <c r="N201" s="78" t="e">
        <f t="shared" ca="1" si="43"/>
        <v>#NAME?</v>
      </c>
    </row>
    <row r="202" spans="1:14" x14ac:dyDescent="0.25">
      <c r="A202" s="79"/>
      <c r="B202" s="108" t="e">
        <f t="shared" ca="1" si="44"/>
        <v>#NAME?</v>
      </c>
      <c r="C202" s="109" t="e">
        <f t="shared" ca="1" si="45"/>
        <v>#NAME?</v>
      </c>
      <c r="D202" s="110" t="e">
        <f t="shared" ca="1" si="34"/>
        <v>#NAME?</v>
      </c>
      <c r="E202" s="111" t="e">
        <f t="shared" ca="1" si="35"/>
        <v>#NAME?</v>
      </c>
      <c r="F202" s="110" t="e">
        <f t="shared" ca="1" si="36"/>
        <v>#NAME?</v>
      </c>
      <c r="G202" s="112" t="e">
        <f t="shared" ca="1" si="46"/>
        <v>#NAME?</v>
      </c>
      <c r="H202" s="113" t="e">
        <f t="shared" ca="1" si="37"/>
        <v>#NAME?</v>
      </c>
      <c r="I202" s="79" t="e">
        <f t="shared" ca="1" si="38"/>
        <v>#NAME?</v>
      </c>
      <c r="J202" s="115" t="e">
        <f t="shared" ca="1" si="39"/>
        <v>#NAME?</v>
      </c>
      <c r="K202" s="78" t="e">
        <f t="shared" ca="1" si="40"/>
        <v>#NAME?</v>
      </c>
      <c r="L202" s="78" t="e">
        <f t="shared" ca="1" si="41"/>
        <v>#NAME?</v>
      </c>
      <c r="M202" s="78" t="e">
        <f t="shared" ca="1" si="42"/>
        <v>#NAME?</v>
      </c>
      <c r="N202" s="78" t="e">
        <f t="shared" ca="1" si="43"/>
        <v>#NAME?</v>
      </c>
    </row>
    <row r="203" spans="1:14" x14ac:dyDescent="0.25">
      <c r="A203" s="79"/>
      <c r="B203" s="108" t="e">
        <f t="shared" ca="1" si="44"/>
        <v>#NAME?</v>
      </c>
      <c r="C203" s="109" t="e">
        <f t="shared" ca="1" si="45"/>
        <v>#NAME?</v>
      </c>
      <c r="D203" s="110" t="e">
        <f t="shared" ca="1" si="34"/>
        <v>#NAME?</v>
      </c>
      <c r="E203" s="111" t="e">
        <f t="shared" ca="1" si="35"/>
        <v>#NAME?</v>
      </c>
      <c r="F203" s="110" t="e">
        <f t="shared" ca="1" si="36"/>
        <v>#NAME?</v>
      </c>
      <c r="G203" s="112" t="e">
        <f t="shared" ca="1" si="46"/>
        <v>#NAME?</v>
      </c>
      <c r="H203" s="113" t="e">
        <f t="shared" ca="1" si="37"/>
        <v>#NAME?</v>
      </c>
      <c r="I203" s="79" t="e">
        <f t="shared" ca="1" si="38"/>
        <v>#NAME?</v>
      </c>
      <c r="J203" s="115" t="e">
        <f t="shared" ca="1" si="39"/>
        <v>#NAME?</v>
      </c>
      <c r="K203" s="78" t="e">
        <f t="shared" ca="1" si="40"/>
        <v>#NAME?</v>
      </c>
      <c r="L203" s="78" t="e">
        <f t="shared" ca="1" si="41"/>
        <v>#NAME?</v>
      </c>
      <c r="M203" s="78" t="e">
        <f t="shared" ca="1" si="42"/>
        <v>#NAME?</v>
      </c>
      <c r="N203" s="78" t="e">
        <f t="shared" ca="1" si="43"/>
        <v>#NAME?</v>
      </c>
    </row>
    <row r="204" spans="1:14" x14ac:dyDescent="0.25">
      <c r="A204" s="79"/>
      <c r="B204" s="108" t="e">
        <f t="shared" ca="1" si="44"/>
        <v>#NAME?</v>
      </c>
      <c r="C204" s="109" t="e">
        <f t="shared" ca="1" si="45"/>
        <v>#NAME?</v>
      </c>
      <c r="D204" s="110" t="e">
        <f t="shared" ca="1" si="34"/>
        <v>#NAME?</v>
      </c>
      <c r="E204" s="111" t="e">
        <f t="shared" ca="1" si="35"/>
        <v>#NAME?</v>
      </c>
      <c r="F204" s="110" t="e">
        <f t="shared" ca="1" si="36"/>
        <v>#NAME?</v>
      </c>
      <c r="G204" s="112" t="e">
        <f t="shared" ca="1" si="46"/>
        <v>#NAME?</v>
      </c>
      <c r="H204" s="113" t="e">
        <f t="shared" ca="1" si="37"/>
        <v>#NAME?</v>
      </c>
      <c r="I204" s="79" t="e">
        <f t="shared" ca="1" si="38"/>
        <v>#NAME?</v>
      </c>
      <c r="J204" s="115" t="e">
        <f t="shared" ca="1" si="39"/>
        <v>#NAME?</v>
      </c>
      <c r="K204" s="78" t="e">
        <f t="shared" ca="1" si="40"/>
        <v>#NAME?</v>
      </c>
      <c r="L204" s="78" t="e">
        <f t="shared" ca="1" si="41"/>
        <v>#NAME?</v>
      </c>
      <c r="M204" s="78" t="e">
        <f t="shared" ca="1" si="42"/>
        <v>#NAME?</v>
      </c>
      <c r="N204" s="78" t="e">
        <f t="shared" ca="1" si="43"/>
        <v>#NAME?</v>
      </c>
    </row>
    <row r="205" spans="1:14" x14ac:dyDescent="0.25">
      <c r="A205" s="79"/>
      <c r="B205" s="108" t="e">
        <f t="shared" ca="1" si="44"/>
        <v>#NAME?</v>
      </c>
      <c r="C205" s="109" t="e">
        <f t="shared" ca="1" si="45"/>
        <v>#NAME?</v>
      </c>
      <c r="D205" s="110" t="e">
        <f t="shared" ca="1" si="34"/>
        <v>#NAME?</v>
      </c>
      <c r="E205" s="111" t="e">
        <f t="shared" ca="1" si="35"/>
        <v>#NAME?</v>
      </c>
      <c r="F205" s="110" t="e">
        <f t="shared" ca="1" si="36"/>
        <v>#NAME?</v>
      </c>
      <c r="G205" s="112" t="e">
        <f t="shared" ca="1" si="46"/>
        <v>#NAME?</v>
      </c>
      <c r="H205" s="113" t="e">
        <f t="shared" ca="1" si="37"/>
        <v>#NAME?</v>
      </c>
      <c r="I205" s="79" t="e">
        <f t="shared" ca="1" si="38"/>
        <v>#NAME?</v>
      </c>
      <c r="J205" s="115" t="e">
        <f t="shared" ca="1" si="39"/>
        <v>#NAME?</v>
      </c>
      <c r="K205" s="78" t="e">
        <f t="shared" ca="1" si="40"/>
        <v>#NAME?</v>
      </c>
      <c r="L205" s="78" t="e">
        <f t="shared" ca="1" si="41"/>
        <v>#NAME?</v>
      </c>
      <c r="M205" s="78" t="e">
        <f t="shared" ca="1" si="42"/>
        <v>#NAME?</v>
      </c>
      <c r="N205" s="78" t="e">
        <f t="shared" ca="1" si="43"/>
        <v>#NAME?</v>
      </c>
    </row>
    <row r="206" spans="1:14" x14ac:dyDescent="0.25">
      <c r="A206" s="79"/>
      <c r="B206" s="108" t="e">
        <f t="shared" ca="1" si="44"/>
        <v>#NAME?</v>
      </c>
      <c r="C206" s="109" t="e">
        <f t="shared" ca="1" si="45"/>
        <v>#NAME?</v>
      </c>
      <c r="D206" s="110" t="e">
        <f t="shared" ca="1" si="34"/>
        <v>#NAME?</v>
      </c>
      <c r="E206" s="111" t="e">
        <f t="shared" ca="1" si="35"/>
        <v>#NAME?</v>
      </c>
      <c r="F206" s="110" t="e">
        <f t="shared" ca="1" si="36"/>
        <v>#NAME?</v>
      </c>
      <c r="G206" s="112" t="e">
        <f t="shared" ca="1" si="46"/>
        <v>#NAME?</v>
      </c>
      <c r="H206" s="113" t="e">
        <f t="shared" ca="1" si="37"/>
        <v>#NAME?</v>
      </c>
      <c r="I206" s="79" t="e">
        <f t="shared" ca="1" si="38"/>
        <v>#NAME?</v>
      </c>
      <c r="J206" s="115" t="e">
        <f t="shared" ca="1" si="39"/>
        <v>#NAME?</v>
      </c>
      <c r="K206" s="78" t="e">
        <f t="shared" ca="1" si="40"/>
        <v>#NAME?</v>
      </c>
      <c r="L206" s="78" t="e">
        <f t="shared" ca="1" si="41"/>
        <v>#NAME?</v>
      </c>
      <c r="M206" s="78" t="e">
        <f t="shared" ca="1" si="42"/>
        <v>#NAME?</v>
      </c>
      <c r="N206" s="78" t="e">
        <f t="shared" ca="1" si="43"/>
        <v>#NAME?</v>
      </c>
    </row>
    <row r="207" spans="1:14" x14ac:dyDescent="0.25">
      <c r="A207" s="79"/>
      <c r="B207" s="108" t="e">
        <f t="shared" ca="1" si="44"/>
        <v>#NAME?</v>
      </c>
      <c r="C207" s="109" t="e">
        <f t="shared" ca="1" si="45"/>
        <v>#NAME?</v>
      </c>
      <c r="D207" s="110" t="e">
        <f t="shared" ca="1" si="34"/>
        <v>#NAME?</v>
      </c>
      <c r="E207" s="111" t="e">
        <f t="shared" ca="1" si="35"/>
        <v>#NAME?</v>
      </c>
      <c r="F207" s="110" t="e">
        <f t="shared" ca="1" si="36"/>
        <v>#NAME?</v>
      </c>
      <c r="G207" s="112" t="e">
        <f t="shared" ca="1" si="46"/>
        <v>#NAME?</v>
      </c>
      <c r="H207" s="113" t="e">
        <f t="shared" ca="1" si="37"/>
        <v>#NAME?</v>
      </c>
      <c r="I207" s="79" t="e">
        <f t="shared" ca="1" si="38"/>
        <v>#NAME?</v>
      </c>
      <c r="J207" s="115" t="e">
        <f t="shared" ca="1" si="39"/>
        <v>#NAME?</v>
      </c>
      <c r="K207" s="78" t="e">
        <f t="shared" ca="1" si="40"/>
        <v>#NAME?</v>
      </c>
      <c r="L207" s="78" t="e">
        <f t="shared" ca="1" si="41"/>
        <v>#NAME?</v>
      </c>
      <c r="M207" s="78" t="e">
        <f t="shared" ca="1" si="42"/>
        <v>#NAME?</v>
      </c>
      <c r="N207" s="78" t="e">
        <f t="shared" ca="1" si="43"/>
        <v>#NAME?</v>
      </c>
    </row>
    <row r="208" spans="1:14" x14ac:dyDescent="0.25">
      <c r="A208" s="79"/>
      <c r="B208" s="108" t="e">
        <f t="shared" ca="1" si="44"/>
        <v>#NAME?</v>
      </c>
      <c r="C208" s="109" t="e">
        <f t="shared" ca="1" si="45"/>
        <v>#NAME?</v>
      </c>
      <c r="D208" s="110" t="e">
        <f t="shared" ca="1" si="34"/>
        <v>#NAME?</v>
      </c>
      <c r="E208" s="111" t="e">
        <f t="shared" ca="1" si="35"/>
        <v>#NAME?</v>
      </c>
      <c r="F208" s="110" t="e">
        <f t="shared" ca="1" si="36"/>
        <v>#NAME?</v>
      </c>
      <c r="G208" s="112" t="e">
        <f t="shared" ca="1" si="46"/>
        <v>#NAME?</v>
      </c>
      <c r="H208" s="113" t="e">
        <f t="shared" ca="1" si="37"/>
        <v>#NAME?</v>
      </c>
      <c r="I208" s="79" t="e">
        <f t="shared" ca="1" si="38"/>
        <v>#NAME?</v>
      </c>
      <c r="J208" s="115" t="e">
        <f t="shared" ca="1" si="39"/>
        <v>#NAME?</v>
      </c>
      <c r="K208" s="78" t="e">
        <f t="shared" ca="1" si="40"/>
        <v>#NAME?</v>
      </c>
      <c r="L208" s="78" t="e">
        <f t="shared" ca="1" si="41"/>
        <v>#NAME?</v>
      </c>
      <c r="M208" s="78" t="e">
        <f t="shared" ca="1" si="42"/>
        <v>#NAME?</v>
      </c>
      <c r="N208" s="78" t="e">
        <f t="shared" ca="1" si="43"/>
        <v>#NAME?</v>
      </c>
    </row>
    <row r="209" spans="1:14" x14ac:dyDescent="0.25">
      <c r="A209" s="79"/>
      <c r="B209" s="108" t="e">
        <f t="shared" ca="1" si="44"/>
        <v>#NAME?</v>
      </c>
      <c r="C209" s="109" t="e">
        <f t="shared" ca="1" si="45"/>
        <v>#NAME?</v>
      </c>
      <c r="D209" s="110" t="e">
        <f t="shared" ca="1" si="34"/>
        <v>#NAME?</v>
      </c>
      <c r="E209" s="111" t="e">
        <f t="shared" ca="1" si="35"/>
        <v>#NAME?</v>
      </c>
      <c r="F209" s="110" t="e">
        <f t="shared" ca="1" si="36"/>
        <v>#NAME?</v>
      </c>
      <c r="G209" s="112" t="e">
        <f t="shared" ca="1" si="46"/>
        <v>#NAME?</v>
      </c>
      <c r="H209" s="113" t="e">
        <f t="shared" ca="1" si="37"/>
        <v>#NAME?</v>
      </c>
      <c r="I209" s="79" t="e">
        <f t="shared" ca="1" si="38"/>
        <v>#NAME?</v>
      </c>
      <c r="J209" s="115" t="e">
        <f t="shared" ca="1" si="39"/>
        <v>#NAME?</v>
      </c>
      <c r="K209" s="78" t="e">
        <f t="shared" ca="1" si="40"/>
        <v>#NAME?</v>
      </c>
      <c r="L209" s="78" t="e">
        <f t="shared" ca="1" si="41"/>
        <v>#NAME?</v>
      </c>
      <c r="M209" s="78" t="e">
        <f t="shared" ca="1" si="42"/>
        <v>#NAME?</v>
      </c>
      <c r="N209" s="78" t="e">
        <f t="shared" ca="1" si="43"/>
        <v>#NAME?</v>
      </c>
    </row>
    <row r="210" spans="1:14" x14ac:dyDescent="0.25">
      <c r="A210" s="79"/>
      <c r="B210" s="108" t="e">
        <f t="shared" ca="1" si="44"/>
        <v>#NAME?</v>
      </c>
      <c r="C210" s="109" t="e">
        <f t="shared" ca="1" si="45"/>
        <v>#NAME?</v>
      </c>
      <c r="D210" s="110" t="e">
        <f t="shared" ca="1" si="34"/>
        <v>#NAME?</v>
      </c>
      <c r="E210" s="111" t="e">
        <f t="shared" ca="1" si="35"/>
        <v>#NAME?</v>
      </c>
      <c r="F210" s="110" t="e">
        <f t="shared" ca="1" si="36"/>
        <v>#NAME?</v>
      </c>
      <c r="G210" s="112" t="e">
        <f t="shared" ca="1" si="46"/>
        <v>#NAME?</v>
      </c>
      <c r="H210" s="113" t="e">
        <f t="shared" ca="1" si="37"/>
        <v>#NAME?</v>
      </c>
      <c r="I210" s="79" t="e">
        <f t="shared" ca="1" si="38"/>
        <v>#NAME?</v>
      </c>
      <c r="J210" s="115" t="e">
        <f t="shared" ca="1" si="39"/>
        <v>#NAME?</v>
      </c>
      <c r="K210" s="78" t="e">
        <f t="shared" ca="1" si="40"/>
        <v>#NAME?</v>
      </c>
      <c r="L210" s="78" t="e">
        <f t="shared" ca="1" si="41"/>
        <v>#NAME?</v>
      </c>
      <c r="M210" s="78" t="e">
        <f t="shared" ca="1" si="42"/>
        <v>#NAME?</v>
      </c>
      <c r="N210" s="78" t="e">
        <f t="shared" ca="1" si="43"/>
        <v>#NAME?</v>
      </c>
    </row>
    <row r="211" spans="1:14" x14ac:dyDescent="0.25">
      <c r="A211" s="79"/>
      <c r="B211" s="108" t="e">
        <f t="shared" ca="1" si="44"/>
        <v>#NAME?</v>
      </c>
      <c r="C211" s="109" t="e">
        <f t="shared" ca="1" si="45"/>
        <v>#NAME?</v>
      </c>
      <c r="D211" s="110" t="e">
        <f t="shared" ca="1" si="34"/>
        <v>#NAME?</v>
      </c>
      <c r="E211" s="111" t="e">
        <f t="shared" ca="1" si="35"/>
        <v>#NAME?</v>
      </c>
      <c r="F211" s="110" t="e">
        <f t="shared" ca="1" si="36"/>
        <v>#NAME?</v>
      </c>
      <c r="G211" s="112" t="e">
        <f t="shared" ca="1" si="46"/>
        <v>#NAME?</v>
      </c>
      <c r="H211" s="113" t="e">
        <f t="shared" ca="1" si="37"/>
        <v>#NAME?</v>
      </c>
      <c r="I211" s="79" t="e">
        <f t="shared" ca="1" si="38"/>
        <v>#NAME?</v>
      </c>
      <c r="J211" s="115" t="e">
        <f t="shared" ca="1" si="39"/>
        <v>#NAME?</v>
      </c>
      <c r="K211" s="78" t="e">
        <f t="shared" ca="1" si="40"/>
        <v>#NAME?</v>
      </c>
      <c r="L211" s="78" t="e">
        <f t="shared" ca="1" si="41"/>
        <v>#NAME?</v>
      </c>
      <c r="M211" s="78" t="e">
        <f t="shared" ca="1" si="42"/>
        <v>#NAME?</v>
      </c>
      <c r="N211" s="78" t="e">
        <f t="shared" ca="1" si="43"/>
        <v>#NAME?</v>
      </c>
    </row>
    <row r="212" spans="1:14" x14ac:dyDescent="0.25">
      <c r="A212" s="79"/>
      <c r="B212" s="108" t="e">
        <f t="shared" ca="1" si="44"/>
        <v>#NAME?</v>
      </c>
      <c r="C212" s="109" t="e">
        <f t="shared" ca="1" si="45"/>
        <v>#NAME?</v>
      </c>
      <c r="D212" s="110" t="e">
        <f t="shared" ca="1" si="34"/>
        <v>#NAME?</v>
      </c>
      <c r="E212" s="111" t="e">
        <f t="shared" ca="1" si="35"/>
        <v>#NAME?</v>
      </c>
      <c r="F212" s="110" t="e">
        <f t="shared" ca="1" si="36"/>
        <v>#NAME?</v>
      </c>
      <c r="G212" s="112" t="e">
        <f t="shared" ca="1" si="46"/>
        <v>#NAME?</v>
      </c>
      <c r="H212" s="113" t="e">
        <f t="shared" ca="1" si="37"/>
        <v>#NAME?</v>
      </c>
      <c r="I212" s="79" t="e">
        <f t="shared" ca="1" si="38"/>
        <v>#NAME?</v>
      </c>
      <c r="J212" s="115" t="e">
        <f t="shared" ca="1" si="39"/>
        <v>#NAME?</v>
      </c>
      <c r="K212" s="78" t="e">
        <f t="shared" ca="1" si="40"/>
        <v>#NAME?</v>
      </c>
      <c r="L212" s="78" t="e">
        <f t="shared" ca="1" si="41"/>
        <v>#NAME?</v>
      </c>
      <c r="M212" s="78" t="e">
        <f t="shared" ca="1" si="42"/>
        <v>#NAME?</v>
      </c>
      <c r="N212" s="78" t="e">
        <f t="shared" ca="1" si="43"/>
        <v>#NAME?</v>
      </c>
    </row>
    <row r="213" spans="1:14" x14ac:dyDescent="0.25">
      <c r="A213" s="79"/>
      <c r="B213" s="108" t="e">
        <f t="shared" ca="1" si="44"/>
        <v>#NAME?</v>
      </c>
      <c r="C213" s="109" t="e">
        <f t="shared" ca="1" si="45"/>
        <v>#NAME?</v>
      </c>
      <c r="D213" s="110" t="e">
        <f t="shared" ca="1" si="34"/>
        <v>#NAME?</v>
      </c>
      <c r="E213" s="111" t="e">
        <f t="shared" ca="1" si="35"/>
        <v>#NAME?</v>
      </c>
      <c r="F213" s="110" t="e">
        <f t="shared" ca="1" si="36"/>
        <v>#NAME?</v>
      </c>
      <c r="G213" s="112" t="e">
        <f t="shared" ca="1" si="46"/>
        <v>#NAME?</v>
      </c>
      <c r="H213" s="113" t="e">
        <f t="shared" ca="1" si="37"/>
        <v>#NAME?</v>
      </c>
      <c r="I213" s="79" t="e">
        <f t="shared" ca="1" si="38"/>
        <v>#NAME?</v>
      </c>
      <c r="J213" s="115" t="e">
        <f t="shared" ca="1" si="39"/>
        <v>#NAME?</v>
      </c>
      <c r="K213" s="78" t="e">
        <f t="shared" ca="1" si="40"/>
        <v>#NAME?</v>
      </c>
      <c r="L213" s="78" t="e">
        <f t="shared" ca="1" si="41"/>
        <v>#NAME?</v>
      </c>
      <c r="M213" s="78" t="e">
        <f t="shared" ca="1" si="42"/>
        <v>#NAME?</v>
      </c>
      <c r="N213" s="78" t="e">
        <f t="shared" ca="1" si="43"/>
        <v>#NAME?</v>
      </c>
    </row>
    <row r="214" spans="1:14" x14ac:dyDescent="0.25">
      <c r="A214" s="79"/>
      <c r="B214" s="108" t="e">
        <f t="shared" ca="1" si="44"/>
        <v>#NAME?</v>
      </c>
      <c r="C214" s="109" t="e">
        <f t="shared" ca="1" si="45"/>
        <v>#NAME?</v>
      </c>
      <c r="D214" s="110" t="e">
        <f t="shared" ca="1" si="34"/>
        <v>#NAME?</v>
      </c>
      <c r="E214" s="111" t="e">
        <f t="shared" ca="1" si="35"/>
        <v>#NAME?</v>
      </c>
      <c r="F214" s="110" t="e">
        <f t="shared" ca="1" si="36"/>
        <v>#NAME?</v>
      </c>
      <c r="G214" s="112" t="e">
        <f t="shared" ca="1" si="46"/>
        <v>#NAME?</v>
      </c>
      <c r="H214" s="113" t="e">
        <f t="shared" ca="1" si="37"/>
        <v>#NAME?</v>
      </c>
      <c r="I214" s="79" t="e">
        <f t="shared" ca="1" si="38"/>
        <v>#NAME?</v>
      </c>
      <c r="J214" s="115" t="e">
        <f t="shared" ca="1" si="39"/>
        <v>#NAME?</v>
      </c>
      <c r="K214" s="78" t="e">
        <f t="shared" ca="1" si="40"/>
        <v>#NAME?</v>
      </c>
      <c r="L214" s="78" t="e">
        <f t="shared" ca="1" si="41"/>
        <v>#NAME?</v>
      </c>
      <c r="M214" s="78" t="e">
        <f t="shared" ca="1" si="42"/>
        <v>#NAME?</v>
      </c>
      <c r="N214" s="78" t="e">
        <f t="shared" ca="1" si="43"/>
        <v>#NAME?</v>
      </c>
    </row>
    <row r="215" spans="1:14" x14ac:dyDescent="0.25">
      <c r="A215" s="79"/>
      <c r="B215" s="108" t="e">
        <f t="shared" ca="1" si="44"/>
        <v>#NAME?</v>
      </c>
      <c r="C215" s="109" t="e">
        <f t="shared" ca="1" si="45"/>
        <v>#NAME?</v>
      </c>
      <c r="D215" s="110" t="e">
        <f t="shared" ca="1" si="34"/>
        <v>#NAME?</v>
      </c>
      <c r="E215" s="111" t="e">
        <f t="shared" ca="1" si="35"/>
        <v>#NAME?</v>
      </c>
      <c r="F215" s="110" t="e">
        <f t="shared" ca="1" si="36"/>
        <v>#NAME?</v>
      </c>
      <c r="G215" s="112" t="e">
        <f t="shared" ca="1" si="46"/>
        <v>#NAME?</v>
      </c>
      <c r="H215" s="113" t="e">
        <f t="shared" ca="1" si="37"/>
        <v>#NAME?</v>
      </c>
      <c r="I215" s="79" t="e">
        <f t="shared" ca="1" si="38"/>
        <v>#NAME?</v>
      </c>
      <c r="J215" s="115" t="e">
        <f t="shared" ca="1" si="39"/>
        <v>#NAME?</v>
      </c>
      <c r="K215" s="78" t="e">
        <f t="shared" ca="1" si="40"/>
        <v>#NAME?</v>
      </c>
      <c r="L215" s="78" t="e">
        <f t="shared" ca="1" si="41"/>
        <v>#NAME?</v>
      </c>
      <c r="M215" s="78" t="e">
        <f t="shared" ca="1" si="42"/>
        <v>#NAME?</v>
      </c>
      <c r="N215" s="78" t="e">
        <f t="shared" ca="1" si="43"/>
        <v>#NAME?</v>
      </c>
    </row>
    <row r="216" spans="1:14" x14ac:dyDescent="0.25">
      <c r="A216" s="79"/>
      <c r="B216" s="108" t="e">
        <f t="shared" ca="1" si="44"/>
        <v>#NAME?</v>
      </c>
      <c r="C216" s="109" t="e">
        <f t="shared" ca="1" si="45"/>
        <v>#NAME?</v>
      </c>
      <c r="D216" s="110" t="e">
        <f t="shared" ca="1" si="34"/>
        <v>#NAME?</v>
      </c>
      <c r="E216" s="111" t="e">
        <f t="shared" ca="1" si="35"/>
        <v>#NAME?</v>
      </c>
      <c r="F216" s="110" t="e">
        <f t="shared" ca="1" si="36"/>
        <v>#NAME?</v>
      </c>
      <c r="G216" s="112" t="e">
        <f t="shared" ca="1" si="46"/>
        <v>#NAME?</v>
      </c>
      <c r="H216" s="113" t="e">
        <f t="shared" ca="1" si="37"/>
        <v>#NAME?</v>
      </c>
      <c r="I216" s="79" t="e">
        <f t="shared" ca="1" si="38"/>
        <v>#NAME?</v>
      </c>
      <c r="J216" s="115" t="e">
        <f t="shared" ca="1" si="39"/>
        <v>#NAME?</v>
      </c>
      <c r="K216" s="78" t="e">
        <f t="shared" ca="1" si="40"/>
        <v>#NAME?</v>
      </c>
      <c r="L216" s="78" t="e">
        <f t="shared" ca="1" si="41"/>
        <v>#NAME?</v>
      </c>
      <c r="M216" s="78" t="e">
        <f t="shared" ca="1" si="42"/>
        <v>#NAME?</v>
      </c>
      <c r="N216" s="78" t="e">
        <f t="shared" ca="1" si="43"/>
        <v>#NAME?</v>
      </c>
    </row>
    <row r="217" spans="1:14" x14ac:dyDescent="0.25">
      <c r="A217" s="79"/>
      <c r="B217" s="108" t="e">
        <f t="shared" ca="1" si="44"/>
        <v>#NAME?</v>
      </c>
      <c r="C217" s="109" t="e">
        <f t="shared" ca="1" si="45"/>
        <v>#NAME?</v>
      </c>
      <c r="D217" s="110" t="e">
        <f t="shared" ca="1" si="34"/>
        <v>#NAME?</v>
      </c>
      <c r="E217" s="111" t="e">
        <f t="shared" ca="1" si="35"/>
        <v>#NAME?</v>
      </c>
      <c r="F217" s="110" t="e">
        <f t="shared" ca="1" si="36"/>
        <v>#NAME?</v>
      </c>
      <c r="G217" s="112" t="e">
        <f t="shared" ca="1" si="46"/>
        <v>#NAME?</v>
      </c>
      <c r="H217" s="113" t="e">
        <f t="shared" ca="1" si="37"/>
        <v>#NAME?</v>
      </c>
      <c r="I217" s="79" t="e">
        <f t="shared" ca="1" si="38"/>
        <v>#NAME?</v>
      </c>
      <c r="J217" s="115" t="e">
        <f t="shared" ca="1" si="39"/>
        <v>#NAME?</v>
      </c>
      <c r="K217" s="78" t="e">
        <f t="shared" ca="1" si="40"/>
        <v>#NAME?</v>
      </c>
      <c r="L217" s="78" t="e">
        <f t="shared" ca="1" si="41"/>
        <v>#NAME?</v>
      </c>
      <c r="M217" s="78" t="e">
        <f t="shared" ca="1" si="42"/>
        <v>#NAME?</v>
      </c>
      <c r="N217" s="78" t="e">
        <f t="shared" ca="1" si="43"/>
        <v>#NAME?</v>
      </c>
    </row>
    <row r="218" spans="1:14" x14ac:dyDescent="0.25">
      <c r="A218" s="79"/>
      <c r="B218" s="108" t="e">
        <f t="shared" ca="1" si="44"/>
        <v>#NAME?</v>
      </c>
      <c r="C218" s="109" t="e">
        <f t="shared" ca="1" si="45"/>
        <v>#NAME?</v>
      </c>
      <c r="D218" s="110" t="e">
        <f t="shared" ca="1" si="34"/>
        <v>#NAME?</v>
      </c>
      <c r="E218" s="111" t="e">
        <f t="shared" ca="1" si="35"/>
        <v>#NAME?</v>
      </c>
      <c r="F218" s="110" t="e">
        <f t="shared" ca="1" si="36"/>
        <v>#NAME?</v>
      </c>
      <c r="G218" s="112" t="e">
        <f t="shared" ca="1" si="46"/>
        <v>#NAME?</v>
      </c>
      <c r="H218" s="113" t="e">
        <f t="shared" ca="1" si="37"/>
        <v>#NAME?</v>
      </c>
      <c r="I218" s="79" t="e">
        <f t="shared" ca="1" si="38"/>
        <v>#NAME?</v>
      </c>
      <c r="J218" s="115" t="e">
        <f t="shared" ca="1" si="39"/>
        <v>#NAME?</v>
      </c>
      <c r="K218" s="78" t="e">
        <f t="shared" ca="1" si="40"/>
        <v>#NAME?</v>
      </c>
      <c r="L218" s="78" t="e">
        <f t="shared" ca="1" si="41"/>
        <v>#NAME?</v>
      </c>
      <c r="M218" s="78" t="e">
        <f t="shared" ca="1" si="42"/>
        <v>#NAME?</v>
      </c>
      <c r="N218" s="78" t="e">
        <f t="shared" ca="1" si="43"/>
        <v>#NAME?</v>
      </c>
    </row>
    <row r="219" spans="1:14" x14ac:dyDescent="0.25">
      <c r="A219" s="79"/>
      <c r="B219" s="108" t="e">
        <f t="shared" ca="1" si="44"/>
        <v>#NAME?</v>
      </c>
      <c r="C219" s="109" t="e">
        <f t="shared" ca="1" si="45"/>
        <v>#NAME?</v>
      </c>
      <c r="D219" s="110" t="e">
        <f t="shared" ref="D219:D282" ca="1" si="47">montantcapital*J219*(1+i_2)^(-0.5)*(1+t_2)*(1+FraisF)</f>
        <v>#NAME?</v>
      </c>
      <c r="E219" s="111" t="e">
        <f t="shared" ref="E219:E282" ca="1" si="48">ROUND(D219*TxPer,NbDeci)</f>
        <v>#NAME?</v>
      </c>
      <c r="F219" s="110" t="e">
        <f t="shared" ref="F219:F282" ca="1" si="49">IF(B219&lt;=Différé,0,IF(B219&gt;=NbEch+Différé,D219,MtEch-E219))</f>
        <v>#NAME?</v>
      </c>
      <c r="G219" s="112" t="e">
        <f t="shared" ca="1" si="46"/>
        <v>#NAME?</v>
      </c>
      <c r="H219" s="113" t="e">
        <f t="shared" ref="H219:H282" ca="1" si="50">SUM(E219:G219)</f>
        <v>#NAME?</v>
      </c>
      <c r="I219" s="79" t="e">
        <f t="shared" ref="I219:I282" ca="1" si="51">DATEDIF(datenaissance,C219,"y")</f>
        <v>#NAME?</v>
      </c>
      <c r="J219" s="115" t="e">
        <f t="shared" ref="J219:J282" ca="1" si="52">reche18(I219)</f>
        <v>#NAME?</v>
      </c>
      <c r="K219" s="78" t="e">
        <f t="shared" ref="K219:K282" ca="1" si="53">montantcapital*(J219*(1+TxPer)^(-0.5))</f>
        <v>#NAME?</v>
      </c>
      <c r="L219" s="78" t="e">
        <f t="shared" ref="L219:L282" ca="1" si="54">K219*fg</f>
        <v>#NAME?</v>
      </c>
      <c r="M219" s="78" t="e">
        <f t="shared" ref="M219:M282" ca="1" si="55">K219*fraisacquisition</f>
        <v>#NAME?</v>
      </c>
      <c r="N219" s="78" t="e">
        <f t="shared" ref="N219:N282" ca="1" si="56">tf*K219</f>
        <v>#NAME?</v>
      </c>
    </row>
    <row r="220" spans="1:14" x14ac:dyDescent="0.25">
      <c r="A220" s="79"/>
      <c r="B220" s="108" t="e">
        <f t="shared" ref="B220:B283" ca="1" si="57">IF(D220=0,"",B219+1)</f>
        <v>#NAME?</v>
      </c>
      <c r="C220" s="109" t="e">
        <f t="shared" ref="C220:C283" ca="1" si="58">IF(D220=0,"",DATE(YEAR(C219),MONTH(C219)+12/NbEchAn,1))</f>
        <v>#NAME?</v>
      </c>
      <c r="D220" s="110" t="e">
        <f t="shared" ca="1" si="47"/>
        <v>#NAME?</v>
      </c>
      <c r="E220" s="111" t="e">
        <f t="shared" ca="1" si="48"/>
        <v>#NAME?</v>
      </c>
      <c r="F220" s="110" t="e">
        <f t="shared" ca="1" si="49"/>
        <v>#NAME?</v>
      </c>
      <c r="G220" s="112" t="e">
        <f t="shared" ref="G220:G283" ca="1" si="59">IF(D220=0,0,ROUND(FraisF+FraisV*D220,NbDeci))</f>
        <v>#NAME?</v>
      </c>
      <c r="H220" s="113" t="e">
        <f t="shared" ca="1" si="50"/>
        <v>#NAME?</v>
      </c>
      <c r="I220" s="79" t="e">
        <f t="shared" ca="1" si="51"/>
        <v>#NAME?</v>
      </c>
      <c r="J220" s="115" t="e">
        <f t="shared" ca="1" si="52"/>
        <v>#NAME?</v>
      </c>
      <c r="K220" s="78" t="e">
        <f t="shared" ca="1" si="53"/>
        <v>#NAME?</v>
      </c>
      <c r="L220" s="78" t="e">
        <f t="shared" ca="1" si="54"/>
        <v>#NAME?</v>
      </c>
      <c r="M220" s="78" t="e">
        <f t="shared" ca="1" si="55"/>
        <v>#NAME?</v>
      </c>
      <c r="N220" s="78" t="e">
        <f t="shared" ca="1" si="56"/>
        <v>#NAME?</v>
      </c>
    </row>
    <row r="221" spans="1:14" x14ac:dyDescent="0.25">
      <c r="A221" s="79"/>
      <c r="B221" s="108" t="e">
        <f t="shared" ca="1" si="57"/>
        <v>#NAME?</v>
      </c>
      <c r="C221" s="109" t="e">
        <f t="shared" ca="1" si="58"/>
        <v>#NAME?</v>
      </c>
      <c r="D221" s="110" t="e">
        <f t="shared" ca="1" si="47"/>
        <v>#NAME?</v>
      </c>
      <c r="E221" s="111" t="e">
        <f t="shared" ca="1" si="48"/>
        <v>#NAME?</v>
      </c>
      <c r="F221" s="110" t="e">
        <f t="shared" ca="1" si="49"/>
        <v>#NAME?</v>
      </c>
      <c r="G221" s="112" t="e">
        <f t="shared" ca="1" si="59"/>
        <v>#NAME?</v>
      </c>
      <c r="H221" s="113" t="e">
        <f t="shared" ca="1" si="50"/>
        <v>#NAME?</v>
      </c>
      <c r="I221" s="79" t="e">
        <f t="shared" ca="1" si="51"/>
        <v>#NAME?</v>
      </c>
      <c r="J221" s="115" t="e">
        <f t="shared" ca="1" si="52"/>
        <v>#NAME?</v>
      </c>
      <c r="K221" s="78" t="e">
        <f t="shared" ca="1" si="53"/>
        <v>#NAME?</v>
      </c>
      <c r="L221" s="78" t="e">
        <f t="shared" ca="1" si="54"/>
        <v>#NAME?</v>
      </c>
      <c r="M221" s="78" t="e">
        <f t="shared" ca="1" si="55"/>
        <v>#NAME?</v>
      </c>
      <c r="N221" s="78" t="e">
        <f t="shared" ca="1" si="56"/>
        <v>#NAME?</v>
      </c>
    </row>
    <row r="222" spans="1:14" x14ac:dyDescent="0.25">
      <c r="A222" s="79"/>
      <c r="B222" s="108" t="e">
        <f t="shared" ca="1" si="57"/>
        <v>#NAME?</v>
      </c>
      <c r="C222" s="109" t="e">
        <f t="shared" ca="1" si="58"/>
        <v>#NAME?</v>
      </c>
      <c r="D222" s="110" t="e">
        <f t="shared" ca="1" si="47"/>
        <v>#NAME?</v>
      </c>
      <c r="E222" s="111" t="e">
        <f t="shared" ca="1" si="48"/>
        <v>#NAME?</v>
      </c>
      <c r="F222" s="110" t="e">
        <f t="shared" ca="1" si="49"/>
        <v>#NAME?</v>
      </c>
      <c r="G222" s="112" t="e">
        <f t="shared" ca="1" si="59"/>
        <v>#NAME?</v>
      </c>
      <c r="H222" s="113" t="e">
        <f t="shared" ca="1" si="50"/>
        <v>#NAME?</v>
      </c>
      <c r="I222" s="79" t="e">
        <f t="shared" ca="1" si="51"/>
        <v>#NAME?</v>
      </c>
      <c r="J222" s="115" t="e">
        <f t="shared" ca="1" si="52"/>
        <v>#NAME?</v>
      </c>
      <c r="K222" s="78" t="e">
        <f t="shared" ca="1" si="53"/>
        <v>#NAME?</v>
      </c>
      <c r="L222" s="78" t="e">
        <f t="shared" ca="1" si="54"/>
        <v>#NAME?</v>
      </c>
      <c r="M222" s="78" t="e">
        <f t="shared" ca="1" si="55"/>
        <v>#NAME?</v>
      </c>
      <c r="N222" s="78" t="e">
        <f t="shared" ca="1" si="56"/>
        <v>#NAME?</v>
      </c>
    </row>
    <row r="223" spans="1:14" x14ac:dyDescent="0.25">
      <c r="A223" s="79"/>
      <c r="B223" s="108" t="e">
        <f t="shared" ca="1" si="57"/>
        <v>#NAME?</v>
      </c>
      <c r="C223" s="109" t="e">
        <f t="shared" ca="1" si="58"/>
        <v>#NAME?</v>
      </c>
      <c r="D223" s="110" t="e">
        <f t="shared" ca="1" si="47"/>
        <v>#NAME?</v>
      </c>
      <c r="E223" s="111" t="e">
        <f t="shared" ca="1" si="48"/>
        <v>#NAME?</v>
      </c>
      <c r="F223" s="110" t="e">
        <f t="shared" ca="1" si="49"/>
        <v>#NAME?</v>
      </c>
      <c r="G223" s="112" t="e">
        <f t="shared" ca="1" si="59"/>
        <v>#NAME?</v>
      </c>
      <c r="H223" s="113" t="e">
        <f t="shared" ca="1" si="50"/>
        <v>#NAME?</v>
      </c>
      <c r="I223" s="79" t="e">
        <f t="shared" ca="1" si="51"/>
        <v>#NAME?</v>
      </c>
      <c r="J223" s="115" t="e">
        <f t="shared" ca="1" si="52"/>
        <v>#NAME?</v>
      </c>
      <c r="K223" s="78" t="e">
        <f t="shared" ca="1" si="53"/>
        <v>#NAME?</v>
      </c>
      <c r="L223" s="78" t="e">
        <f t="shared" ca="1" si="54"/>
        <v>#NAME?</v>
      </c>
      <c r="M223" s="78" t="e">
        <f t="shared" ca="1" si="55"/>
        <v>#NAME?</v>
      </c>
      <c r="N223" s="78" t="e">
        <f t="shared" ca="1" si="56"/>
        <v>#NAME?</v>
      </c>
    </row>
    <row r="224" spans="1:14" x14ac:dyDescent="0.25">
      <c r="A224" s="79"/>
      <c r="B224" s="108" t="e">
        <f t="shared" ca="1" si="57"/>
        <v>#NAME?</v>
      </c>
      <c r="C224" s="109" t="e">
        <f t="shared" ca="1" si="58"/>
        <v>#NAME?</v>
      </c>
      <c r="D224" s="110" t="e">
        <f t="shared" ca="1" si="47"/>
        <v>#NAME?</v>
      </c>
      <c r="E224" s="111" t="e">
        <f t="shared" ca="1" si="48"/>
        <v>#NAME?</v>
      </c>
      <c r="F224" s="110" t="e">
        <f t="shared" ca="1" si="49"/>
        <v>#NAME?</v>
      </c>
      <c r="G224" s="112" t="e">
        <f t="shared" ca="1" si="59"/>
        <v>#NAME?</v>
      </c>
      <c r="H224" s="113" t="e">
        <f t="shared" ca="1" si="50"/>
        <v>#NAME?</v>
      </c>
      <c r="I224" s="79" t="e">
        <f t="shared" ca="1" si="51"/>
        <v>#NAME?</v>
      </c>
      <c r="J224" s="115" t="e">
        <f t="shared" ca="1" si="52"/>
        <v>#NAME?</v>
      </c>
      <c r="K224" s="78" t="e">
        <f t="shared" ca="1" si="53"/>
        <v>#NAME?</v>
      </c>
      <c r="L224" s="78" t="e">
        <f t="shared" ca="1" si="54"/>
        <v>#NAME?</v>
      </c>
      <c r="M224" s="78" t="e">
        <f t="shared" ca="1" si="55"/>
        <v>#NAME?</v>
      </c>
      <c r="N224" s="78" t="e">
        <f t="shared" ca="1" si="56"/>
        <v>#NAME?</v>
      </c>
    </row>
    <row r="225" spans="1:14" x14ac:dyDescent="0.25">
      <c r="A225" s="79"/>
      <c r="B225" s="108" t="e">
        <f t="shared" ca="1" si="57"/>
        <v>#NAME?</v>
      </c>
      <c r="C225" s="109" t="e">
        <f t="shared" ca="1" si="58"/>
        <v>#NAME?</v>
      </c>
      <c r="D225" s="110" t="e">
        <f t="shared" ca="1" si="47"/>
        <v>#NAME?</v>
      </c>
      <c r="E225" s="111" t="e">
        <f t="shared" ca="1" si="48"/>
        <v>#NAME?</v>
      </c>
      <c r="F225" s="110" t="e">
        <f t="shared" ca="1" si="49"/>
        <v>#NAME?</v>
      </c>
      <c r="G225" s="112" t="e">
        <f t="shared" ca="1" si="59"/>
        <v>#NAME?</v>
      </c>
      <c r="H225" s="113" t="e">
        <f t="shared" ca="1" si="50"/>
        <v>#NAME?</v>
      </c>
      <c r="I225" s="79" t="e">
        <f t="shared" ca="1" si="51"/>
        <v>#NAME?</v>
      </c>
      <c r="J225" s="115" t="e">
        <f t="shared" ca="1" si="52"/>
        <v>#NAME?</v>
      </c>
      <c r="K225" s="78" t="e">
        <f t="shared" ca="1" si="53"/>
        <v>#NAME?</v>
      </c>
      <c r="L225" s="78" t="e">
        <f t="shared" ca="1" si="54"/>
        <v>#NAME?</v>
      </c>
      <c r="M225" s="78" t="e">
        <f t="shared" ca="1" si="55"/>
        <v>#NAME?</v>
      </c>
      <c r="N225" s="78" t="e">
        <f t="shared" ca="1" si="56"/>
        <v>#NAME?</v>
      </c>
    </row>
    <row r="226" spans="1:14" x14ac:dyDescent="0.25">
      <c r="A226" s="79"/>
      <c r="B226" s="108" t="e">
        <f t="shared" ca="1" si="57"/>
        <v>#NAME?</v>
      </c>
      <c r="C226" s="109" t="e">
        <f t="shared" ca="1" si="58"/>
        <v>#NAME?</v>
      </c>
      <c r="D226" s="110" t="e">
        <f t="shared" ca="1" si="47"/>
        <v>#NAME?</v>
      </c>
      <c r="E226" s="111" t="e">
        <f t="shared" ca="1" si="48"/>
        <v>#NAME?</v>
      </c>
      <c r="F226" s="110" t="e">
        <f t="shared" ca="1" si="49"/>
        <v>#NAME?</v>
      </c>
      <c r="G226" s="112" t="e">
        <f t="shared" ca="1" si="59"/>
        <v>#NAME?</v>
      </c>
      <c r="H226" s="113" t="e">
        <f t="shared" ca="1" si="50"/>
        <v>#NAME?</v>
      </c>
      <c r="I226" s="79" t="e">
        <f t="shared" ca="1" si="51"/>
        <v>#NAME?</v>
      </c>
      <c r="J226" s="115" t="e">
        <f t="shared" ca="1" si="52"/>
        <v>#NAME?</v>
      </c>
      <c r="K226" s="78" t="e">
        <f t="shared" ca="1" si="53"/>
        <v>#NAME?</v>
      </c>
      <c r="L226" s="78" t="e">
        <f t="shared" ca="1" si="54"/>
        <v>#NAME?</v>
      </c>
      <c r="M226" s="78" t="e">
        <f t="shared" ca="1" si="55"/>
        <v>#NAME?</v>
      </c>
      <c r="N226" s="78" t="e">
        <f t="shared" ca="1" si="56"/>
        <v>#NAME?</v>
      </c>
    </row>
    <row r="227" spans="1:14" x14ac:dyDescent="0.25">
      <c r="A227" s="79"/>
      <c r="B227" s="108" t="e">
        <f t="shared" ca="1" si="57"/>
        <v>#NAME?</v>
      </c>
      <c r="C227" s="109" t="e">
        <f t="shared" ca="1" si="58"/>
        <v>#NAME?</v>
      </c>
      <c r="D227" s="110" t="e">
        <f t="shared" ca="1" si="47"/>
        <v>#NAME?</v>
      </c>
      <c r="E227" s="111" t="e">
        <f t="shared" ca="1" si="48"/>
        <v>#NAME?</v>
      </c>
      <c r="F227" s="110" t="e">
        <f t="shared" ca="1" si="49"/>
        <v>#NAME?</v>
      </c>
      <c r="G227" s="112" t="e">
        <f t="shared" ca="1" si="59"/>
        <v>#NAME?</v>
      </c>
      <c r="H227" s="113" t="e">
        <f t="shared" ca="1" si="50"/>
        <v>#NAME?</v>
      </c>
      <c r="I227" s="79" t="e">
        <f t="shared" ca="1" si="51"/>
        <v>#NAME?</v>
      </c>
      <c r="J227" s="115" t="e">
        <f t="shared" ca="1" si="52"/>
        <v>#NAME?</v>
      </c>
      <c r="K227" s="78" t="e">
        <f t="shared" ca="1" si="53"/>
        <v>#NAME?</v>
      </c>
      <c r="L227" s="78" t="e">
        <f t="shared" ca="1" si="54"/>
        <v>#NAME?</v>
      </c>
      <c r="M227" s="78" t="e">
        <f t="shared" ca="1" si="55"/>
        <v>#NAME?</v>
      </c>
      <c r="N227" s="78" t="e">
        <f t="shared" ca="1" si="56"/>
        <v>#NAME?</v>
      </c>
    </row>
    <row r="228" spans="1:14" x14ac:dyDescent="0.25">
      <c r="A228" s="79"/>
      <c r="B228" s="108" t="e">
        <f t="shared" ca="1" si="57"/>
        <v>#NAME?</v>
      </c>
      <c r="C228" s="109" t="e">
        <f t="shared" ca="1" si="58"/>
        <v>#NAME?</v>
      </c>
      <c r="D228" s="110" t="e">
        <f t="shared" ca="1" si="47"/>
        <v>#NAME?</v>
      </c>
      <c r="E228" s="111" t="e">
        <f t="shared" ca="1" si="48"/>
        <v>#NAME?</v>
      </c>
      <c r="F228" s="110" t="e">
        <f t="shared" ca="1" si="49"/>
        <v>#NAME?</v>
      </c>
      <c r="G228" s="112" t="e">
        <f t="shared" ca="1" si="59"/>
        <v>#NAME?</v>
      </c>
      <c r="H228" s="113" t="e">
        <f t="shared" ca="1" si="50"/>
        <v>#NAME?</v>
      </c>
      <c r="I228" s="79" t="e">
        <f t="shared" ca="1" si="51"/>
        <v>#NAME?</v>
      </c>
      <c r="J228" s="115" t="e">
        <f t="shared" ca="1" si="52"/>
        <v>#NAME?</v>
      </c>
      <c r="K228" s="78" t="e">
        <f t="shared" ca="1" si="53"/>
        <v>#NAME?</v>
      </c>
      <c r="L228" s="78" t="e">
        <f t="shared" ca="1" si="54"/>
        <v>#NAME?</v>
      </c>
      <c r="M228" s="78" t="e">
        <f t="shared" ca="1" si="55"/>
        <v>#NAME?</v>
      </c>
      <c r="N228" s="78" t="e">
        <f t="shared" ca="1" si="56"/>
        <v>#NAME?</v>
      </c>
    </row>
    <row r="229" spans="1:14" x14ac:dyDescent="0.25">
      <c r="A229" s="79"/>
      <c r="B229" s="108" t="e">
        <f t="shared" ca="1" si="57"/>
        <v>#NAME?</v>
      </c>
      <c r="C229" s="109" t="e">
        <f t="shared" ca="1" si="58"/>
        <v>#NAME?</v>
      </c>
      <c r="D229" s="110" t="e">
        <f t="shared" ca="1" si="47"/>
        <v>#NAME?</v>
      </c>
      <c r="E229" s="111" t="e">
        <f t="shared" ca="1" si="48"/>
        <v>#NAME?</v>
      </c>
      <c r="F229" s="110" t="e">
        <f t="shared" ca="1" si="49"/>
        <v>#NAME?</v>
      </c>
      <c r="G229" s="112" t="e">
        <f t="shared" ca="1" si="59"/>
        <v>#NAME?</v>
      </c>
      <c r="H229" s="113" t="e">
        <f t="shared" ca="1" si="50"/>
        <v>#NAME?</v>
      </c>
      <c r="I229" s="79" t="e">
        <f t="shared" ca="1" si="51"/>
        <v>#NAME?</v>
      </c>
      <c r="J229" s="115" t="e">
        <f t="shared" ca="1" si="52"/>
        <v>#NAME?</v>
      </c>
      <c r="K229" s="78" t="e">
        <f t="shared" ca="1" si="53"/>
        <v>#NAME?</v>
      </c>
      <c r="L229" s="78" t="e">
        <f t="shared" ca="1" si="54"/>
        <v>#NAME?</v>
      </c>
      <c r="M229" s="78" t="e">
        <f t="shared" ca="1" si="55"/>
        <v>#NAME?</v>
      </c>
      <c r="N229" s="78" t="e">
        <f t="shared" ca="1" si="56"/>
        <v>#NAME?</v>
      </c>
    </row>
    <row r="230" spans="1:14" x14ac:dyDescent="0.25">
      <c r="A230" s="79"/>
      <c r="B230" s="108" t="e">
        <f t="shared" ca="1" si="57"/>
        <v>#NAME?</v>
      </c>
      <c r="C230" s="109" t="e">
        <f t="shared" ca="1" si="58"/>
        <v>#NAME?</v>
      </c>
      <c r="D230" s="110" t="e">
        <f t="shared" ca="1" si="47"/>
        <v>#NAME?</v>
      </c>
      <c r="E230" s="111" t="e">
        <f t="shared" ca="1" si="48"/>
        <v>#NAME?</v>
      </c>
      <c r="F230" s="110" t="e">
        <f t="shared" ca="1" si="49"/>
        <v>#NAME?</v>
      </c>
      <c r="G230" s="112" t="e">
        <f t="shared" ca="1" si="59"/>
        <v>#NAME?</v>
      </c>
      <c r="H230" s="113" t="e">
        <f t="shared" ca="1" si="50"/>
        <v>#NAME?</v>
      </c>
      <c r="I230" s="79" t="e">
        <f t="shared" ca="1" si="51"/>
        <v>#NAME?</v>
      </c>
      <c r="J230" s="115" t="e">
        <f t="shared" ca="1" si="52"/>
        <v>#NAME?</v>
      </c>
      <c r="K230" s="78" t="e">
        <f t="shared" ca="1" si="53"/>
        <v>#NAME?</v>
      </c>
      <c r="L230" s="78" t="e">
        <f t="shared" ca="1" si="54"/>
        <v>#NAME?</v>
      </c>
      <c r="M230" s="78" t="e">
        <f t="shared" ca="1" si="55"/>
        <v>#NAME?</v>
      </c>
      <c r="N230" s="78" t="e">
        <f t="shared" ca="1" si="56"/>
        <v>#NAME?</v>
      </c>
    </row>
    <row r="231" spans="1:14" x14ac:dyDescent="0.25">
      <c r="A231" s="79"/>
      <c r="B231" s="108" t="e">
        <f t="shared" ca="1" si="57"/>
        <v>#NAME?</v>
      </c>
      <c r="C231" s="109" t="e">
        <f t="shared" ca="1" si="58"/>
        <v>#NAME?</v>
      </c>
      <c r="D231" s="110" t="e">
        <f t="shared" ca="1" si="47"/>
        <v>#NAME?</v>
      </c>
      <c r="E231" s="111" t="e">
        <f t="shared" ca="1" si="48"/>
        <v>#NAME?</v>
      </c>
      <c r="F231" s="110" t="e">
        <f t="shared" ca="1" si="49"/>
        <v>#NAME?</v>
      </c>
      <c r="G231" s="112" t="e">
        <f t="shared" ca="1" si="59"/>
        <v>#NAME?</v>
      </c>
      <c r="H231" s="113" t="e">
        <f t="shared" ca="1" si="50"/>
        <v>#NAME?</v>
      </c>
      <c r="I231" s="79" t="e">
        <f t="shared" ca="1" si="51"/>
        <v>#NAME?</v>
      </c>
      <c r="J231" s="115" t="e">
        <f t="shared" ca="1" si="52"/>
        <v>#NAME?</v>
      </c>
      <c r="K231" s="78" t="e">
        <f t="shared" ca="1" si="53"/>
        <v>#NAME?</v>
      </c>
      <c r="L231" s="78" t="e">
        <f t="shared" ca="1" si="54"/>
        <v>#NAME?</v>
      </c>
      <c r="M231" s="78" t="e">
        <f t="shared" ca="1" si="55"/>
        <v>#NAME?</v>
      </c>
      <c r="N231" s="78" t="e">
        <f t="shared" ca="1" si="56"/>
        <v>#NAME?</v>
      </c>
    </row>
    <row r="232" spans="1:14" x14ac:dyDescent="0.25">
      <c r="A232" s="79"/>
      <c r="B232" s="108" t="e">
        <f t="shared" ca="1" si="57"/>
        <v>#NAME?</v>
      </c>
      <c r="C232" s="109" t="e">
        <f t="shared" ca="1" si="58"/>
        <v>#NAME?</v>
      </c>
      <c r="D232" s="110" t="e">
        <f t="shared" ca="1" si="47"/>
        <v>#NAME?</v>
      </c>
      <c r="E232" s="111" t="e">
        <f t="shared" ca="1" si="48"/>
        <v>#NAME?</v>
      </c>
      <c r="F232" s="110" t="e">
        <f t="shared" ca="1" si="49"/>
        <v>#NAME?</v>
      </c>
      <c r="G232" s="112" t="e">
        <f t="shared" ca="1" si="59"/>
        <v>#NAME?</v>
      </c>
      <c r="H232" s="113" t="e">
        <f t="shared" ca="1" si="50"/>
        <v>#NAME?</v>
      </c>
      <c r="I232" s="79" t="e">
        <f t="shared" ca="1" si="51"/>
        <v>#NAME?</v>
      </c>
      <c r="J232" s="115" t="e">
        <f t="shared" ca="1" si="52"/>
        <v>#NAME?</v>
      </c>
      <c r="K232" s="78" t="e">
        <f t="shared" ca="1" si="53"/>
        <v>#NAME?</v>
      </c>
      <c r="L232" s="78" t="e">
        <f t="shared" ca="1" si="54"/>
        <v>#NAME?</v>
      </c>
      <c r="M232" s="78" t="e">
        <f t="shared" ca="1" si="55"/>
        <v>#NAME?</v>
      </c>
      <c r="N232" s="78" t="e">
        <f t="shared" ca="1" si="56"/>
        <v>#NAME?</v>
      </c>
    </row>
    <row r="233" spans="1:14" x14ac:dyDescent="0.25">
      <c r="A233" s="79"/>
      <c r="B233" s="108" t="e">
        <f t="shared" ca="1" si="57"/>
        <v>#NAME?</v>
      </c>
      <c r="C233" s="109" t="e">
        <f t="shared" ca="1" si="58"/>
        <v>#NAME?</v>
      </c>
      <c r="D233" s="110" t="e">
        <f t="shared" ca="1" si="47"/>
        <v>#NAME?</v>
      </c>
      <c r="E233" s="111" t="e">
        <f t="shared" ca="1" si="48"/>
        <v>#NAME?</v>
      </c>
      <c r="F233" s="110" t="e">
        <f t="shared" ca="1" si="49"/>
        <v>#NAME?</v>
      </c>
      <c r="G233" s="112" t="e">
        <f t="shared" ca="1" si="59"/>
        <v>#NAME?</v>
      </c>
      <c r="H233" s="113" t="e">
        <f t="shared" ca="1" si="50"/>
        <v>#NAME?</v>
      </c>
      <c r="I233" s="79" t="e">
        <f t="shared" ca="1" si="51"/>
        <v>#NAME?</v>
      </c>
      <c r="J233" s="115" t="e">
        <f t="shared" ca="1" si="52"/>
        <v>#NAME?</v>
      </c>
      <c r="K233" s="78" t="e">
        <f t="shared" ca="1" si="53"/>
        <v>#NAME?</v>
      </c>
      <c r="L233" s="78" t="e">
        <f t="shared" ca="1" si="54"/>
        <v>#NAME?</v>
      </c>
      <c r="M233" s="78" t="e">
        <f t="shared" ca="1" si="55"/>
        <v>#NAME?</v>
      </c>
      <c r="N233" s="78" t="e">
        <f t="shared" ca="1" si="56"/>
        <v>#NAME?</v>
      </c>
    </row>
    <row r="234" spans="1:14" x14ac:dyDescent="0.25">
      <c r="A234" s="79"/>
      <c r="B234" s="108" t="e">
        <f t="shared" ca="1" si="57"/>
        <v>#NAME?</v>
      </c>
      <c r="C234" s="109" t="e">
        <f t="shared" ca="1" si="58"/>
        <v>#NAME?</v>
      </c>
      <c r="D234" s="110" t="e">
        <f t="shared" ca="1" si="47"/>
        <v>#NAME?</v>
      </c>
      <c r="E234" s="111" t="e">
        <f t="shared" ca="1" si="48"/>
        <v>#NAME?</v>
      </c>
      <c r="F234" s="110" t="e">
        <f t="shared" ca="1" si="49"/>
        <v>#NAME?</v>
      </c>
      <c r="G234" s="112" t="e">
        <f t="shared" ca="1" si="59"/>
        <v>#NAME?</v>
      </c>
      <c r="H234" s="113" t="e">
        <f t="shared" ca="1" si="50"/>
        <v>#NAME?</v>
      </c>
      <c r="I234" s="79" t="e">
        <f t="shared" ca="1" si="51"/>
        <v>#NAME?</v>
      </c>
      <c r="J234" s="115" t="e">
        <f t="shared" ca="1" si="52"/>
        <v>#NAME?</v>
      </c>
      <c r="K234" s="78" t="e">
        <f t="shared" ca="1" si="53"/>
        <v>#NAME?</v>
      </c>
      <c r="L234" s="78" t="e">
        <f t="shared" ca="1" si="54"/>
        <v>#NAME?</v>
      </c>
      <c r="M234" s="78" t="e">
        <f t="shared" ca="1" si="55"/>
        <v>#NAME?</v>
      </c>
      <c r="N234" s="78" t="e">
        <f t="shared" ca="1" si="56"/>
        <v>#NAME?</v>
      </c>
    </row>
    <row r="235" spans="1:14" x14ac:dyDescent="0.25">
      <c r="A235" s="79"/>
      <c r="B235" s="108" t="e">
        <f t="shared" ca="1" si="57"/>
        <v>#NAME?</v>
      </c>
      <c r="C235" s="109" t="e">
        <f t="shared" ca="1" si="58"/>
        <v>#NAME?</v>
      </c>
      <c r="D235" s="110" t="e">
        <f t="shared" ca="1" si="47"/>
        <v>#NAME?</v>
      </c>
      <c r="E235" s="111" t="e">
        <f t="shared" ca="1" si="48"/>
        <v>#NAME?</v>
      </c>
      <c r="F235" s="110" t="e">
        <f t="shared" ca="1" si="49"/>
        <v>#NAME?</v>
      </c>
      <c r="G235" s="112" t="e">
        <f t="shared" ca="1" si="59"/>
        <v>#NAME?</v>
      </c>
      <c r="H235" s="113" t="e">
        <f t="shared" ca="1" si="50"/>
        <v>#NAME?</v>
      </c>
      <c r="I235" s="79" t="e">
        <f t="shared" ca="1" si="51"/>
        <v>#NAME?</v>
      </c>
      <c r="J235" s="115" t="e">
        <f t="shared" ca="1" si="52"/>
        <v>#NAME?</v>
      </c>
      <c r="K235" s="78" t="e">
        <f t="shared" ca="1" si="53"/>
        <v>#NAME?</v>
      </c>
      <c r="L235" s="78" t="e">
        <f t="shared" ca="1" si="54"/>
        <v>#NAME?</v>
      </c>
      <c r="M235" s="78" t="e">
        <f t="shared" ca="1" si="55"/>
        <v>#NAME?</v>
      </c>
      <c r="N235" s="78" t="e">
        <f t="shared" ca="1" si="56"/>
        <v>#NAME?</v>
      </c>
    </row>
    <row r="236" spans="1:14" x14ac:dyDescent="0.25">
      <c r="A236" s="79"/>
      <c r="B236" s="108" t="e">
        <f t="shared" ca="1" si="57"/>
        <v>#NAME?</v>
      </c>
      <c r="C236" s="109" t="e">
        <f t="shared" ca="1" si="58"/>
        <v>#NAME?</v>
      </c>
      <c r="D236" s="110" t="e">
        <f t="shared" ca="1" si="47"/>
        <v>#NAME?</v>
      </c>
      <c r="E236" s="111" t="e">
        <f t="shared" ca="1" si="48"/>
        <v>#NAME?</v>
      </c>
      <c r="F236" s="110" t="e">
        <f t="shared" ca="1" si="49"/>
        <v>#NAME?</v>
      </c>
      <c r="G236" s="112" t="e">
        <f t="shared" ca="1" si="59"/>
        <v>#NAME?</v>
      </c>
      <c r="H236" s="113" t="e">
        <f t="shared" ca="1" si="50"/>
        <v>#NAME?</v>
      </c>
      <c r="I236" s="79" t="e">
        <f t="shared" ca="1" si="51"/>
        <v>#NAME?</v>
      </c>
      <c r="J236" s="115" t="e">
        <f t="shared" ca="1" si="52"/>
        <v>#NAME?</v>
      </c>
      <c r="K236" s="78" t="e">
        <f t="shared" ca="1" si="53"/>
        <v>#NAME?</v>
      </c>
      <c r="L236" s="78" t="e">
        <f t="shared" ca="1" si="54"/>
        <v>#NAME?</v>
      </c>
      <c r="M236" s="78" t="e">
        <f t="shared" ca="1" si="55"/>
        <v>#NAME?</v>
      </c>
      <c r="N236" s="78" t="e">
        <f t="shared" ca="1" si="56"/>
        <v>#NAME?</v>
      </c>
    </row>
    <row r="237" spans="1:14" x14ac:dyDescent="0.25">
      <c r="A237" s="79"/>
      <c r="B237" s="108" t="e">
        <f t="shared" ca="1" si="57"/>
        <v>#NAME?</v>
      </c>
      <c r="C237" s="109" t="e">
        <f t="shared" ca="1" si="58"/>
        <v>#NAME?</v>
      </c>
      <c r="D237" s="110" t="e">
        <f t="shared" ca="1" si="47"/>
        <v>#NAME?</v>
      </c>
      <c r="E237" s="111" t="e">
        <f t="shared" ca="1" si="48"/>
        <v>#NAME?</v>
      </c>
      <c r="F237" s="110" t="e">
        <f t="shared" ca="1" si="49"/>
        <v>#NAME?</v>
      </c>
      <c r="G237" s="112" t="e">
        <f t="shared" ca="1" si="59"/>
        <v>#NAME?</v>
      </c>
      <c r="H237" s="113" t="e">
        <f t="shared" ca="1" si="50"/>
        <v>#NAME?</v>
      </c>
      <c r="I237" s="79" t="e">
        <f t="shared" ca="1" si="51"/>
        <v>#NAME?</v>
      </c>
      <c r="J237" s="115" t="e">
        <f t="shared" ca="1" si="52"/>
        <v>#NAME?</v>
      </c>
      <c r="K237" s="78" t="e">
        <f t="shared" ca="1" si="53"/>
        <v>#NAME?</v>
      </c>
      <c r="L237" s="78" t="e">
        <f t="shared" ca="1" si="54"/>
        <v>#NAME?</v>
      </c>
      <c r="M237" s="78" t="e">
        <f t="shared" ca="1" si="55"/>
        <v>#NAME?</v>
      </c>
      <c r="N237" s="78" t="e">
        <f t="shared" ca="1" si="56"/>
        <v>#NAME?</v>
      </c>
    </row>
    <row r="238" spans="1:14" x14ac:dyDescent="0.25">
      <c r="A238" s="79"/>
      <c r="B238" s="108" t="e">
        <f t="shared" ca="1" si="57"/>
        <v>#NAME?</v>
      </c>
      <c r="C238" s="109" t="e">
        <f t="shared" ca="1" si="58"/>
        <v>#NAME?</v>
      </c>
      <c r="D238" s="110" t="e">
        <f t="shared" ca="1" si="47"/>
        <v>#NAME?</v>
      </c>
      <c r="E238" s="111" t="e">
        <f t="shared" ca="1" si="48"/>
        <v>#NAME?</v>
      </c>
      <c r="F238" s="110" t="e">
        <f t="shared" ca="1" si="49"/>
        <v>#NAME?</v>
      </c>
      <c r="G238" s="112" t="e">
        <f t="shared" ca="1" si="59"/>
        <v>#NAME?</v>
      </c>
      <c r="H238" s="113" t="e">
        <f t="shared" ca="1" si="50"/>
        <v>#NAME?</v>
      </c>
      <c r="I238" s="79" t="e">
        <f t="shared" ca="1" si="51"/>
        <v>#NAME?</v>
      </c>
      <c r="J238" s="115" t="e">
        <f t="shared" ca="1" si="52"/>
        <v>#NAME?</v>
      </c>
      <c r="K238" s="78" t="e">
        <f t="shared" ca="1" si="53"/>
        <v>#NAME?</v>
      </c>
      <c r="L238" s="78" t="e">
        <f t="shared" ca="1" si="54"/>
        <v>#NAME?</v>
      </c>
      <c r="M238" s="78" t="e">
        <f t="shared" ca="1" si="55"/>
        <v>#NAME?</v>
      </c>
      <c r="N238" s="78" t="e">
        <f t="shared" ca="1" si="56"/>
        <v>#NAME?</v>
      </c>
    </row>
    <row r="239" spans="1:14" x14ac:dyDescent="0.25">
      <c r="A239" s="79"/>
      <c r="B239" s="108" t="e">
        <f t="shared" ca="1" si="57"/>
        <v>#NAME?</v>
      </c>
      <c r="C239" s="109" t="e">
        <f t="shared" ca="1" si="58"/>
        <v>#NAME?</v>
      </c>
      <c r="D239" s="110" t="e">
        <f t="shared" ca="1" si="47"/>
        <v>#NAME?</v>
      </c>
      <c r="E239" s="111" t="e">
        <f t="shared" ca="1" si="48"/>
        <v>#NAME?</v>
      </c>
      <c r="F239" s="110" t="e">
        <f t="shared" ca="1" si="49"/>
        <v>#NAME?</v>
      </c>
      <c r="G239" s="112" t="e">
        <f t="shared" ca="1" si="59"/>
        <v>#NAME?</v>
      </c>
      <c r="H239" s="113" t="e">
        <f t="shared" ca="1" si="50"/>
        <v>#NAME?</v>
      </c>
      <c r="I239" s="79" t="e">
        <f t="shared" ca="1" si="51"/>
        <v>#NAME?</v>
      </c>
      <c r="J239" s="115" t="e">
        <f t="shared" ca="1" si="52"/>
        <v>#NAME?</v>
      </c>
      <c r="K239" s="78" t="e">
        <f t="shared" ca="1" si="53"/>
        <v>#NAME?</v>
      </c>
      <c r="L239" s="78" t="e">
        <f t="shared" ca="1" si="54"/>
        <v>#NAME?</v>
      </c>
      <c r="M239" s="78" t="e">
        <f t="shared" ca="1" si="55"/>
        <v>#NAME?</v>
      </c>
      <c r="N239" s="78" t="e">
        <f t="shared" ca="1" si="56"/>
        <v>#NAME?</v>
      </c>
    </row>
    <row r="240" spans="1:14" x14ac:dyDescent="0.25">
      <c r="A240" s="79"/>
      <c r="B240" s="108" t="e">
        <f t="shared" ca="1" si="57"/>
        <v>#NAME?</v>
      </c>
      <c r="C240" s="109" t="e">
        <f t="shared" ca="1" si="58"/>
        <v>#NAME?</v>
      </c>
      <c r="D240" s="110" t="e">
        <f t="shared" ca="1" si="47"/>
        <v>#NAME?</v>
      </c>
      <c r="E240" s="111" t="e">
        <f t="shared" ca="1" si="48"/>
        <v>#NAME?</v>
      </c>
      <c r="F240" s="110" t="e">
        <f t="shared" ca="1" si="49"/>
        <v>#NAME?</v>
      </c>
      <c r="G240" s="112" t="e">
        <f t="shared" ca="1" si="59"/>
        <v>#NAME?</v>
      </c>
      <c r="H240" s="113" t="e">
        <f t="shared" ca="1" si="50"/>
        <v>#NAME?</v>
      </c>
      <c r="I240" s="79" t="e">
        <f t="shared" ca="1" si="51"/>
        <v>#NAME?</v>
      </c>
      <c r="J240" s="115" t="e">
        <f t="shared" ca="1" si="52"/>
        <v>#NAME?</v>
      </c>
      <c r="K240" s="78" t="e">
        <f t="shared" ca="1" si="53"/>
        <v>#NAME?</v>
      </c>
      <c r="L240" s="78" t="e">
        <f t="shared" ca="1" si="54"/>
        <v>#NAME?</v>
      </c>
      <c r="M240" s="78" t="e">
        <f t="shared" ca="1" si="55"/>
        <v>#NAME?</v>
      </c>
      <c r="N240" s="78" t="e">
        <f t="shared" ca="1" si="56"/>
        <v>#NAME?</v>
      </c>
    </row>
    <row r="241" spans="1:14" x14ac:dyDescent="0.25">
      <c r="A241" s="79"/>
      <c r="B241" s="108" t="e">
        <f t="shared" ca="1" si="57"/>
        <v>#NAME?</v>
      </c>
      <c r="C241" s="109" t="e">
        <f t="shared" ca="1" si="58"/>
        <v>#NAME?</v>
      </c>
      <c r="D241" s="110" t="e">
        <f t="shared" ca="1" si="47"/>
        <v>#NAME?</v>
      </c>
      <c r="E241" s="111" t="e">
        <f t="shared" ca="1" si="48"/>
        <v>#NAME?</v>
      </c>
      <c r="F241" s="110" t="e">
        <f t="shared" ca="1" si="49"/>
        <v>#NAME?</v>
      </c>
      <c r="G241" s="112" t="e">
        <f t="shared" ca="1" si="59"/>
        <v>#NAME?</v>
      </c>
      <c r="H241" s="113" t="e">
        <f t="shared" ca="1" si="50"/>
        <v>#NAME?</v>
      </c>
      <c r="I241" s="79" t="e">
        <f t="shared" ca="1" si="51"/>
        <v>#NAME?</v>
      </c>
      <c r="J241" s="115" t="e">
        <f t="shared" ca="1" si="52"/>
        <v>#NAME?</v>
      </c>
      <c r="K241" s="78" t="e">
        <f t="shared" ca="1" si="53"/>
        <v>#NAME?</v>
      </c>
      <c r="L241" s="78" t="e">
        <f t="shared" ca="1" si="54"/>
        <v>#NAME?</v>
      </c>
      <c r="M241" s="78" t="e">
        <f t="shared" ca="1" si="55"/>
        <v>#NAME?</v>
      </c>
      <c r="N241" s="78" t="e">
        <f t="shared" ca="1" si="56"/>
        <v>#NAME?</v>
      </c>
    </row>
    <row r="242" spans="1:14" x14ac:dyDescent="0.25">
      <c r="A242" s="79"/>
      <c r="B242" s="108" t="e">
        <f t="shared" ca="1" si="57"/>
        <v>#NAME?</v>
      </c>
      <c r="C242" s="109" t="e">
        <f t="shared" ca="1" si="58"/>
        <v>#NAME?</v>
      </c>
      <c r="D242" s="110" t="e">
        <f t="shared" ca="1" si="47"/>
        <v>#NAME?</v>
      </c>
      <c r="E242" s="111" t="e">
        <f t="shared" ca="1" si="48"/>
        <v>#NAME?</v>
      </c>
      <c r="F242" s="110" t="e">
        <f t="shared" ca="1" si="49"/>
        <v>#NAME?</v>
      </c>
      <c r="G242" s="112" t="e">
        <f t="shared" ca="1" si="59"/>
        <v>#NAME?</v>
      </c>
      <c r="H242" s="113" t="e">
        <f t="shared" ca="1" si="50"/>
        <v>#NAME?</v>
      </c>
      <c r="I242" s="79" t="e">
        <f t="shared" ca="1" si="51"/>
        <v>#NAME?</v>
      </c>
      <c r="J242" s="115" t="e">
        <f t="shared" ca="1" si="52"/>
        <v>#NAME?</v>
      </c>
      <c r="K242" s="78" t="e">
        <f t="shared" ca="1" si="53"/>
        <v>#NAME?</v>
      </c>
      <c r="L242" s="78" t="e">
        <f t="shared" ca="1" si="54"/>
        <v>#NAME?</v>
      </c>
      <c r="M242" s="78" t="e">
        <f t="shared" ca="1" si="55"/>
        <v>#NAME?</v>
      </c>
      <c r="N242" s="78" t="e">
        <f t="shared" ca="1" si="56"/>
        <v>#NAME?</v>
      </c>
    </row>
    <row r="243" spans="1:14" x14ac:dyDescent="0.25">
      <c r="A243" s="79"/>
      <c r="B243" s="108" t="e">
        <f t="shared" ca="1" si="57"/>
        <v>#NAME?</v>
      </c>
      <c r="C243" s="109" t="e">
        <f t="shared" ca="1" si="58"/>
        <v>#NAME?</v>
      </c>
      <c r="D243" s="110" t="e">
        <f t="shared" ca="1" si="47"/>
        <v>#NAME?</v>
      </c>
      <c r="E243" s="111" t="e">
        <f t="shared" ca="1" si="48"/>
        <v>#NAME?</v>
      </c>
      <c r="F243" s="110" t="e">
        <f t="shared" ca="1" si="49"/>
        <v>#NAME?</v>
      </c>
      <c r="G243" s="112" t="e">
        <f t="shared" ca="1" si="59"/>
        <v>#NAME?</v>
      </c>
      <c r="H243" s="113" t="e">
        <f t="shared" ca="1" si="50"/>
        <v>#NAME?</v>
      </c>
      <c r="I243" s="79" t="e">
        <f t="shared" ca="1" si="51"/>
        <v>#NAME?</v>
      </c>
      <c r="J243" s="115" t="e">
        <f t="shared" ca="1" si="52"/>
        <v>#NAME?</v>
      </c>
      <c r="K243" s="78" t="e">
        <f t="shared" ca="1" si="53"/>
        <v>#NAME?</v>
      </c>
      <c r="L243" s="78" t="e">
        <f t="shared" ca="1" si="54"/>
        <v>#NAME?</v>
      </c>
      <c r="M243" s="78" t="e">
        <f t="shared" ca="1" si="55"/>
        <v>#NAME?</v>
      </c>
      <c r="N243" s="78" t="e">
        <f t="shared" ca="1" si="56"/>
        <v>#NAME?</v>
      </c>
    </row>
    <row r="244" spans="1:14" x14ac:dyDescent="0.25">
      <c r="A244" s="79"/>
      <c r="B244" s="108" t="e">
        <f t="shared" ca="1" si="57"/>
        <v>#NAME?</v>
      </c>
      <c r="C244" s="109" t="e">
        <f t="shared" ca="1" si="58"/>
        <v>#NAME?</v>
      </c>
      <c r="D244" s="110" t="e">
        <f t="shared" ca="1" si="47"/>
        <v>#NAME?</v>
      </c>
      <c r="E244" s="111" t="e">
        <f t="shared" ca="1" si="48"/>
        <v>#NAME?</v>
      </c>
      <c r="F244" s="110" t="e">
        <f t="shared" ca="1" si="49"/>
        <v>#NAME?</v>
      </c>
      <c r="G244" s="112" t="e">
        <f t="shared" ca="1" si="59"/>
        <v>#NAME?</v>
      </c>
      <c r="H244" s="113" t="e">
        <f t="shared" ca="1" si="50"/>
        <v>#NAME?</v>
      </c>
      <c r="I244" s="79" t="e">
        <f t="shared" ca="1" si="51"/>
        <v>#NAME?</v>
      </c>
      <c r="J244" s="115" t="e">
        <f t="shared" ca="1" si="52"/>
        <v>#NAME?</v>
      </c>
      <c r="K244" s="78" t="e">
        <f t="shared" ca="1" si="53"/>
        <v>#NAME?</v>
      </c>
      <c r="L244" s="78" t="e">
        <f t="shared" ca="1" si="54"/>
        <v>#NAME?</v>
      </c>
      <c r="M244" s="78" t="e">
        <f t="shared" ca="1" si="55"/>
        <v>#NAME?</v>
      </c>
      <c r="N244" s="78" t="e">
        <f t="shared" ca="1" si="56"/>
        <v>#NAME?</v>
      </c>
    </row>
    <row r="245" spans="1:14" x14ac:dyDescent="0.25">
      <c r="A245" s="79"/>
      <c r="B245" s="108" t="e">
        <f t="shared" ca="1" si="57"/>
        <v>#NAME?</v>
      </c>
      <c r="C245" s="109" t="e">
        <f t="shared" ca="1" si="58"/>
        <v>#NAME?</v>
      </c>
      <c r="D245" s="110" t="e">
        <f t="shared" ca="1" si="47"/>
        <v>#NAME?</v>
      </c>
      <c r="E245" s="111" t="e">
        <f t="shared" ca="1" si="48"/>
        <v>#NAME?</v>
      </c>
      <c r="F245" s="110" t="e">
        <f t="shared" ca="1" si="49"/>
        <v>#NAME?</v>
      </c>
      <c r="G245" s="112" t="e">
        <f t="shared" ca="1" si="59"/>
        <v>#NAME?</v>
      </c>
      <c r="H245" s="113" t="e">
        <f t="shared" ca="1" si="50"/>
        <v>#NAME?</v>
      </c>
      <c r="I245" s="79" t="e">
        <f t="shared" ca="1" si="51"/>
        <v>#NAME?</v>
      </c>
      <c r="J245" s="115" t="e">
        <f t="shared" ca="1" si="52"/>
        <v>#NAME?</v>
      </c>
      <c r="K245" s="78" t="e">
        <f t="shared" ca="1" si="53"/>
        <v>#NAME?</v>
      </c>
      <c r="L245" s="78" t="e">
        <f t="shared" ca="1" si="54"/>
        <v>#NAME?</v>
      </c>
      <c r="M245" s="78" t="e">
        <f t="shared" ca="1" si="55"/>
        <v>#NAME?</v>
      </c>
      <c r="N245" s="78" t="e">
        <f t="shared" ca="1" si="56"/>
        <v>#NAME?</v>
      </c>
    </row>
    <row r="246" spans="1:14" x14ac:dyDescent="0.25">
      <c r="A246" s="79"/>
      <c r="B246" s="108" t="e">
        <f t="shared" ca="1" si="57"/>
        <v>#NAME?</v>
      </c>
      <c r="C246" s="109" t="e">
        <f t="shared" ca="1" si="58"/>
        <v>#NAME?</v>
      </c>
      <c r="D246" s="110" t="e">
        <f t="shared" ca="1" si="47"/>
        <v>#NAME?</v>
      </c>
      <c r="E246" s="111" t="e">
        <f t="shared" ca="1" si="48"/>
        <v>#NAME?</v>
      </c>
      <c r="F246" s="110" t="e">
        <f t="shared" ca="1" si="49"/>
        <v>#NAME?</v>
      </c>
      <c r="G246" s="112" t="e">
        <f t="shared" ca="1" si="59"/>
        <v>#NAME?</v>
      </c>
      <c r="H246" s="113" t="e">
        <f t="shared" ca="1" si="50"/>
        <v>#NAME?</v>
      </c>
      <c r="I246" s="79" t="e">
        <f t="shared" ca="1" si="51"/>
        <v>#NAME?</v>
      </c>
      <c r="J246" s="115" t="e">
        <f t="shared" ca="1" si="52"/>
        <v>#NAME?</v>
      </c>
      <c r="K246" s="78" t="e">
        <f t="shared" ca="1" si="53"/>
        <v>#NAME?</v>
      </c>
      <c r="L246" s="78" t="e">
        <f t="shared" ca="1" si="54"/>
        <v>#NAME?</v>
      </c>
      <c r="M246" s="78" t="e">
        <f t="shared" ca="1" si="55"/>
        <v>#NAME?</v>
      </c>
      <c r="N246" s="78" t="e">
        <f t="shared" ca="1" si="56"/>
        <v>#NAME?</v>
      </c>
    </row>
    <row r="247" spans="1:14" x14ac:dyDescent="0.25">
      <c r="A247" s="79"/>
      <c r="B247" s="108" t="e">
        <f t="shared" ca="1" si="57"/>
        <v>#NAME?</v>
      </c>
      <c r="C247" s="109" t="e">
        <f t="shared" ca="1" si="58"/>
        <v>#NAME?</v>
      </c>
      <c r="D247" s="110" t="e">
        <f t="shared" ca="1" si="47"/>
        <v>#NAME?</v>
      </c>
      <c r="E247" s="111" t="e">
        <f t="shared" ca="1" si="48"/>
        <v>#NAME?</v>
      </c>
      <c r="F247" s="110" t="e">
        <f t="shared" ca="1" si="49"/>
        <v>#NAME?</v>
      </c>
      <c r="G247" s="112" t="e">
        <f t="shared" ca="1" si="59"/>
        <v>#NAME?</v>
      </c>
      <c r="H247" s="113" t="e">
        <f t="shared" ca="1" si="50"/>
        <v>#NAME?</v>
      </c>
      <c r="I247" s="79" t="e">
        <f t="shared" ca="1" si="51"/>
        <v>#NAME?</v>
      </c>
      <c r="J247" s="115" t="e">
        <f t="shared" ca="1" si="52"/>
        <v>#NAME?</v>
      </c>
      <c r="K247" s="78" t="e">
        <f t="shared" ca="1" si="53"/>
        <v>#NAME?</v>
      </c>
      <c r="L247" s="78" t="e">
        <f t="shared" ca="1" si="54"/>
        <v>#NAME?</v>
      </c>
      <c r="M247" s="78" t="e">
        <f t="shared" ca="1" si="55"/>
        <v>#NAME?</v>
      </c>
      <c r="N247" s="78" t="e">
        <f t="shared" ca="1" si="56"/>
        <v>#NAME?</v>
      </c>
    </row>
    <row r="248" spans="1:14" x14ac:dyDescent="0.25">
      <c r="A248" s="79"/>
      <c r="B248" s="108" t="e">
        <f t="shared" ca="1" si="57"/>
        <v>#NAME?</v>
      </c>
      <c r="C248" s="109" t="e">
        <f t="shared" ca="1" si="58"/>
        <v>#NAME?</v>
      </c>
      <c r="D248" s="110" t="e">
        <f t="shared" ca="1" si="47"/>
        <v>#NAME?</v>
      </c>
      <c r="E248" s="111" t="e">
        <f t="shared" ca="1" si="48"/>
        <v>#NAME?</v>
      </c>
      <c r="F248" s="110" t="e">
        <f t="shared" ca="1" si="49"/>
        <v>#NAME?</v>
      </c>
      <c r="G248" s="112" t="e">
        <f t="shared" ca="1" si="59"/>
        <v>#NAME?</v>
      </c>
      <c r="H248" s="113" t="e">
        <f t="shared" ca="1" si="50"/>
        <v>#NAME?</v>
      </c>
      <c r="I248" s="79" t="e">
        <f t="shared" ca="1" si="51"/>
        <v>#NAME?</v>
      </c>
      <c r="J248" s="115" t="e">
        <f t="shared" ca="1" si="52"/>
        <v>#NAME?</v>
      </c>
      <c r="K248" s="78" t="e">
        <f t="shared" ca="1" si="53"/>
        <v>#NAME?</v>
      </c>
      <c r="L248" s="78" t="e">
        <f t="shared" ca="1" si="54"/>
        <v>#NAME?</v>
      </c>
      <c r="M248" s="78" t="e">
        <f t="shared" ca="1" si="55"/>
        <v>#NAME?</v>
      </c>
      <c r="N248" s="78" t="e">
        <f t="shared" ca="1" si="56"/>
        <v>#NAME?</v>
      </c>
    </row>
    <row r="249" spans="1:14" x14ac:dyDescent="0.25">
      <c r="A249" s="79"/>
      <c r="B249" s="108" t="e">
        <f t="shared" ca="1" si="57"/>
        <v>#NAME?</v>
      </c>
      <c r="C249" s="109" t="e">
        <f t="shared" ca="1" si="58"/>
        <v>#NAME?</v>
      </c>
      <c r="D249" s="110" t="e">
        <f t="shared" ca="1" si="47"/>
        <v>#NAME?</v>
      </c>
      <c r="E249" s="111" t="e">
        <f t="shared" ca="1" si="48"/>
        <v>#NAME?</v>
      </c>
      <c r="F249" s="110" t="e">
        <f t="shared" ca="1" si="49"/>
        <v>#NAME?</v>
      </c>
      <c r="G249" s="112" t="e">
        <f t="shared" ca="1" si="59"/>
        <v>#NAME?</v>
      </c>
      <c r="H249" s="113" t="e">
        <f t="shared" ca="1" si="50"/>
        <v>#NAME?</v>
      </c>
      <c r="I249" s="79" t="e">
        <f t="shared" ca="1" si="51"/>
        <v>#NAME?</v>
      </c>
      <c r="J249" s="115" t="e">
        <f t="shared" ca="1" si="52"/>
        <v>#NAME?</v>
      </c>
      <c r="K249" s="78" t="e">
        <f t="shared" ca="1" si="53"/>
        <v>#NAME?</v>
      </c>
      <c r="L249" s="78" t="e">
        <f t="shared" ca="1" si="54"/>
        <v>#NAME?</v>
      </c>
      <c r="M249" s="78" t="e">
        <f t="shared" ca="1" si="55"/>
        <v>#NAME?</v>
      </c>
      <c r="N249" s="78" t="e">
        <f t="shared" ca="1" si="56"/>
        <v>#NAME?</v>
      </c>
    </row>
    <row r="250" spans="1:14" x14ac:dyDescent="0.25">
      <c r="A250" s="79"/>
      <c r="B250" s="108" t="e">
        <f t="shared" ca="1" si="57"/>
        <v>#NAME?</v>
      </c>
      <c r="C250" s="109" t="e">
        <f t="shared" ca="1" si="58"/>
        <v>#NAME?</v>
      </c>
      <c r="D250" s="110" t="e">
        <f t="shared" ca="1" si="47"/>
        <v>#NAME?</v>
      </c>
      <c r="E250" s="111" t="e">
        <f t="shared" ca="1" si="48"/>
        <v>#NAME?</v>
      </c>
      <c r="F250" s="110" t="e">
        <f t="shared" ca="1" si="49"/>
        <v>#NAME?</v>
      </c>
      <c r="G250" s="112" t="e">
        <f t="shared" ca="1" si="59"/>
        <v>#NAME?</v>
      </c>
      <c r="H250" s="113" t="e">
        <f t="shared" ca="1" si="50"/>
        <v>#NAME?</v>
      </c>
      <c r="I250" s="79" t="e">
        <f t="shared" ca="1" si="51"/>
        <v>#NAME?</v>
      </c>
      <c r="J250" s="115" t="e">
        <f t="shared" ca="1" si="52"/>
        <v>#NAME?</v>
      </c>
      <c r="K250" s="78" t="e">
        <f t="shared" ca="1" si="53"/>
        <v>#NAME?</v>
      </c>
      <c r="L250" s="78" t="e">
        <f t="shared" ca="1" si="54"/>
        <v>#NAME?</v>
      </c>
      <c r="M250" s="78" t="e">
        <f t="shared" ca="1" si="55"/>
        <v>#NAME?</v>
      </c>
      <c r="N250" s="78" t="e">
        <f t="shared" ca="1" si="56"/>
        <v>#NAME?</v>
      </c>
    </row>
    <row r="251" spans="1:14" x14ac:dyDescent="0.25">
      <c r="A251" s="79"/>
      <c r="B251" s="108" t="e">
        <f t="shared" ca="1" si="57"/>
        <v>#NAME?</v>
      </c>
      <c r="C251" s="109" t="e">
        <f t="shared" ca="1" si="58"/>
        <v>#NAME?</v>
      </c>
      <c r="D251" s="110" t="e">
        <f t="shared" ca="1" si="47"/>
        <v>#NAME?</v>
      </c>
      <c r="E251" s="111" t="e">
        <f t="shared" ca="1" si="48"/>
        <v>#NAME?</v>
      </c>
      <c r="F251" s="110" t="e">
        <f t="shared" ca="1" si="49"/>
        <v>#NAME?</v>
      </c>
      <c r="G251" s="112" t="e">
        <f t="shared" ca="1" si="59"/>
        <v>#NAME?</v>
      </c>
      <c r="H251" s="113" t="e">
        <f t="shared" ca="1" si="50"/>
        <v>#NAME?</v>
      </c>
      <c r="I251" s="79" t="e">
        <f t="shared" ca="1" si="51"/>
        <v>#NAME?</v>
      </c>
      <c r="J251" s="115" t="e">
        <f t="shared" ca="1" si="52"/>
        <v>#NAME?</v>
      </c>
      <c r="K251" s="78" t="e">
        <f t="shared" ca="1" si="53"/>
        <v>#NAME?</v>
      </c>
      <c r="L251" s="78" t="e">
        <f t="shared" ca="1" si="54"/>
        <v>#NAME?</v>
      </c>
      <c r="M251" s="78" t="e">
        <f t="shared" ca="1" si="55"/>
        <v>#NAME?</v>
      </c>
      <c r="N251" s="78" t="e">
        <f t="shared" ca="1" si="56"/>
        <v>#NAME?</v>
      </c>
    </row>
    <row r="252" spans="1:14" x14ac:dyDescent="0.25">
      <c r="A252" s="79"/>
      <c r="B252" s="108" t="e">
        <f t="shared" ca="1" si="57"/>
        <v>#NAME?</v>
      </c>
      <c r="C252" s="109" t="e">
        <f t="shared" ca="1" si="58"/>
        <v>#NAME?</v>
      </c>
      <c r="D252" s="110" t="e">
        <f t="shared" ca="1" si="47"/>
        <v>#NAME?</v>
      </c>
      <c r="E252" s="111" t="e">
        <f t="shared" ca="1" si="48"/>
        <v>#NAME?</v>
      </c>
      <c r="F252" s="110" t="e">
        <f t="shared" ca="1" si="49"/>
        <v>#NAME?</v>
      </c>
      <c r="G252" s="112" t="e">
        <f t="shared" ca="1" si="59"/>
        <v>#NAME?</v>
      </c>
      <c r="H252" s="113" t="e">
        <f t="shared" ca="1" si="50"/>
        <v>#NAME?</v>
      </c>
      <c r="I252" s="79" t="e">
        <f t="shared" ca="1" si="51"/>
        <v>#NAME?</v>
      </c>
      <c r="J252" s="115" t="e">
        <f t="shared" ca="1" si="52"/>
        <v>#NAME?</v>
      </c>
      <c r="K252" s="78" t="e">
        <f t="shared" ca="1" si="53"/>
        <v>#NAME?</v>
      </c>
      <c r="L252" s="78" t="e">
        <f t="shared" ca="1" si="54"/>
        <v>#NAME?</v>
      </c>
      <c r="M252" s="78" t="e">
        <f t="shared" ca="1" si="55"/>
        <v>#NAME?</v>
      </c>
      <c r="N252" s="78" t="e">
        <f t="shared" ca="1" si="56"/>
        <v>#NAME?</v>
      </c>
    </row>
    <row r="253" spans="1:14" x14ac:dyDescent="0.25">
      <c r="A253" s="79"/>
      <c r="B253" s="108" t="e">
        <f t="shared" ca="1" si="57"/>
        <v>#NAME?</v>
      </c>
      <c r="C253" s="109" t="e">
        <f t="shared" ca="1" si="58"/>
        <v>#NAME?</v>
      </c>
      <c r="D253" s="110" t="e">
        <f t="shared" ca="1" si="47"/>
        <v>#NAME?</v>
      </c>
      <c r="E253" s="111" t="e">
        <f t="shared" ca="1" si="48"/>
        <v>#NAME?</v>
      </c>
      <c r="F253" s="110" t="e">
        <f t="shared" ca="1" si="49"/>
        <v>#NAME?</v>
      </c>
      <c r="G253" s="112" t="e">
        <f t="shared" ca="1" si="59"/>
        <v>#NAME?</v>
      </c>
      <c r="H253" s="113" t="e">
        <f t="shared" ca="1" si="50"/>
        <v>#NAME?</v>
      </c>
      <c r="I253" s="79" t="e">
        <f t="shared" ca="1" si="51"/>
        <v>#NAME?</v>
      </c>
      <c r="J253" s="115" t="e">
        <f t="shared" ca="1" si="52"/>
        <v>#NAME?</v>
      </c>
      <c r="K253" s="78" t="e">
        <f t="shared" ca="1" si="53"/>
        <v>#NAME?</v>
      </c>
      <c r="L253" s="78" t="e">
        <f t="shared" ca="1" si="54"/>
        <v>#NAME?</v>
      </c>
      <c r="M253" s="78" t="e">
        <f t="shared" ca="1" si="55"/>
        <v>#NAME?</v>
      </c>
      <c r="N253" s="78" t="e">
        <f t="shared" ca="1" si="56"/>
        <v>#NAME?</v>
      </c>
    </row>
    <row r="254" spans="1:14" x14ac:dyDescent="0.25">
      <c r="A254" s="79"/>
      <c r="B254" s="108" t="e">
        <f t="shared" ca="1" si="57"/>
        <v>#NAME?</v>
      </c>
      <c r="C254" s="109" t="e">
        <f t="shared" ca="1" si="58"/>
        <v>#NAME?</v>
      </c>
      <c r="D254" s="110" t="e">
        <f t="shared" ca="1" si="47"/>
        <v>#NAME?</v>
      </c>
      <c r="E254" s="111" t="e">
        <f t="shared" ca="1" si="48"/>
        <v>#NAME?</v>
      </c>
      <c r="F254" s="110" t="e">
        <f t="shared" ca="1" si="49"/>
        <v>#NAME?</v>
      </c>
      <c r="G254" s="112" t="e">
        <f t="shared" ca="1" si="59"/>
        <v>#NAME?</v>
      </c>
      <c r="H254" s="113" t="e">
        <f t="shared" ca="1" si="50"/>
        <v>#NAME?</v>
      </c>
      <c r="I254" s="79" t="e">
        <f t="shared" ca="1" si="51"/>
        <v>#NAME?</v>
      </c>
      <c r="J254" s="115" t="e">
        <f t="shared" ca="1" si="52"/>
        <v>#NAME?</v>
      </c>
      <c r="K254" s="78" t="e">
        <f t="shared" ca="1" si="53"/>
        <v>#NAME?</v>
      </c>
      <c r="L254" s="78" t="e">
        <f t="shared" ca="1" si="54"/>
        <v>#NAME?</v>
      </c>
      <c r="M254" s="78" t="e">
        <f t="shared" ca="1" si="55"/>
        <v>#NAME?</v>
      </c>
      <c r="N254" s="78" t="e">
        <f t="shared" ca="1" si="56"/>
        <v>#NAME?</v>
      </c>
    </row>
    <row r="255" spans="1:14" x14ac:dyDescent="0.25">
      <c r="A255" s="79"/>
      <c r="B255" s="108" t="e">
        <f t="shared" ca="1" si="57"/>
        <v>#NAME?</v>
      </c>
      <c r="C255" s="109" t="e">
        <f t="shared" ca="1" si="58"/>
        <v>#NAME?</v>
      </c>
      <c r="D255" s="110" t="e">
        <f t="shared" ca="1" si="47"/>
        <v>#NAME?</v>
      </c>
      <c r="E255" s="111" t="e">
        <f t="shared" ca="1" si="48"/>
        <v>#NAME?</v>
      </c>
      <c r="F255" s="110" t="e">
        <f t="shared" ca="1" si="49"/>
        <v>#NAME?</v>
      </c>
      <c r="G255" s="112" t="e">
        <f t="shared" ca="1" si="59"/>
        <v>#NAME?</v>
      </c>
      <c r="H255" s="113" t="e">
        <f t="shared" ca="1" si="50"/>
        <v>#NAME?</v>
      </c>
      <c r="I255" s="79" t="e">
        <f t="shared" ca="1" si="51"/>
        <v>#NAME?</v>
      </c>
      <c r="J255" s="115" t="e">
        <f t="shared" ca="1" si="52"/>
        <v>#NAME?</v>
      </c>
      <c r="K255" s="78" t="e">
        <f t="shared" ca="1" si="53"/>
        <v>#NAME?</v>
      </c>
      <c r="L255" s="78" t="e">
        <f t="shared" ca="1" si="54"/>
        <v>#NAME?</v>
      </c>
      <c r="M255" s="78" t="e">
        <f t="shared" ca="1" si="55"/>
        <v>#NAME?</v>
      </c>
      <c r="N255" s="78" t="e">
        <f t="shared" ca="1" si="56"/>
        <v>#NAME?</v>
      </c>
    </row>
    <row r="256" spans="1:14" x14ac:dyDescent="0.25">
      <c r="A256" s="79"/>
      <c r="B256" s="108" t="e">
        <f t="shared" ca="1" si="57"/>
        <v>#NAME?</v>
      </c>
      <c r="C256" s="109" t="e">
        <f t="shared" ca="1" si="58"/>
        <v>#NAME?</v>
      </c>
      <c r="D256" s="110" t="e">
        <f t="shared" ca="1" si="47"/>
        <v>#NAME?</v>
      </c>
      <c r="E256" s="111" t="e">
        <f t="shared" ca="1" si="48"/>
        <v>#NAME?</v>
      </c>
      <c r="F256" s="110" t="e">
        <f t="shared" ca="1" si="49"/>
        <v>#NAME?</v>
      </c>
      <c r="G256" s="112" t="e">
        <f t="shared" ca="1" si="59"/>
        <v>#NAME?</v>
      </c>
      <c r="H256" s="113" t="e">
        <f t="shared" ca="1" si="50"/>
        <v>#NAME?</v>
      </c>
      <c r="I256" s="79" t="e">
        <f t="shared" ca="1" si="51"/>
        <v>#NAME?</v>
      </c>
      <c r="J256" s="115" t="e">
        <f t="shared" ca="1" si="52"/>
        <v>#NAME?</v>
      </c>
      <c r="K256" s="78" t="e">
        <f t="shared" ca="1" si="53"/>
        <v>#NAME?</v>
      </c>
      <c r="L256" s="78" t="e">
        <f t="shared" ca="1" si="54"/>
        <v>#NAME?</v>
      </c>
      <c r="M256" s="78" t="e">
        <f t="shared" ca="1" si="55"/>
        <v>#NAME?</v>
      </c>
      <c r="N256" s="78" t="e">
        <f t="shared" ca="1" si="56"/>
        <v>#NAME?</v>
      </c>
    </row>
    <row r="257" spans="1:14" x14ac:dyDescent="0.25">
      <c r="A257" s="79"/>
      <c r="B257" s="108" t="e">
        <f t="shared" ca="1" si="57"/>
        <v>#NAME?</v>
      </c>
      <c r="C257" s="109" t="e">
        <f t="shared" ca="1" si="58"/>
        <v>#NAME?</v>
      </c>
      <c r="D257" s="110" t="e">
        <f t="shared" ca="1" si="47"/>
        <v>#NAME?</v>
      </c>
      <c r="E257" s="111" t="e">
        <f t="shared" ca="1" si="48"/>
        <v>#NAME?</v>
      </c>
      <c r="F257" s="110" t="e">
        <f t="shared" ca="1" si="49"/>
        <v>#NAME?</v>
      </c>
      <c r="G257" s="112" t="e">
        <f t="shared" ca="1" si="59"/>
        <v>#NAME?</v>
      </c>
      <c r="H257" s="113" t="e">
        <f t="shared" ca="1" si="50"/>
        <v>#NAME?</v>
      </c>
      <c r="I257" s="79" t="e">
        <f t="shared" ca="1" si="51"/>
        <v>#NAME?</v>
      </c>
      <c r="J257" s="115" t="e">
        <f t="shared" ca="1" si="52"/>
        <v>#NAME?</v>
      </c>
      <c r="K257" s="78" t="e">
        <f t="shared" ca="1" si="53"/>
        <v>#NAME?</v>
      </c>
      <c r="L257" s="78" t="e">
        <f t="shared" ca="1" si="54"/>
        <v>#NAME?</v>
      </c>
      <c r="M257" s="78" t="e">
        <f t="shared" ca="1" si="55"/>
        <v>#NAME?</v>
      </c>
      <c r="N257" s="78" t="e">
        <f t="shared" ca="1" si="56"/>
        <v>#NAME?</v>
      </c>
    </row>
    <row r="258" spans="1:14" x14ac:dyDescent="0.25">
      <c r="A258" s="79"/>
      <c r="B258" s="108" t="e">
        <f t="shared" ca="1" si="57"/>
        <v>#NAME?</v>
      </c>
      <c r="C258" s="109" t="e">
        <f t="shared" ca="1" si="58"/>
        <v>#NAME?</v>
      </c>
      <c r="D258" s="110" t="e">
        <f t="shared" ca="1" si="47"/>
        <v>#NAME?</v>
      </c>
      <c r="E258" s="111" t="e">
        <f t="shared" ca="1" si="48"/>
        <v>#NAME?</v>
      </c>
      <c r="F258" s="110" t="e">
        <f t="shared" ca="1" si="49"/>
        <v>#NAME?</v>
      </c>
      <c r="G258" s="112" t="e">
        <f t="shared" ca="1" si="59"/>
        <v>#NAME?</v>
      </c>
      <c r="H258" s="113" t="e">
        <f t="shared" ca="1" si="50"/>
        <v>#NAME?</v>
      </c>
      <c r="I258" s="79" t="e">
        <f t="shared" ca="1" si="51"/>
        <v>#NAME?</v>
      </c>
      <c r="J258" s="115" t="e">
        <f t="shared" ca="1" si="52"/>
        <v>#NAME?</v>
      </c>
      <c r="K258" s="78" t="e">
        <f t="shared" ca="1" si="53"/>
        <v>#NAME?</v>
      </c>
      <c r="L258" s="78" t="e">
        <f t="shared" ca="1" si="54"/>
        <v>#NAME?</v>
      </c>
      <c r="M258" s="78" t="e">
        <f t="shared" ca="1" si="55"/>
        <v>#NAME?</v>
      </c>
      <c r="N258" s="78" t="e">
        <f t="shared" ca="1" si="56"/>
        <v>#NAME?</v>
      </c>
    </row>
    <row r="259" spans="1:14" x14ac:dyDescent="0.25">
      <c r="A259" s="79"/>
      <c r="B259" s="108" t="e">
        <f t="shared" ca="1" si="57"/>
        <v>#NAME?</v>
      </c>
      <c r="C259" s="109" t="e">
        <f t="shared" ca="1" si="58"/>
        <v>#NAME?</v>
      </c>
      <c r="D259" s="110" t="e">
        <f t="shared" ca="1" si="47"/>
        <v>#NAME?</v>
      </c>
      <c r="E259" s="111" t="e">
        <f t="shared" ca="1" si="48"/>
        <v>#NAME?</v>
      </c>
      <c r="F259" s="110" t="e">
        <f t="shared" ca="1" si="49"/>
        <v>#NAME?</v>
      </c>
      <c r="G259" s="112" t="e">
        <f t="shared" ca="1" si="59"/>
        <v>#NAME?</v>
      </c>
      <c r="H259" s="113" t="e">
        <f t="shared" ca="1" si="50"/>
        <v>#NAME?</v>
      </c>
      <c r="I259" s="79" t="e">
        <f t="shared" ca="1" si="51"/>
        <v>#NAME?</v>
      </c>
      <c r="J259" s="115" t="e">
        <f t="shared" ca="1" si="52"/>
        <v>#NAME?</v>
      </c>
      <c r="K259" s="78" t="e">
        <f t="shared" ca="1" si="53"/>
        <v>#NAME?</v>
      </c>
      <c r="L259" s="78" t="e">
        <f t="shared" ca="1" si="54"/>
        <v>#NAME?</v>
      </c>
      <c r="M259" s="78" t="e">
        <f t="shared" ca="1" si="55"/>
        <v>#NAME?</v>
      </c>
      <c r="N259" s="78" t="e">
        <f t="shared" ca="1" si="56"/>
        <v>#NAME?</v>
      </c>
    </row>
    <row r="260" spans="1:14" x14ac:dyDescent="0.25">
      <c r="A260" s="79"/>
      <c r="B260" s="108" t="e">
        <f t="shared" ca="1" si="57"/>
        <v>#NAME?</v>
      </c>
      <c r="C260" s="109" t="e">
        <f t="shared" ca="1" si="58"/>
        <v>#NAME?</v>
      </c>
      <c r="D260" s="110" t="e">
        <f t="shared" ca="1" si="47"/>
        <v>#NAME?</v>
      </c>
      <c r="E260" s="111" t="e">
        <f t="shared" ca="1" si="48"/>
        <v>#NAME?</v>
      </c>
      <c r="F260" s="110" t="e">
        <f t="shared" ca="1" si="49"/>
        <v>#NAME?</v>
      </c>
      <c r="G260" s="112" t="e">
        <f t="shared" ca="1" si="59"/>
        <v>#NAME?</v>
      </c>
      <c r="H260" s="113" t="e">
        <f t="shared" ca="1" si="50"/>
        <v>#NAME?</v>
      </c>
      <c r="I260" s="79" t="e">
        <f t="shared" ca="1" si="51"/>
        <v>#NAME?</v>
      </c>
      <c r="J260" s="115" t="e">
        <f t="shared" ca="1" si="52"/>
        <v>#NAME?</v>
      </c>
      <c r="K260" s="78" t="e">
        <f t="shared" ca="1" si="53"/>
        <v>#NAME?</v>
      </c>
      <c r="L260" s="78" t="e">
        <f t="shared" ca="1" si="54"/>
        <v>#NAME?</v>
      </c>
      <c r="M260" s="78" t="e">
        <f t="shared" ca="1" si="55"/>
        <v>#NAME?</v>
      </c>
      <c r="N260" s="78" t="e">
        <f t="shared" ca="1" si="56"/>
        <v>#NAME?</v>
      </c>
    </row>
    <row r="261" spans="1:14" x14ac:dyDescent="0.25">
      <c r="A261" s="79"/>
      <c r="B261" s="108" t="e">
        <f t="shared" ca="1" si="57"/>
        <v>#NAME?</v>
      </c>
      <c r="C261" s="109" t="e">
        <f t="shared" ca="1" si="58"/>
        <v>#NAME?</v>
      </c>
      <c r="D261" s="110" t="e">
        <f t="shared" ca="1" si="47"/>
        <v>#NAME?</v>
      </c>
      <c r="E261" s="111" t="e">
        <f t="shared" ca="1" si="48"/>
        <v>#NAME?</v>
      </c>
      <c r="F261" s="110" t="e">
        <f t="shared" ca="1" si="49"/>
        <v>#NAME?</v>
      </c>
      <c r="G261" s="112" t="e">
        <f t="shared" ca="1" si="59"/>
        <v>#NAME?</v>
      </c>
      <c r="H261" s="113" t="e">
        <f t="shared" ca="1" si="50"/>
        <v>#NAME?</v>
      </c>
      <c r="I261" s="79" t="e">
        <f t="shared" ca="1" si="51"/>
        <v>#NAME?</v>
      </c>
      <c r="J261" s="115" t="e">
        <f t="shared" ca="1" si="52"/>
        <v>#NAME?</v>
      </c>
      <c r="K261" s="78" t="e">
        <f t="shared" ca="1" si="53"/>
        <v>#NAME?</v>
      </c>
      <c r="L261" s="78" t="e">
        <f t="shared" ca="1" si="54"/>
        <v>#NAME?</v>
      </c>
      <c r="M261" s="78" t="e">
        <f t="shared" ca="1" si="55"/>
        <v>#NAME?</v>
      </c>
      <c r="N261" s="78" t="e">
        <f t="shared" ca="1" si="56"/>
        <v>#NAME?</v>
      </c>
    </row>
    <row r="262" spans="1:14" x14ac:dyDescent="0.25">
      <c r="A262" s="79"/>
      <c r="B262" s="108" t="e">
        <f t="shared" ca="1" si="57"/>
        <v>#NAME?</v>
      </c>
      <c r="C262" s="109" t="e">
        <f t="shared" ca="1" si="58"/>
        <v>#NAME?</v>
      </c>
      <c r="D262" s="110" t="e">
        <f t="shared" ca="1" si="47"/>
        <v>#NAME?</v>
      </c>
      <c r="E262" s="111" t="e">
        <f t="shared" ca="1" si="48"/>
        <v>#NAME?</v>
      </c>
      <c r="F262" s="110" t="e">
        <f t="shared" ca="1" si="49"/>
        <v>#NAME?</v>
      </c>
      <c r="G262" s="112" t="e">
        <f t="shared" ca="1" si="59"/>
        <v>#NAME?</v>
      </c>
      <c r="H262" s="113" t="e">
        <f t="shared" ca="1" si="50"/>
        <v>#NAME?</v>
      </c>
      <c r="I262" s="79" t="e">
        <f t="shared" ca="1" si="51"/>
        <v>#NAME?</v>
      </c>
      <c r="J262" s="115" t="e">
        <f t="shared" ca="1" si="52"/>
        <v>#NAME?</v>
      </c>
      <c r="K262" s="78" t="e">
        <f t="shared" ca="1" si="53"/>
        <v>#NAME?</v>
      </c>
      <c r="L262" s="78" t="e">
        <f t="shared" ca="1" si="54"/>
        <v>#NAME?</v>
      </c>
      <c r="M262" s="78" t="e">
        <f t="shared" ca="1" si="55"/>
        <v>#NAME?</v>
      </c>
      <c r="N262" s="78" t="e">
        <f t="shared" ca="1" si="56"/>
        <v>#NAME?</v>
      </c>
    </row>
    <row r="263" spans="1:14" x14ac:dyDescent="0.25">
      <c r="A263" s="79"/>
      <c r="B263" s="108" t="e">
        <f t="shared" ca="1" si="57"/>
        <v>#NAME?</v>
      </c>
      <c r="C263" s="109" t="e">
        <f t="shared" ca="1" si="58"/>
        <v>#NAME?</v>
      </c>
      <c r="D263" s="110" t="e">
        <f t="shared" ca="1" si="47"/>
        <v>#NAME?</v>
      </c>
      <c r="E263" s="111" t="e">
        <f t="shared" ca="1" si="48"/>
        <v>#NAME?</v>
      </c>
      <c r="F263" s="110" t="e">
        <f t="shared" ca="1" si="49"/>
        <v>#NAME?</v>
      </c>
      <c r="G263" s="112" t="e">
        <f t="shared" ca="1" si="59"/>
        <v>#NAME?</v>
      </c>
      <c r="H263" s="113" t="e">
        <f t="shared" ca="1" si="50"/>
        <v>#NAME?</v>
      </c>
      <c r="I263" s="79" t="e">
        <f t="shared" ca="1" si="51"/>
        <v>#NAME?</v>
      </c>
      <c r="J263" s="115" t="e">
        <f t="shared" ca="1" si="52"/>
        <v>#NAME?</v>
      </c>
      <c r="K263" s="78" t="e">
        <f t="shared" ca="1" si="53"/>
        <v>#NAME?</v>
      </c>
      <c r="L263" s="78" t="e">
        <f t="shared" ca="1" si="54"/>
        <v>#NAME?</v>
      </c>
      <c r="M263" s="78" t="e">
        <f t="shared" ca="1" si="55"/>
        <v>#NAME?</v>
      </c>
      <c r="N263" s="78" t="e">
        <f t="shared" ca="1" si="56"/>
        <v>#NAME?</v>
      </c>
    </row>
    <row r="264" spans="1:14" x14ac:dyDescent="0.25">
      <c r="A264" s="79"/>
      <c r="B264" s="108" t="e">
        <f t="shared" ca="1" si="57"/>
        <v>#NAME?</v>
      </c>
      <c r="C264" s="109" t="e">
        <f t="shared" ca="1" si="58"/>
        <v>#NAME?</v>
      </c>
      <c r="D264" s="110" t="e">
        <f t="shared" ca="1" si="47"/>
        <v>#NAME?</v>
      </c>
      <c r="E264" s="111" t="e">
        <f t="shared" ca="1" si="48"/>
        <v>#NAME?</v>
      </c>
      <c r="F264" s="110" t="e">
        <f t="shared" ca="1" si="49"/>
        <v>#NAME?</v>
      </c>
      <c r="G264" s="112" t="e">
        <f t="shared" ca="1" si="59"/>
        <v>#NAME?</v>
      </c>
      <c r="H264" s="113" t="e">
        <f t="shared" ca="1" si="50"/>
        <v>#NAME?</v>
      </c>
      <c r="I264" s="79" t="e">
        <f t="shared" ca="1" si="51"/>
        <v>#NAME?</v>
      </c>
      <c r="J264" s="115" t="e">
        <f t="shared" ca="1" si="52"/>
        <v>#NAME?</v>
      </c>
      <c r="K264" s="78" t="e">
        <f t="shared" ca="1" si="53"/>
        <v>#NAME?</v>
      </c>
      <c r="L264" s="78" t="e">
        <f t="shared" ca="1" si="54"/>
        <v>#NAME?</v>
      </c>
      <c r="M264" s="78" t="e">
        <f t="shared" ca="1" si="55"/>
        <v>#NAME?</v>
      </c>
      <c r="N264" s="78" t="e">
        <f t="shared" ca="1" si="56"/>
        <v>#NAME?</v>
      </c>
    </row>
    <row r="265" spans="1:14" x14ac:dyDescent="0.25">
      <c r="A265" s="79"/>
      <c r="B265" s="108" t="e">
        <f t="shared" ca="1" si="57"/>
        <v>#NAME?</v>
      </c>
      <c r="C265" s="109" t="e">
        <f t="shared" ca="1" si="58"/>
        <v>#NAME?</v>
      </c>
      <c r="D265" s="110" t="e">
        <f t="shared" ca="1" si="47"/>
        <v>#NAME?</v>
      </c>
      <c r="E265" s="111" t="e">
        <f t="shared" ca="1" si="48"/>
        <v>#NAME?</v>
      </c>
      <c r="F265" s="110" t="e">
        <f t="shared" ca="1" si="49"/>
        <v>#NAME?</v>
      </c>
      <c r="G265" s="112" t="e">
        <f t="shared" ca="1" si="59"/>
        <v>#NAME?</v>
      </c>
      <c r="H265" s="113" t="e">
        <f t="shared" ca="1" si="50"/>
        <v>#NAME?</v>
      </c>
      <c r="I265" s="79" t="e">
        <f t="shared" ca="1" si="51"/>
        <v>#NAME?</v>
      </c>
      <c r="J265" s="115" t="e">
        <f t="shared" ca="1" si="52"/>
        <v>#NAME?</v>
      </c>
      <c r="K265" s="78" t="e">
        <f t="shared" ca="1" si="53"/>
        <v>#NAME?</v>
      </c>
      <c r="L265" s="78" t="e">
        <f t="shared" ca="1" si="54"/>
        <v>#NAME?</v>
      </c>
      <c r="M265" s="78" t="e">
        <f t="shared" ca="1" si="55"/>
        <v>#NAME?</v>
      </c>
      <c r="N265" s="78" t="e">
        <f t="shared" ca="1" si="56"/>
        <v>#NAME?</v>
      </c>
    </row>
    <row r="266" spans="1:14" x14ac:dyDescent="0.25">
      <c r="A266" s="79"/>
      <c r="B266" s="108" t="e">
        <f t="shared" ca="1" si="57"/>
        <v>#NAME?</v>
      </c>
      <c r="C266" s="109" t="e">
        <f t="shared" ca="1" si="58"/>
        <v>#NAME?</v>
      </c>
      <c r="D266" s="110" t="e">
        <f t="shared" ca="1" si="47"/>
        <v>#NAME?</v>
      </c>
      <c r="E266" s="111" t="e">
        <f t="shared" ca="1" si="48"/>
        <v>#NAME?</v>
      </c>
      <c r="F266" s="110" t="e">
        <f t="shared" ca="1" si="49"/>
        <v>#NAME?</v>
      </c>
      <c r="G266" s="112" t="e">
        <f t="shared" ca="1" si="59"/>
        <v>#NAME?</v>
      </c>
      <c r="H266" s="113" t="e">
        <f t="shared" ca="1" si="50"/>
        <v>#NAME?</v>
      </c>
      <c r="I266" s="79" t="e">
        <f t="shared" ca="1" si="51"/>
        <v>#NAME?</v>
      </c>
      <c r="J266" s="115" t="e">
        <f t="shared" ca="1" si="52"/>
        <v>#NAME?</v>
      </c>
      <c r="K266" s="78" t="e">
        <f t="shared" ca="1" si="53"/>
        <v>#NAME?</v>
      </c>
      <c r="L266" s="78" t="e">
        <f t="shared" ca="1" si="54"/>
        <v>#NAME?</v>
      </c>
      <c r="M266" s="78" t="e">
        <f t="shared" ca="1" si="55"/>
        <v>#NAME?</v>
      </c>
      <c r="N266" s="78" t="e">
        <f t="shared" ca="1" si="56"/>
        <v>#NAME?</v>
      </c>
    </row>
    <row r="267" spans="1:14" x14ac:dyDescent="0.25">
      <c r="A267" s="79"/>
      <c r="B267" s="108" t="e">
        <f t="shared" ca="1" si="57"/>
        <v>#NAME?</v>
      </c>
      <c r="C267" s="109" t="e">
        <f t="shared" ca="1" si="58"/>
        <v>#NAME?</v>
      </c>
      <c r="D267" s="110" t="e">
        <f t="shared" ca="1" si="47"/>
        <v>#NAME?</v>
      </c>
      <c r="E267" s="111" t="e">
        <f t="shared" ca="1" si="48"/>
        <v>#NAME?</v>
      </c>
      <c r="F267" s="110" t="e">
        <f t="shared" ca="1" si="49"/>
        <v>#NAME?</v>
      </c>
      <c r="G267" s="112" t="e">
        <f t="shared" ca="1" si="59"/>
        <v>#NAME?</v>
      </c>
      <c r="H267" s="113" t="e">
        <f t="shared" ca="1" si="50"/>
        <v>#NAME?</v>
      </c>
      <c r="I267" s="79" t="e">
        <f t="shared" ca="1" si="51"/>
        <v>#NAME?</v>
      </c>
      <c r="J267" s="115" t="e">
        <f t="shared" ca="1" si="52"/>
        <v>#NAME?</v>
      </c>
      <c r="K267" s="78" t="e">
        <f t="shared" ca="1" si="53"/>
        <v>#NAME?</v>
      </c>
      <c r="L267" s="78" t="e">
        <f t="shared" ca="1" si="54"/>
        <v>#NAME?</v>
      </c>
      <c r="M267" s="78" t="e">
        <f t="shared" ca="1" si="55"/>
        <v>#NAME?</v>
      </c>
      <c r="N267" s="78" t="e">
        <f t="shared" ca="1" si="56"/>
        <v>#NAME?</v>
      </c>
    </row>
    <row r="268" spans="1:14" x14ac:dyDescent="0.25">
      <c r="A268" s="79"/>
      <c r="B268" s="108" t="e">
        <f t="shared" ca="1" si="57"/>
        <v>#NAME?</v>
      </c>
      <c r="C268" s="109" t="e">
        <f t="shared" ca="1" si="58"/>
        <v>#NAME?</v>
      </c>
      <c r="D268" s="110" t="e">
        <f t="shared" ca="1" si="47"/>
        <v>#NAME?</v>
      </c>
      <c r="E268" s="111" t="e">
        <f t="shared" ca="1" si="48"/>
        <v>#NAME?</v>
      </c>
      <c r="F268" s="110" t="e">
        <f t="shared" ca="1" si="49"/>
        <v>#NAME?</v>
      </c>
      <c r="G268" s="112" t="e">
        <f t="shared" ca="1" si="59"/>
        <v>#NAME?</v>
      </c>
      <c r="H268" s="113" t="e">
        <f t="shared" ca="1" si="50"/>
        <v>#NAME?</v>
      </c>
      <c r="I268" s="79" t="e">
        <f t="shared" ca="1" si="51"/>
        <v>#NAME?</v>
      </c>
      <c r="J268" s="115" t="e">
        <f t="shared" ca="1" si="52"/>
        <v>#NAME?</v>
      </c>
      <c r="K268" s="78" t="e">
        <f t="shared" ca="1" si="53"/>
        <v>#NAME?</v>
      </c>
      <c r="L268" s="78" t="e">
        <f t="shared" ca="1" si="54"/>
        <v>#NAME?</v>
      </c>
      <c r="M268" s="78" t="e">
        <f t="shared" ca="1" si="55"/>
        <v>#NAME?</v>
      </c>
      <c r="N268" s="78" t="e">
        <f t="shared" ca="1" si="56"/>
        <v>#NAME?</v>
      </c>
    </row>
    <row r="269" spans="1:14" x14ac:dyDescent="0.25">
      <c r="A269" s="79"/>
      <c r="B269" s="108" t="e">
        <f t="shared" ca="1" si="57"/>
        <v>#NAME?</v>
      </c>
      <c r="C269" s="109" t="e">
        <f t="shared" ca="1" si="58"/>
        <v>#NAME?</v>
      </c>
      <c r="D269" s="110" t="e">
        <f t="shared" ca="1" si="47"/>
        <v>#NAME?</v>
      </c>
      <c r="E269" s="111" t="e">
        <f t="shared" ca="1" si="48"/>
        <v>#NAME?</v>
      </c>
      <c r="F269" s="110" t="e">
        <f t="shared" ca="1" si="49"/>
        <v>#NAME?</v>
      </c>
      <c r="G269" s="112" t="e">
        <f t="shared" ca="1" si="59"/>
        <v>#NAME?</v>
      </c>
      <c r="H269" s="113" t="e">
        <f t="shared" ca="1" si="50"/>
        <v>#NAME?</v>
      </c>
      <c r="I269" s="79" t="e">
        <f t="shared" ca="1" si="51"/>
        <v>#NAME?</v>
      </c>
      <c r="J269" s="115" t="e">
        <f t="shared" ca="1" si="52"/>
        <v>#NAME?</v>
      </c>
      <c r="K269" s="78" t="e">
        <f t="shared" ca="1" si="53"/>
        <v>#NAME?</v>
      </c>
      <c r="L269" s="78" t="e">
        <f t="shared" ca="1" si="54"/>
        <v>#NAME?</v>
      </c>
      <c r="M269" s="78" t="e">
        <f t="shared" ca="1" si="55"/>
        <v>#NAME?</v>
      </c>
      <c r="N269" s="78" t="e">
        <f t="shared" ca="1" si="56"/>
        <v>#NAME?</v>
      </c>
    </row>
    <row r="270" spans="1:14" x14ac:dyDescent="0.25">
      <c r="A270" s="79"/>
      <c r="B270" s="108" t="e">
        <f t="shared" ca="1" si="57"/>
        <v>#NAME?</v>
      </c>
      <c r="C270" s="109" t="e">
        <f t="shared" ca="1" si="58"/>
        <v>#NAME?</v>
      </c>
      <c r="D270" s="110" t="e">
        <f t="shared" ca="1" si="47"/>
        <v>#NAME?</v>
      </c>
      <c r="E270" s="111" t="e">
        <f t="shared" ca="1" si="48"/>
        <v>#NAME?</v>
      </c>
      <c r="F270" s="110" t="e">
        <f t="shared" ca="1" si="49"/>
        <v>#NAME?</v>
      </c>
      <c r="G270" s="112" t="e">
        <f t="shared" ca="1" si="59"/>
        <v>#NAME?</v>
      </c>
      <c r="H270" s="113" t="e">
        <f t="shared" ca="1" si="50"/>
        <v>#NAME?</v>
      </c>
      <c r="I270" s="79" t="e">
        <f t="shared" ca="1" si="51"/>
        <v>#NAME?</v>
      </c>
      <c r="J270" s="115" t="e">
        <f t="shared" ca="1" si="52"/>
        <v>#NAME?</v>
      </c>
      <c r="K270" s="78" t="e">
        <f t="shared" ca="1" si="53"/>
        <v>#NAME?</v>
      </c>
      <c r="L270" s="78" t="e">
        <f t="shared" ca="1" si="54"/>
        <v>#NAME?</v>
      </c>
      <c r="M270" s="78" t="e">
        <f t="shared" ca="1" si="55"/>
        <v>#NAME?</v>
      </c>
      <c r="N270" s="78" t="e">
        <f t="shared" ca="1" si="56"/>
        <v>#NAME?</v>
      </c>
    </row>
    <row r="271" spans="1:14" x14ac:dyDescent="0.25">
      <c r="A271" s="79"/>
      <c r="B271" s="108" t="e">
        <f t="shared" ca="1" si="57"/>
        <v>#NAME?</v>
      </c>
      <c r="C271" s="109" t="e">
        <f t="shared" ca="1" si="58"/>
        <v>#NAME?</v>
      </c>
      <c r="D271" s="110" t="e">
        <f t="shared" ca="1" si="47"/>
        <v>#NAME?</v>
      </c>
      <c r="E271" s="111" t="e">
        <f t="shared" ca="1" si="48"/>
        <v>#NAME?</v>
      </c>
      <c r="F271" s="110" t="e">
        <f t="shared" ca="1" si="49"/>
        <v>#NAME?</v>
      </c>
      <c r="G271" s="112" t="e">
        <f t="shared" ca="1" si="59"/>
        <v>#NAME?</v>
      </c>
      <c r="H271" s="113" t="e">
        <f t="shared" ca="1" si="50"/>
        <v>#NAME?</v>
      </c>
      <c r="I271" s="79" t="e">
        <f t="shared" ca="1" si="51"/>
        <v>#NAME?</v>
      </c>
      <c r="J271" s="115" t="e">
        <f t="shared" ca="1" si="52"/>
        <v>#NAME?</v>
      </c>
      <c r="K271" s="78" t="e">
        <f t="shared" ca="1" si="53"/>
        <v>#NAME?</v>
      </c>
      <c r="L271" s="78" t="e">
        <f t="shared" ca="1" si="54"/>
        <v>#NAME?</v>
      </c>
      <c r="M271" s="78" t="e">
        <f t="shared" ca="1" si="55"/>
        <v>#NAME?</v>
      </c>
      <c r="N271" s="78" t="e">
        <f t="shared" ca="1" si="56"/>
        <v>#NAME?</v>
      </c>
    </row>
    <row r="272" spans="1:14" x14ac:dyDescent="0.25">
      <c r="A272" s="79"/>
      <c r="B272" s="108" t="e">
        <f t="shared" ca="1" si="57"/>
        <v>#NAME?</v>
      </c>
      <c r="C272" s="109" t="e">
        <f t="shared" ca="1" si="58"/>
        <v>#NAME?</v>
      </c>
      <c r="D272" s="110" t="e">
        <f t="shared" ca="1" si="47"/>
        <v>#NAME?</v>
      </c>
      <c r="E272" s="111" t="e">
        <f t="shared" ca="1" si="48"/>
        <v>#NAME?</v>
      </c>
      <c r="F272" s="110" t="e">
        <f t="shared" ca="1" si="49"/>
        <v>#NAME?</v>
      </c>
      <c r="G272" s="112" t="e">
        <f t="shared" ca="1" si="59"/>
        <v>#NAME?</v>
      </c>
      <c r="H272" s="113" t="e">
        <f t="shared" ca="1" si="50"/>
        <v>#NAME?</v>
      </c>
      <c r="I272" s="79" t="e">
        <f t="shared" ca="1" si="51"/>
        <v>#NAME?</v>
      </c>
      <c r="J272" s="115" t="e">
        <f t="shared" ca="1" si="52"/>
        <v>#NAME?</v>
      </c>
      <c r="K272" s="78" t="e">
        <f t="shared" ca="1" si="53"/>
        <v>#NAME?</v>
      </c>
      <c r="L272" s="78" t="e">
        <f t="shared" ca="1" si="54"/>
        <v>#NAME?</v>
      </c>
      <c r="M272" s="78" t="e">
        <f t="shared" ca="1" si="55"/>
        <v>#NAME?</v>
      </c>
      <c r="N272" s="78" t="e">
        <f t="shared" ca="1" si="56"/>
        <v>#NAME?</v>
      </c>
    </row>
    <row r="273" spans="1:14" x14ac:dyDescent="0.25">
      <c r="A273" s="79"/>
      <c r="B273" s="108" t="e">
        <f t="shared" ca="1" si="57"/>
        <v>#NAME?</v>
      </c>
      <c r="C273" s="109" t="e">
        <f t="shared" ca="1" si="58"/>
        <v>#NAME?</v>
      </c>
      <c r="D273" s="110" t="e">
        <f t="shared" ca="1" si="47"/>
        <v>#NAME?</v>
      </c>
      <c r="E273" s="111" t="e">
        <f t="shared" ca="1" si="48"/>
        <v>#NAME?</v>
      </c>
      <c r="F273" s="110" t="e">
        <f t="shared" ca="1" si="49"/>
        <v>#NAME?</v>
      </c>
      <c r="G273" s="112" t="e">
        <f t="shared" ca="1" si="59"/>
        <v>#NAME?</v>
      </c>
      <c r="H273" s="113" t="e">
        <f t="shared" ca="1" si="50"/>
        <v>#NAME?</v>
      </c>
      <c r="I273" s="79" t="e">
        <f t="shared" ca="1" si="51"/>
        <v>#NAME?</v>
      </c>
      <c r="J273" s="115" t="e">
        <f t="shared" ca="1" si="52"/>
        <v>#NAME?</v>
      </c>
      <c r="K273" s="78" t="e">
        <f t="shared" ca="1" si="53"/>
        <v>#NAME?</v>
      </c>
      <c r="L273" s="78" t="e">
        <f t="shared" ca="1" si="54"/>
        <v>#NAME?</v>
      </c>
      <c r="M273" s="78" t="e">
        <f t="shared" ca="1" si="55"/>
        <v>#NAME?</v>
      </c>
      <c r="N273" s="78" t="e">
        <f t="shared" ca="1" si="56"/>
        <v>#NAME?</v>
      </c>
    </row>
    <row r="274" spans="1:14" x14ac:dyDescent="0.25">
      <c r="A274" s="79"/>
      <c r="B274" s="108" t="e">
        <f t="shared" ca="1" si="57"/>
        <v>#NAME?</v>
      </c>
      <c r="C274" s="109" t="e">
        <f t="shared" ca="1" si="58"/>
        <v>#NAME?</v>
      </c>
      <c r="D274" s="110" t="e">
        <f t="shared" ca="1" si="47"/>
        <v>#NAME?</v>
      </c>
      <c r="E274" s="111" t="e">
        <f t="shared" ca="1" si="48"/>
        <v>#NAME?</v>
      </c>
      <c r="F274" s="110" t="e">
        <f t="shared" ca="1" si="49"/>
        <v>#NAME?</v>
      </c>
      <c r="G274" s="112" t="e">
        <f t="shared" ca="1" si="59"/>
        <v>#NAME?</v>
      </c>
      <c r="H274" s="113" t="e">
        <f t="shared" ca="1" si="50"/>
        <v>#NAME?</v>
      </c>
      <c r="I274" s="79" t="e">
        <f t="shared" ca="1" si="51"/>
        <v>#NAME?</v>
      </c>
      <c r="J274" s="115" t="e">
        <f t="shared" ca="1" si="52"/>
        <v>#NAME?</v>
      </c>
      <c r="K274" s="78" t="e">
        <f t="shared" ca="1" si="53"/>
        <v>#NAME?</v>
      </c>
      <c r="L274" s="78" t="e">
        <f t="shared" ca="1" si="54"/>
        <v>#NAME?</v>
      </c>
      <c r="M274" s="78" t="e">
        <f t="shared" ca="1" si="55"/>
        <v>#NAME?</v>
      </c>
      <c r="N274" s="78" t="e">
        <f t="shared" ca="1" si="56"/>
        <v>#NAME?</v>
      </c>
    </row>
    <row r="275" spans="1:14" x14ac:dyDescent="0.25">
      <c r="A275" s="79"/>
      <c r="B275" s="108" t="e">
        <f t="shared" ca="1" si="57"/>
        <v>#NAME?</v>
      </c>
      <c r="C275" s="109" t="e">
        <f t="shared" ca="1" si="58"/>
        <v>#NAME?</v>
      </c>
      <c r="D275" s="110" t="e">
        <f t="shared" ca="1" si="47"/>
        <v>#NAME?</v>
      </c>
      <c r="E275" s="111" t="e">
        <f t="shared" ca="1" si="48"/>
        <v>#NAME?</v>
      </c>
      <c r="F275" s="110" t="e">
        <f t="shared" ca="1" si="49"/>
        <v>#NAME?</v>
      </c>
      <c r="G275" s="112" t="e">
        <f t="shared" ca="1" si="59"/>
        <v>#NAME?</v>
      </c>
      <c r="H275" s="113" t="e">
        <f t="shared" ca="1" si="50"/>
        <v>#NAME?</v>
      </c>
      <c r="I275" s="79" t="e">
        <f t="shared" ca="1" si="51"/>
        <v>#NAME?</v>
      </c>
      <c r="J275" s="115" t="e">
        <f t="shared" ca="1" si="52"/>
        <v>#NAME?</v>
      </c>
      <c r="K275" s="78" t="e">
        <f t="shared" ca="1" si="53"/>
        <v>#NAME?</v>
      </c>
      <c r="L275" s="78" t="e">
        <f t="shared" ca="1" si="54"/>
        <v>#NAME?</v>
      </c>
      <c r="M275" s="78" t="e">
        <f t="shared" ca="1" si="55"/>
        <v>#NAME?</v>
      </c>
      <c r="N275" s="78" t="e">
        <f t="shared" ca="1" si="56"/>
        <v>#NAME?</v>
      </c>
    </row>
    <row r="276" spans="1:14" x14ac:dyDescent="0.25">
      <c r="A276" s="79"/>
      <c r="B276" s="108" t="e">
        <f t="shared" ca="1" si="57"/>
        <v>#NAME?</v>
      </c>
      <c r="C276" s="109" t="e">
        <f t="shared" ca="1" si="58"/>
        <v>#NAME?</v>
      </c>
      <c r="D276" s="110" t="e">
        <f t="shared" ca="1" si="47"/>
        <v>#NAME?</v>
      </c>
      <c r="E276" s="111" t="e">
        <f t="shared" ca="1" si="48"/>
        <v>#NAME?</v>
      </c>
      <c r="F276" s="110" t="e">
        <f t="shared" ca="1" si="49"/>
        <v>#NAME?</v>
      </c>
      <c r="G276" s="112" t="e">
        <f t="shared" ca="1" si="59"/>
        <v>#NAME?</v>
      </c>
      <c r="H276" s="113" t="e">
        <f t="shared" ca="1" si="50"/>
        <v>#NAME?</v>
      </c>
      <c r="I276" s="79" t="e">
        <f t="shared" ca="1" si="51"/>
        <v>#NAME?</v>
      </c>
      <c r="J276" s="115" t="e">
        <f t="shared" ca="1" si="52"/>
        <v>#NAME?</v>
      </c>
      <c r="K276" s="78" t="e">
        <f t="shared" ca="1" si="53"/>
        <v>#NAME?</v>
      </c>
      <c r="L276" s="78" t="e">
        <f t="shared" ca="1" si="54"/>
        <v>#NAME?</v>
      </c>
      <c r="M276" s="78" t="e">
        <f t="shared" ca="1" si="55"/>
        <v>#NAME?</v>
      </c>
      <c r="N276" s="78" t="e">
        <f t="shared" ca="1" si="56"/>
        <v>#NAME?</v>
      </c>
    </row>
    <row r="277" spans="1:14" x14ac:dyDescent="0.25">
      <c r="A277" s="79"/>
      <c r="B277" s="108" t="e">
        <f t="shared" ca="1" si="57"/>
        <v>#NAME?</v>
      </c>
      <c r="C277" s="109" t="e">
        <f t="shared" ca="1" si="58"/>
        <v>#NAME?</v>
      </c>
      <c r="D277" s="110" t="e">
        <f t="shared" ca="1" si="47"/>
        <v>#NAME?</v>
      </c>
      <c r="E277" s="111" t="e">
        <f t="shared" ca="1" si="48"/>
        <v>#NAME?</v>
      </c>
      <c r="F277" s="110" t="e">
        <f t="shared" ca="1" si="49"/>
        <v>#NAME?</v>
      </c>
      <c r="G277" s="112" t="e">
        <f t="shared" ca="1" si="59"/>
        <v>#NAME?</v>
      </c>
      <c r="H277" s="113" t="e">
        <f t="shared" ca="1" si="50"/>
        <v>#NAME?</v>
      </c>
      <c r="I277" s="79" t="e">
        <f t="shared" ca="1" si="51"/>
        <v>#NAME?</v>
      </c>
      <c r="J277" s="115" t="e">
        <f t="shared" ca="1" si="52"/>
        <v>#NAME?</v>
      </c>
      <c r="K277" s="78" t="e">
        <f t="shared" ca="1" si="53"/>
        <v>#NAME?</v>
      </c>
      <c r="L277" s="78" t="e">
        <f t="shared" ca="1" si="54"/>
        <v>#NAME?</v>
      </c>
      <c r="M277" s="78" t="e">
        <f t="shared" ca="1" si="55"/>
        <v>#NAME?</v>
      </c>
      <c r="N277" s="78" t="e">
        <f t="shared" ca="1" si="56"/>
        <v>#NAME?</v>
      </c>
    </row>
    <row r="278" spans="1:14" x14ac:dyDescent="0.25">
      <c r="A278" s="79"/>
      <c r="B278" s="108" t="e">
        <f t="shared" ca="1" si="57"/>
        <v>#NAME?</v>
      </c>
      <c r="C278" s="109" t="e">
        <f t="shared" ca="1" si="58"/>
        <v>#NAME?</v>
      </c>
      <c r="D278" s="110" t="e">
        <f t="shared" ca="1" si="47"/>
        <v>#NAME?</v>
      </c>
      <c r="E278" s="111" t="e">
        <f t="shared" ca="1" si="48"/>
        <v>#NAME?</v>
      </c>
      <c r="F278" s="110" t="e">
        <f t="shared" ca="1" si="49"/>
        <v>#NAME?</v>
      </c>
      <c r="G278" s="112" t="e">
        <f t="shared" ca="1" si="59"/>
        <v>#NAME?</v>
      </c>
      <c r="H278" s="113" t="e">
        <f t="shared" ca="1" si="50"/>
        <v>#NAME?</v>
      </c>
      <c r="I278" s="79" t="e">
        <f t="shared" ca="1" si="51"/>
        <v>#NAME?</v>
      </c>
      <c r="J278" s="115" t="e">
        <f t="shared" ca="1" si="52"/>
        <v>#NAME?</v>
      </c>
      <c r="K278" s="78" t="e">
        <f t="shared" ca="1" si="53"/>
        <v>#NAME?</v>
      </c>
      <c r="L278" s="78" t="e">
        <f t="shared" ca="1" si="54"/>
        <v>#NAME?</v>
      </c>
      <c r="M278" s="78" t="e">
        <f t="shared" ca="1" si="55"/>
        <v>#NAME?</v>
      </c>
      <c r="N278" s="78" t="e">
        <f t="shared" ca="1" si="56"/>
        <v>#NAME?</v>
      </c>
    </row>
    <row r="279" spans="1:14" x14ac:dyDescent="0.25">
      <c r="A279" s="79"/>
      <c r="B279" s="108" t="e">
        <f t="shared" ca="1" si="57"/>
        <v>#NAME?</v>
      </c>
      <c r="C279" s="109" t="e">
        <f t="shared" ca="1" si="58"/>
        <v>#NAME?</v>
      </c>
      <c r="D279" s="110" t="e">
        <f t="shared" ca="1" si="47"/>
        <v>#NAME?</v>
      </c>
      <c r="E279" s="111" t="e">
        <f t="shared" ca="1" si="48"/>
        <v>#NAME?</v>
      </c>
      <c r="F279" s="110" t="e">
        <f t="shared" ca="1" si="49"/>
        <v>#NAME?</v>
      </c>
      <c r="G279" s="112" t="e">
        <f t="shared" ca="1" si="59"/>
        <v>#NAME?</v>
      </c>
      <c r="H279" s="113" t="e">
        <f t="shared" ca="1" si="50"/>
        <v>#NAME?</v>
      </c>
      <c r="I279" s="79" t="e">
        <f t="shared" ca="1" si="51"/>
        <v>#NAME?</v>
      </c>
      <c r="J279" s="115" t="e">
        <f t="shared" ca="1" si="52"/>
        <v>#NAME?</v>
      </c>
      <c r="K279" s="78" t="e">
        <f t="shared" ca="1" si="53"/>
        <v>#NAME?</v>
      </c>
      <c r="L279" s="78" t="e">
        <f t="shared" ca="1" si="54"/>
        <v>#NAME?</v>
      </c>
      <c r="M279" s="78" t="e">
        <f t="shared" ca="1" si="55"/>
        <v>#NAME?</v>
      </c>
      <c r="N279" s="78" t="e">
        <f t="shared" ca="1" si="56"/>
        <v>#NAME?</v>
      </c>
    </row>
    <row r="280" spans="1:14" x14ac:dyDescent="0.25">
      <c r="A280" s="79"/>
      <c r="B280" s="108" t="e">
        <f t="shared" ca="1" si="57"/>
        <v>#NAME?</v>
      </c>
      <c r="C280" s="109" t="e">
        <f t="shared" ca="1" si="58"/>
        <v>#NAME?</v>
      </c>
      <c r="D280" s="110" t="e">
        <f t="shared" ca="1" si="47"/>
        <v>#NAME?</v>
      </c>
      <c r="E280" s="111" t="e">
        <f t="shared" ca="1" si="48"/>
        <v>#NAME?</v>
      </c>
      <c r="F280" s="110" t="e">
        <f t="shared" ca="1" si="49"/>
        <v>#NAME?</v>
      </c>
      <c r="G280" s="112" t="e">
        <f t="shared" ca="1" si="59"/>
        <v>#NAME?</v>
      </c>
      <c r="H280" s="113" t="e">
        <f t="shared" ca="1" si="50"/>
        <v>#NAME?</v>
      </c>
      <c r="I280" s="79" t="e">
        <f t="shared" ca="1" si="51"/>
        <v>#NAME?</v>
      </c>
      <c r="J280" s="115" t="e">
        <f t="shared" ca="1" si="52"/>
        <v>#NAME?</v>
      </c>
      <c r="K280" s="78" t="e">
        <f t="shared" ca="1" si="53"/>
        <v>#NAME?</v>
      </c>
      <c r="L280" s="78" t="e">
        <f t="shared" ca="1" si="54"/>
        <v>#NAME?</v>
      </c>
      <c r="M280" s="78" t="e">
        <f t="shared" ca="1" si="55"/>
        <v>#NAME?</v>
      </c>
      <c r="N280" s="78" t="e">
        <f t="shared" ca="1" si="56"/>
        <v>#NAME?</v>
      </c>
    </row>
    <row r="281" spans="1:14" x14ac:dyDescent="0.25">
      <c r="A281" s="79"/>
      <c r="B281" s="108" t="e">
        <f t="shared" ca="1" si="57"/>
        <v>#NAME?</v>
      </c>
      <c r="C281" s="109" t="e">
        <f t="shared" ca="1" si="58"/>
        <v>#NAME?</v>
      </c>
      <c r="D281" s="110" t="e">
        <f t="shared" ca="1" si="47"/>
        <v>#NAME?</v>
      </c>
      <c r="E281" s="111" t="e">
        <f t="shared" ca="1" si="48"/>
        <v>#NAME?</v>
      </c>
      <c r="F281" s="110" t="e">
        <f t="shared" ca="1" si="49"/>
        <v>#NAME?</v>
      </c>
      <c r="G281" s="112" t="e">
        <f t="shared" ca="1" si="59"/>
        <v>#NAME?</v>
      </c>
      <c r="H281" s="113" t="e">
        <f t="shared" ca="1" si="50"/>
        <v>#NAME?</v>
      </c>
      <c r="I281" s="79" t="e">
        <f t="shared" ca="1" si="51"/>
        <v>#NAME?</v>
      </c>
      <c r="J281" s="115" t="e">
        <f t="shared" ca="1" si="52"/>
        <v>#NAME?</v>
      </c>
      <c r="K281" s="78" t="e">
        <f t="shared" ca="1" si="53"/>
        <v>#NAME?</v>
      </c>
      <c r="L281" s="78" t="e">
        <f t="shared" ca="1" si="54"/>
        <v>#NAME?</v>
      </c>
      <c r="M281" s="78" t="e">
        <f t="shared" ca="1" si="55"/>
        <v>#NAME?</v>
      </c>
      <c r="N281" s="78" t="e">
        <f t="shared" ca="1" si="56"/>
        <v>#NAME?</v>
      </c>
    </row>
    <row r="282" spans="1:14" x14ac:dyDescent="0.25">
      <c r="A282" s="79"/>
      <c r="B282" s="108" t="e">
        <f t="shared" ca="1" si="57"/>
        <v>#NAME?</v>
      </c>
      <c r="C282" s="109" t="e">
        <f t="shared" ca="1" si="58"/>
        <v>#NAME?</v>
      </c>
      <c r="D282" s="110" t="e">
        <f t="shared" ca="1" si="47"/>
        <v>#NAME?</v>
      </c>
      <c r="E282" s="111" t="e">
        <f t="shared" ca="1" si="48"/>
        <v>#NAME?</v>
      </c>
      <c r="F282" s="110" t="e">
        <f t="shared" ca="1" si="49"/>
        <v>#NAME?</v>
      </c>
      <c r="G282" s="112" t="e">
        <f t="shared" ca="1" si="59"/>
        <v>#NAME?</v>
      </c>
      <c r="H282" s="113" t="e">
        <f t="shared" ca="1" si="50"/>
        <v>#NAME?</v>
      </c>
      <c r="I282" s="79" t="e">
        <f t="shared" ca="1" si="51"/>
        <v>#NAME?</v>
      </c>
      <c r="J282" s="115" t="e">
        <f t="shared" ca="1" si="52"/>
        <v>#NAME?</v>
      </c>
      <c r="K282" s="78" t="e">
        <f t="shared" ca="1" si="53"/>
        <v>#NAME?</v>
      </c>
      <c r="L282" s="78" t="e">
        <f t="shared" ca="1" si="54"/>
        <v>#NAME?</v>
      </c>
      <c r="M282" s="78" t="e">
        <f t="shared" ca="1" si="55"/>
        <v>#NAME?</v>
      </c>
      <c r="N282" s="78" t="e">
        <f t="shared" ca="1" si="56"/>
        <v>#NAME?</v>
      </c>
    </row>
    <row r="283" spans="1:14" x14ac:dyDescent="0.25">
      <c r="A283" s="79"/>
      <c r="B283" s="108" t="e">
        <f t="shared" ca="1" si="57"/>
        <v>#NAME?</v>
      </c>
      <c r="C283" s="109" t="e">
        <f t="shared" ca="1" si="58"/>
        <v>#NAME?</v>
      </c>
      <c r="D283" s="110" t="e">
        <f t="shared" ref="D283:D327" ca="1" si="60">montantcapital*J283*(1+i_2)^(-0.5)*(1+t_2)*(1+FraisF)</f>
        <v>#NAME?</v>
      </c>
      <c r="E283" s="111" t="e">
        <f t="shared" ref="E283:E327" ca="1" si="61">ROUND(D283*TxPer,NbDeci)</f>
        <v>#NAME?</v>
      </c>
      <c r="F283" s="110" t="e">
        <f t="shared" ref="F283:F327" ca="1" si="62">IF(B283&lt;=Différé,0,IF(B283&gt;=NbEch+Différé,D283,MtEch-E283))</f>
        <v>#NAME?</v>
      </c>
      <c r="G283" s="112" t="e">
        <f t="shared" ca="1" si="59"/>
        <v>#NAME?</v>
      </c>
      <c r="H283" s="113" t="e">
        <f t="shared" ref="H283:H327" ca="1" si="63">SUM(E283:G283)</f>
        <v>#NAME?</v>
      </c>
      <c r="I283" s="79" t="e">
        <f t="shared" ref="I283:I327" ca="1" si="64">DATEDIF(datenaissance,C283,"y")</f>
        <v>#NAME?</v>
      </c>
      <c r="J283" s="115" t="e">
        <f t="shared" ref="J283:J327" ca="1" si="65">reche18(I283)</f>
        <v>#NAME?</v>
      </c>
      <c r="K283" s="78" t="e">
        <f t="shared" ref="K283:K327" ca="1" si="66">montantcapital*(J283*(1+TxPer)^(-0.5))</f>
        <v>#NAME?</v>
      </c>
      <c r="L283" s="78" t="e">
        <f t="shared" ref="L283:L327" ca="1" si="67">K283*fg</f>
        <v>#NAME?</v>
      </c>
      <c r="M283" s="78" t="e">
        <f t="shared" ref="M283:M327" ca="1" si="68">K283*fraisacquisition</f>
        <v>#NAME?</v>
      </c>
      <c r="N283" s="78" t="e">
        <f t="shared" ref="N283:N327" ca="1" si="69">tf*K283</f>
        <v>#NAME?</v>
      </c>
    </row>
    <row r="284" spans="1:14" x14ac:dyDescent="0.25">
      <c r="A284" s="79"/>
      <c r="B284" s="108" t="e">
        <f t="shared" ref="B284:B327" ca="1" si="70">IF(D284=0,"",B283+1)</f>
        <v>#NAME?</v>
      </c>
      <c r="C284" s="109" t="e">
        <f t="shared" ref="C284:C327" ca="1" si="71">IF(D284=0,"",DATE(YEAR(C283),MONTH(C283)+12/NbEchAn,1))</f>
        <v>#NAME?</v>
      </c>
      <c r="D284" s="110" t="e">
        <f t="shared" ca="1" si="60"/>
        <v>#NAME?</v>
      </c>
      <c r="E284" s="111" t="e">
        <f t="shared" ca="1" si="61"/>
        <v>#NAME?</v>
      </c>
      <c r="F284" s="110" t="e">
        <f t="shared" ca="1" si="62"/>
        <v>#NAME?</v>
      </c>
      <c r="G284" s="112" t="e">
        <f t="shared" ref="G284:G327" ca="1" si="72">IF(D284=0,0,ROUND(FraisF+FraisV*D284,NbDeci))</f>
        <v>#NAME?</v>
      </c>
      <c r="H284" s="113" t="e">
        <f t="shared" ca="1" si="63"/>
        <v>#NAME?</v>
      </c>
      <c r="I284" s="79" t="e">
        <f t="shared" ca="1" si="64"/>
        <v>#NAME?</v>
      </c>
      <c r="J284" s="115" t="e">
        <f t="shared" ca="1" si="65"/>
        <v>#NAME?</v>
      </c>
      <c r="K284" s="78" t="e">
        <f t="shared" ca="1" si="66"/>
        <v>#NAME?</v>
      </c>
      <c r="L284" s="78" t="e">
        <f t="shared" ca="1" si="67"/>
        <v>#NAME?</v>
      </c>
      <c r="M284" s="78" t="e">
        <f t="shared" ca="1" si="68"/>
        <v>#NAME?</v>
      </c>
      <c r="N284" s="78" t="e">
        <f t="shared" ca="1" si="69"/>
        <v>#NAME?</v>
      </c>
    </row>
    <row r="285" spans="1:14" x14ac:dyDescent="0.25">
      <c r="A285" s="79"/>
      <c r="B285" s="108" t="e">
        <f t="shared" ca="1" si="70"/>
        <v>#NAME?</v>
      </c>
      <c r="C285" s="109" t="e">
        <f t="shared" ca="1" si="71"/>
        <v>#NAME?</v>
      </c>
      <c r="D285" s="110" t="e">
        <f t="shared" ca="1" si="60"/>
        <v>#NAME?</v>
      </c>
      <c r="E285" s="111" t="e">
        <f t="shared" ca="1" si="61"/>
        <v>#NAME?</v>
      </c>
      <c r="F285" s="110" t="e">
        <f t="shared" ca="1" si="62"/>
        <v>#NAME?</v>
      </c>
      <c r="G285" s="112" t="e">
        <f t="shared" ca="1" si="72"/>
        <v>#NAME?</v>
      </c>
      <c r="H285" s="113" t="e">
        <f t="shared" ca="1" si="63"/>
        <v>#NAME?</v>
      </c>
      <c r="I285" s="79" t="e">
        <f t="shared" ca="1" si="64"/>
        <v>#NAME?</v>
      </c>
      <c r="J285" s="115" t="e">
        <f t="shared" ca="1" si="65"/>
        <v>#NAME?</v>
      </c>
      <c r="K285" s="78" t="e">
        <f t="shared" ca="1" si="66"/>
        <v>#NAME?</v>
      </c>
      <c r="L285" s="78" t="e">
        <f t="shared" ca="1" si="67"/>
        <v>#NAME?</v>
      </c>
      <c r="M285" s="78" t="e">
        <f t="shared" ca="1" si="68"/>
        <v>#NAME?</v>
      </c>
      <c r="N285" s="78" t="e">
        <f t="shared" ca="1" si="69"/>
        <v>#NAME?</v>
      </c>
    </row>
    <row r="286" spans="1:14" x14ac:dyDescent="0.25">
      <c r="A286" s="79"/>
      <c r="B286" s="108" t="e">
        <f t="shared" ca="1" si="70"/>
        <v>#NAME?</v>
      </c>
      <c r="C286" s="109" t="e">
        <f t="shared" ca="1" si="71"/>
        <v>#NAME?</v>
      </c>
      <c r="D286" s="110" t="e">
        <f t="shared" ca="1" si="60"/>
        <v>#NAME?</v>
      </c>
      <c r="E286" s="111" t="e">
        <f t="shared" ca="1" si="61"/>
        <v>#NAME?</v>
      </c>
      <c r="F286" s="110" t="e">
        <f t="shared" ca="1" si="62"/>
        <v>#NAME?</v>
      </c>
      <c r="G286" s="112" t="e">
        <f t="shared" ca="1" si="72"/>
        <v>#NAME?</v>
      </c>
      <c r="H286" s="113" t="e">
        <f t="shared" ca="1" si="63"/>
        <v>#NAME?</v>
      </c>
      <c r="I286" s="79" t="e">
        <f t="shared" ca="1" si="64"/>
        <v>#NAME?</v>
      </c>
      <c r="J286" s="115" t="e">
        <f t="shared" ca="1" si="65"/>
        <v>#NAME?</v>
      </c>
      <c r="K286" s="78" t="e">
        <f t="shared" ca="1" si="66"/>
        <v>#NAME?</v>
      </c>
      <c r="L286" s="78" t="e">
        <f t="shared" ca="1" si="67"/>
        <v>#NAME?</v>
      </c>
      <c r="M286" s="78" t="e">
        <f t="shared" ca="1" si="68"/>
        <v>#NAME?</v>
      </c>
      <c r="N286" s="78" t="e">
        <f t="shared" ca="1" si="69"/>
        <v>#NAME?</v>
      </c>
    </row>
    <row r="287" spans="1:14" x14ac:dyDescent="0.25">
      <c r="A287" s="79"/>
      <c r="B287" s="108" t="e">
        <f t="shared" ca="1" si="70"/>
        <v>#NAME?</v>
      </c>
      <c r="C287" s="109" t="e">
        <f t="shared" ca="1" si="71"/>
        <v>#NAME?</v>
      </c>
      <c r="D287" s="110" t="e">
        <f t="shared" ca="1" si="60"/>
        <v>#NAME?</v>
      </c>
      <c r="E287" s="111" t="e">
        <f t="shared" ca="1" si="61"/>
        <v>#NAME?</v>
      </c>
      <c r="F287" s="110" t="e">
        <f t="shared" ca="1" si="62"/>
        <v>#NAME?</v>
      </c>
      <c r="G287" s="112" t="e">
        <f t="shared" ca="1" si="72"/>
        <v>#NAME?</v>
      </c>
      <c r="H287" s="113" t="e">
        <f t="shared" ca="1" si="63"/>
        <v>#NAME?</v>
      </c>
      <c r="I287" s="79" t="e">
        <f t="shared" ca="1" si="64"/>
        <v>#NAME?</v>
      </c>
      <c r="J287" s="115" t="e">
        <f t="shared" ca="1" si="65"/>
        <v>#NAME?</v>
      </c>
      <c r="K287" s="78" t="e">
        <f t="shared" ca="1" si="66"/>
        <v>#NAME?</v>
      </c>
      <c r="L287" s="78" t="e">
        <f t="shared" ca="1" si="67"/>
        <v>#NAME?</v>
      </c>
      <c r="M287" s="78" t="e">
        <f t="shared" ca="1" si="68"/>
        <v>#NAME?</v>
      </c>
      <c r="N287" s="78" t="e">
        <f t="shared" ca="1" si="69"/>
        <v>#NAME?</v>
      </c>
    </row>
    <row r="288" spans="1:14" x14ac:dyDescent="0.25">
      <c r="A288" s="79"/>
      <c r="B288" s="108" t="e">
        <f t="shared" ca="1" si="70"/>
        <v>#NAME?</v>
      </c>
      <c r="C288" s="109" t="e">
        <f t="shared" ca="1" si="71"/>
        <v>#NAME?</v>
      </c>
      <c r="D288" s="110" t="e">
        <f t="shared" ca="1" si="60"/>
        <v>#NAME?</v>
      </c>
      <c r="E288" s="111" t="e">
        <f t="shared" ca="1" si="61"/>
        <v>#NAME?</v>
      </c>
      <c r="F288" s="110" t="e">
        <f t="shared" ca="1" si="62"/>
        <v>#NAME?</v>
      </c>
      <c r="G288" s="112" t="e">
        <f t="shared" ca="1" si="72"/>
        <v>#NAME?</v>
      </c>
      <c r="H288" s="113" t="e">
        <f t="shared" ca="1" si="63"/>
        <v>#NAME?</v>
      </c>
      <c r="I288" s="79" t="e">
        <f t="shared" ca="1" si="64"/>
        <v>#NAME?</v>
      </c>
      <c r="J288" s="115" t="e">
        <f t="shared" ca="1" si="65"/>
        <v>#NAME?</v>
      </c>
      <c r="K288" s="78" t="e">
        <f t="shared" ca="1" si="66"/>
        <v>#NAME?</v>
      </c>
      <c r="L288" s="78" t="e">
        <f t="shared" ca="1" si="67"/>
        <v>#NAME?</v>
      </c>
      <c r="M288" s="78" t="e">
        <f t="shared" ca="1" si="68"/>
        <v>#NAME?</v>
      </c>
      <c r="N288" s="78" t="e">
        <f t="shared" ca="1" si="69"/>
        <v>#NAME?</v>
      </c>
    </row>
    <row r="289" spans="1:14" x14ac:dyDescent="0.25">
      <c r="A289" s="79"/>
      <c r="B289" s="108" t="e">
        <f t="shared" ca="1" si="70"/>
        <v>#NAME?</v>
      </c>
      <c r="C289" s="109" t="e">
        <f t="shared" ca="1" si="71"/>
        <v>#NAME?</v>
      </c>
      <c r="D289" s="110" t="e">
        <f t="shared" ca="1" si="60"/>
        <v>#NAME?</v>
      </c>
      <c r="E289" s="111" t="e">
        <f t="shared" ca="1" si="61"/>
        <v>#NAME?</v>
      </c>
      <c r="F289" s="110" t="e">
        <f t="shared" ca="1" si="62"/>
        <v>#NAME?</v>
      </c>
      <c r="G289" s="112" t="e">
        <f t="shared" ca="1" si="72"/>
        <v>#NAME?</v>
      </c>
      <c r="H289" s="113" t="e">
        <f t="shared" ca="1" si="63"/>
        <v>#NAME?</v>
      </c>
      <c r="I289" s="79" t="e">
        <f t="shared" ca="1" si="64"/>
        <v>#NAME?</v>
      </c>
      <c r="J289" s="115" t="e">
        <f t="shared" ca="1" si="65"/>
        <v>#NAME?</v>
      </c>
      <c r="K289" s="78" t="e">
        <f t="shared" ca="1" si="66"/>
        <v>#NAME?</v>
      </c>
      <c r="L289" s="78" t="e">
        <f t="shared" ca="1" si="67"/>
        <v>#NAME?</v>
      </c>
      <c r="M289" s="78" t="e">
        <f t="shared" ca="1" si="68"/>
        <v>#NAME?</v>
      </c>
      <c r="N289" s="78" t="e">
        <f t="shared" ca="1" si="69"/>
        <v>#NAME?</v>
      </c>
    </row>
    <row r="290" spans="1:14" x14ac:dyDescent="0.25">
      <c r="A290" s="79"/>
      <c r="B290" s="108" t="e">
        <f t="shared" ca="1" si="70"/>
        <v>#NAME?</v>
      </c>
      <c r="C290" s="109" t="e">
        <f t="shared" ca="1" si="71"/>
        <v>#NAME?</v>
      </c>
      <c r="D290" s="110" t="e">
        <f t="shared" ca="1" si="60"/>
        <v>#NAME?</v>
      </c>
      <c r="E290" s="111" t="e">
        <f t="shared" ca="1" si="61"/>
        <v>#NAME?</v>
      </c>
      <c r="F290" s="110" t="e">
        <f t="shared" ca="1" si="62"/>
        <v>#NAME?</v>
      </c>
      <c r="G290" s="112" t="e">
        <f t="shared" ca="1" si="72"/>
        <v>#NAME?</v>
      </c>
      <c r="H290" s="113" t="e">
        <f t="shared" ca="1" si="63"/>
        <v>#NAME?</v>
      </c>
      <c r="I290" s="79" t="e">
        <f t="shared" ca="1" si="64"/>
        <v>#NAME?</v>
      </c>
      <c r="J290" s="115" t="e">
        <f t="shared" ca="1" si="65"/>
        <v>#NAME?</v>
      </c>
      <c r="K290" s="78" t="e">
        <f t="shared" ca="1" si="66"/>
        <v>#NAME?</v>
      </c>
      <c r="L290" s="78" t="e">
        <f t="shared" ca="1" si="67"/>
        <v>#NAME?</v>
      </c>
      <c r="M290" s="78" t="e">
        <f t="shared" ca="1" si="68"/>
        <v>#NAME?</v>
      </c>
      <c r="N290" s="78" t="e">
        <f t="shared" ca="1" si="69"/>
        <v>#NAME?</v>
      </c>
    </row>
    <row r="291" spans="1:14" x14ac:dyDescent="0.25">
      <c r="A291" s="79"/>
      <c r="B291" s="108" t="e">
        <f t="shared" ca="1" si="70"/>
        <v>#NAME?</v>
      </c>
      <c r="C291" s="109" t="e">
        <f t="shared" ca="1" si="71"/>
        <v>#NAME?</v>
      </c>
      <c r="D291" s="110" t="e">
        <f t="shared" ca="1" si="60"/>
        <v>#NAME?</v>
      </c>
      <c r="E291" s="111" t="e">
        <f t="shared" ca="1" si="61"/>
        <v>#NAME?</v>
      </c>
      <c r="F291" s="110" t="e">
        <f t="shared" ca="1" si="62"/>
        <v>#NAME?</v>
      </c>
      <c r="G291" s="112" t="e">
        <f t="shared" ca="1" si="72"/>
        <v>#NAME?</v>
      </c>
      <c r="H291" s="113" t="e">
        <f t="shared" ca="1" si="63"/>
        <v>#NAME?</v>
      </c>
      <c r="I291" s="79" t="e">
        <f t="shared" ca="1" si="64"/>
        <v>#NAME?</v>
      </c>
      <c r="J291" s="115" t="e">
        <f t="shared" ca="1" si="65"/>
        <v>#NAME?</v>
      </c>
      <c r="K291" s="78" t="e">
        <f t="shared" ca="1" si="66"/>
        <v>#NAME?</v>
      </c>
      <c r="L291" s="78" t="e">
        <f t="shared" ca="1" si="67"/>
        <v>#NAME?</v>
      </c>
      <c r="M291" s="78" t="e">
        <f t="shared" ca="1" si="68"/>
        <v>#NAME?</v>
      </c>
      <c r="N291" s="78" t="e">
        <f t="shared" ca="1" si="69"/>
        <v>#NAME?</v>
      </c>
    </row>
    <row r="292" spans="1:14" x14ac:dyDescent="0.25">
      <c r="A292" s="79"/>
      <c r="B292" s="108" t="e">
        <f t="shared" ca="1" si="70"/>
        <v>#NAME?</v>
      </c>
      <c r="C292" s="109" t="e">
        <f t="shared" ca="1" si="71"/>
        <v>#NAME?</v>
      </c>
      <c r="D292" s="110" t="e">
        <f t="shared" ca="1" si="60"/>
        <v>#NAME?</v>
      </c>
      <c r="E292" s="111" t="e">
        <f t="shared" ca="1" si="61"/>
        <v>#NAME?</v>
      </c>
      <c r="F292" s="110" t="e">
        <f t="shared" ca="1" si="62"/>
        <v>#NAME?</v>
      </c>
      <c r="G292" s="112" t="e">
        <f t="shared" ca="1" si="72"/>
        <v>#NAME?</v>
      </c>
      <c r="H292" s="113" t="e">
        <f t="shared" ca="1" si="63"/>
        <v>#NAME?</v>
      </c>
      <c r="I292" s="79" t="e">
        <f t="shared" ca="1" si="64"/>
        <v>#NAME?</v>
      </c>
      <c r="J292" s="115" t="e">
        <f t="shared" ca="1" si="65"/>
        <v>#NAME?</v>
      </c>
      <c r="K292" s="78" t="e">
        <f t="shared" ca="1" si="66"/>
        <v>#NAME?</v>
      </c>
      <c r="L292" s="78" t="e">
        <f t="shared" ca="1" si="67"/>
        <v>#NAME?</v>
      </c>
      <c r="M292" s="78" t="e">
        <f t="shared" ca="1" si="68"/>
        <v>#NAME?</v>
      </c>
      <c r="N292" s="78" t="e">
        <f t="shared" ca="1" si="69"/>
        <v>#NAME?</v>
      </c>
    </row>
    <row r="293" spans="1:14" x14ac:dyDescent="0.25">
      <c r="A293" s="79"/>
      <c r="B293" s="108" t="e">
        <f t="shared" ca="1" si="70"/>
        <v>#NAME?</v>
      </c>
      <c r="C293" s="109" t="e">
        <f t="shared" ca="1" si="71"/>
        <v>#NAME?</v>
      </c>
      <c r="D293" s="110" t="e">
        <f t="shared" ca="1" si="60"/>
        <v>#NAME?</v>
      </c>
      <c r="E293" s="111" t="e">
        <f t="shared" ca="1" si="61"/>
        <v>#NAME?</v>
      </c>
      <c r="F293" s="110" t="e">
        <f t="shared" ca="1" si="62"/>
        <v>#NAME?</v>
      </c>
      <c r="G293" s="112" t="e">
        <f t="shared" ca="1" si="72"/>
        <v>#NAME?</v>
      </c>
      <c r="H293" s="113" t="e">
        <f t="shared" ca="1" si="63"/>
        <v>#NAME?</v>
      </c>
      <c r="I293" s="79" t="e">
        <f t="shared" ca="1" si="64"/>
        <v>#NAME?</v>
      </c>
      <c r="J293" s="115" t="e">
        <f t="shared" ca="1" si="65"/>
        <v>#NAME?</v>
      </c>
      <c r="K293" s="78" t="e">
        <f t="shared" ca="1" si="66"/>
        <v>#NAME?</v>
      </c>
      <c r="L293" s="78" t="e">
        <f t="shared" ca="1" si="67"/>
        <v>#NAME?</v>
      </c>
      <c r="M293" s="78" t="e">
        <f t="shared" ca="1" si="68"/>
        <v>#NAME?</v>
      </c>
      <c r="N293" s="78" t="e">
        <f t="shared" ca="1" si="69"/>
        <v>#NAME?</v>
      </c>
    </row>
    <row r="294" spans="1:14" x14ac:dyDescent="0.25">
      <c r="A294" s="79"/>
      <c r="B294" s="108" t="e">
        <f t="shared" ca="1" si="70"/>
        <v>#NAME?</v>
      </c>
      <c r="C294" s="109" t="e">
        <f t="shared" ca="1" si="71"/>
        <v>#NAME?</v>
      </c>
      <c r="D294" s="110" t="e">
        <f t="shared" ca="1" si="60"/>
        <v>#NAME?</v>
      </c>
      <c r="E294" s="111" t="e">
        <f t="shared" ca="1" si="61"/>
        <v>#NAME?</v>
      </c>
      <c r="F294" s="110" t="e">
        <f t="shared" ca="1" si="62"/>
        <v>#NAME?</v>
      </c>
      <c r="G294" s="112" t="e">
        <f t="shared" ca="1" si="72"/>
        <v>#NAME?</v>
      </c>
      <c r="H294" s="113" t="e">
        <f t="shared" ca="1" si="63"/>
        <v>#NAME?</v>
      </c>
      <c r="I294" s="79" t="e">
        <f t="shared" ca="1" si="64"/>
        <v>#NAME?</v>
      </c>
      <c r="J294" s="115" t="e">
        <f t="shared" ca="1" si="65"/>
        <v>#NAME?</v>
      </c>
      <c r="K294" s="78" t="e">
        <f t="shared" ca="1" si="66"/>
        <v>#NAME?</v>
      </c>
      <c r="L294" s="78" t="e">
        <f t="shared" ca="1" si="67"/>
        <v>#NAME?</v>
      </c>
      <c r="M294" s="78" t="e">
        <f t="shared" ca="1" si="68"/>
        <v>#NAME?</v>
      </c>
      <c r="N294" s="78" t="e">
        <f t="shared" ca="1" si="69"/>
        <v>#NAME?</v>
      </c>
    </row>
    <row r="295" spans="1:14" x14ac:dyDescent="0.25">
      <c r="A295" s="79"/>
      <c r="B295" s="108" t="e">
        <f t="shared" ca="1" si="70"/>
        <v>#NAME?</v>
      </c>
      <c r="C295" s="109" t="e">
        <f t="shared" ca="1" si="71"/>
        <v>#NAME?</v>
      </c>
      <c r="D295" s="110" t="e">
        <f t="shared" ca="1" si="60"/>
        <v>#NAME?</v>
      </c>
      <c r="E295" s="111" t="e">
        <f t="shared" ca="1" si="61"/>
        <v>#NAME?</v>
      </c>
      <c r="F295" s="110" t="e">
        <f t="shared" ca="1" si="62"/>
        <v>#NAME?</v>
      </c>
      <c r="G295" s="112" t="e">
        <f t="shared" ca="1" si="72"/>
        <v>#NAME?</v>
      </c>
      <c r="H295" s="113" t="e">
        <f t="shared" ca="1" si="63"/>
        <v>#NAME?</v>
      </c>
      <c r="I295" s="79" t="e">
        <f t="shared" ca="1" si="64"/>
        <v>#NAME?</v>
      </c>
      <c r="J295" s="115" t="e">
        <f t="shared" ca="1" si="65"/>
        <v>#NAME?</v>
      </c>
      <c r="K295" s="78" t="e">
        <f t="shared" ca="1" si="66"/>
        <v>#NAME?</v>
      </c>
      <c r="L295" s="78" t="e">
        <f t="shared" ca="1" si="67"/>
        <v>#NAME?</v>
      </c>
      <c r="M295" s="78" t="e">
        <f t="shared" ca="1" si="68"/>
        <v>#NAME?</v>
      </c>
      <c r="N295" s="78" t="e">
        <f t="shared" ca="1" si="69"/>
        <v>#NAME?</v>
      </c>
    </row>
    <row r="296" spans="1:14" x14ac:dyDescent="0.25">
      <c r="A296" s="79"/>
      <c r="B296" s="108" t="e">
        <f t="shared" ca="1" si="70"/>
        <v>#NAME?</v>
      </c>
      <c r="C296" s="109" t="e">
        <f t="shared" ca="1" si="71"/>
        <v>#NAME?</v>
      </c>
      <c r="D296" s="110" t="e">
        <f t="shared" ca="1" si="60"/>
        <v>#NAME?</v>
      </c>
      <c r="E296" s="111" t="e">
        <f t="shared" ca="1" si="61"/>
        <v>#NAME?</v>
      </c>
      <c r="F296" s="110" t="e">
        <f t="shared" ca="1" si="62"/>
        <v>#NAME?</v>
      </c>
      <c r="G296" s="112" t="e">
        <f t="shared" ca="1" si="72"/>
        <v>#NAME?</v>
      </c>
      <c r="H296" s="113" t="e">
        <f t="shared" ca="1" si="63"/>
        <v>#NAME?</v>
      </c>
      <c r="I296" s="79" t="e">
        <f t="shared" ca="1" si="64"/>
        <v>#NAME?</v>
      </c>
      <c r="J296" s="115" t="e">
        <f t="shared" ca="1" si="65"/>
        <v>#NAME?</v>
      </c>
      <c r="K296" s="78" t="e">
        <f t="shared" ca="1" si="66"/>
        <v>#NAME?</v>
      </c>
      <c r="L296" s="78" t="e">
        <f t="shared" ca="1" si="67"/>
        <v>#NAME?</v>
      </c>
      <c r="M296" s="78" t="e">
        <f t="shared" ca="1" si="68"/>
        <v>#NAME?</v>
      </c>
      <c r="N296" s="78" t="e">
        <f t="shared" ca="1" si="69"/>
        <v>#NAME?</v>
      </c>
    </row>
    <row r="297" spans="1:14" x14ac:dyDescent="0.25">
      <c r="A297" s="79"/>
      <c r="B297" s="108" t="e">
        <f t="shared" ca="1" si="70"/>
        <v>#NAME?</v>
      </c>
      <c r="C297" s="109" t="e">
        <f t="shared" ca="1" si="71"/>
        <v>#NAME?</v>
      </c>
      <c r="D297" s="110" t="e">
        <f t="shared" ca="1" si="60"/>
        <v>#NAME?</v>
      </c>
      <c r="E297" s="111" t="e">
        <f t="shared" ca="1" si="61"/>
        <v>#NAME?</v>
      </c>
      <c r="F297" s="110" t="e">
        <f t="shared" ca="1" si="62"/>
        <v>#NAME?</v>
      </c>
      <c r="G297" s="112" t="e">
        <f t="shared" ca="1" si="72"/>
        <v>#NAME?</v>
      </c>
      <c r="H297" s="113" t="e">
        <f t="shared" ca="1" si="63"/>
        <v>#NAME?</v>
      </c>
      <c r="I297" s="79" t="e">
        <f t="shared" ca="1" si="64"/>
        <v>#NAME?</v>
      </c>
      <c r="J297" s="115" t="e">
        <f t="shared" ca="1" si="65"/>
        <v>#NAME?</v>
      </c>
      <c r="K297" s="78" t="e">
        <f t="shared" ca="1" si="66"/>
        <v>#NAME?</v>
      </c>
      <c r="L297" s="78" t="e">
        <f t="shared" ca="1" si="67"/>
        <v>#NAME?</v>
      </c>
      <c r="M297" s="78" t="e">
        <f t="shared" ca="1" si="68"/>
        <v>#NAME?</v>
      </c>
      <c r="N297" s="78" t="e">
        <f t="shared" ca="1" si="69"/>
        <v>#NAME?</v>
      </c>
    </row>
    <row r="298" spans="1:14" x14ac:dyDescent="0.25">
      <c r="A298" s="79"/>
      <c r="B298" s="108" t="e">
        <f t="shared" ca="1" si="70"/>
        <v>#NAME?</v>
      </c>
      <c r="C298" s="109" t="e">
        <f t="shared" ca="1" si="71"/>
        <v>#NAME?</v>
      </c>
      <c r="D298" s="110" t="e">
        <f t="shared" ca="1" si="60"/>
        <v>#NAME?</v>
      </c>
      <c r="E298" s="111" t="e">
        <f t="shared" ca="1" si="61"/>
        <v>#NAME?</v>
      </c>
      <c r="F298" s="110" t="e">
        <f t="shared" ca="1" si="62"/>
        <v>#NAME?</v>
      </c>
      <c r="G298" s="112" t="e">
        <f t="shared" ca="1" si="72"/>
        <v>#NAME?</v>
      </c>
      <c r="H298" s="113" t="e">
        <f t="shared" ca="1" si="63"/>
        <v>#NAME?</v>
      </c>
      <c r="I298" s="79" t="e">
        <f t="shared" ca="1" si="64"/>
        <v>#NAME?</v>
      </c>
      <c r="J298" s="115" t="e">
        <f t="shared" ca="1" si="65"/>
        <v>#NAME?</v>
      </c>
      <c r="K298" s="78" t="e">
        <f t="shared" ca="1" si="66"/>
        <v>#NAME?</v>
      </c>
      <c r="L298" s="78" t="e">
        <f t="shared" ca="1" si="67"/>
        <v>#NAME?</v>
      </c>
      <c r="M298" s="78" t="e">
        <f t="shared" ca="1" si="68"/>
        <v>#NAME?</v>
      </c>
      <c r="N298" s="78" t="e">
        <f t="shared" ca="1" si="69"/>
        <v>#NAME?</v>
      </c>
    </row>
    <row r="299" spans="1:14" x14ac:dyDescent="0.25">
      <c r="A299" s="79"/>
      <c r="B299" s="108" t="e">
        <f t="shared" ca="1" si="70"/>
        <v>#NAME?</v>
      </c>
      <c r="C299" s="109" t="e">
        <f t="shared" ca="1" si="71"/>
        <v>#NAME?</v>
      </c>
      <c r="D299" s="110" t="e">
        <f t="shared" ca="1" si="60"/>
        <v>#NAME?</v>
      </c>
      <c r="E299" s="111" t="e">
        <f t="shared" ca="1" si="61"/>
        <v>#NAME?</v>
      </c>
      <c r="F299" s="110" t="e">
        <f t="shared" ca="1" si="62"/>
        <v>#NAME?</v>
      </c>
      <c r="G299" s="112" t="e">
        <f t="shared" ca="1" si="72"/>
        <v>#NAME?</v>
      </c>
      <c r="H299" s="113" t="e">
        <f t="shared" ca="1" si="63"/>
        <v>#NAME?</v>
      </c>
      <c r="I299" s="79" t="e">
        <f t="shared" ca="1" si="64"/>
        <v>#NAME?</v>
      </c>
      <c r="J299" s="115" t="e">
        <f t="shared" ca="1" si="65"/>
        <v>#NAME?</v>
      </c>
      <c r="K299" s="78" t="e">
        <f t="shared" ca="1" si="66"/>
        <v>#NAME?</v>
      </c>
      <c r="L299" s="78" t="e">
        <f t="shared" ca="1" si="67"/>
        <v>#NAME?</v>
      </c>
      <c r="M299" s="78" t="e">
        <f t="shared" ca="1" si="68"/>
        <v>#NAME?</v>
      </c>
      <c r="N299" s="78" t="e">
        <f t="shared" ca="1" si="69"/>
        <v>#NAME?</v>
      </c>
    </row>
    <row r="300" spans="1:14" x14ac:dyDescent="0.25">
      <c r="A300" s="79"/>
      <c r="B300" s="108" t="e">
        <f t="shared" ca="1" si="70"/>
        <v>#NAME?</v>
      </c>
      <c r="C300" s="109" t="e">
        <f t="shared" ca="1" si="71"/>
        <v>#NAME?</v>
      </c>
      <c r="D300" s="110" t="e">
        <f t="shared" ca="1" si="60"/>
        <v>#NAME?</v>
      </c>
      <c r="E300" s="111" t="e">
        <f t="shared" ca="1" si="61"/>
        <v>#NAME?</v>
      </c>
      <c r="F300" s="110" t="e">
        <f t="shared" ca="1" si="62"/>
        <v>#NAME?</v>
      </c>
      <c r="G300" s="112" t="e">
        <f t="shared" ca="1" si="72"/>
        <v>#NAME?</v>
      </c>
      <c r="H300" s="113" t="e">
        <f t="shared" ca="1" si="63"/>
        <v>#NAME?</v>
      </c>
      <c r="I300" s="79" t="e">
        <f t="shared" ca="1" si="64"/>
        <v>#NAME?</v>
      </c>
      <c r="J300" s="115" t="e">
        <f t="shared" ca="1" si="65"/>
        <v>#NAME?</v>
      </c>
      <c r="K300" s="78" t="e">
        <f t="shared" ca="1" si="66"/>
        <v>#NAME?</v>
      </c>
      <c r="L300" s="78" t="e">
        <f t="shared" ca="1" si="67"/>
        <v>#NAME?</v>
      </c>
      <c r="M300" s="78" t="e">
        <f t="shared" ca="1" si="68"/>
        <v>#NAME?</v>
      </c>
      <c r="N300" s="78" t="e">
        <f t="shared" ca="1" si="69"/>
        <v>#NAME?</v>
      </c>
    </row>
    <row r="301" spans="1:14" x14ac:dyDescent="0.25">
      <c r="A301" s="79"/>
      <c r="B301" s="108" t="e">
        <f t="shared" ca="1" si="70"/>
        <v>#NAME?</v>
      </c>
      <c r="C301" s="109" t="e">
        <f t="shared" ca="1" si="71"/>
        <v>#NAME?</v>
      </c>
      <c r="D301" s="110" t="e">
        <f t="shared" ca="1" si="60"/>
        <v>#NAME?</v>
      </c>
      <c r="E301" s="111" t="e">
        <f t="shared" ca="1" si="61"/>
        <v>#NAME?</v>
      </c>
      <c r="F301" s="110" t="e">
        <f t="shared" ca="1" si="62"/>
        <v>#NAME?</v>
      </c>
      <c r="G301" s="112" t="e">
        <f t="shared" ca="1" si="72"/>
        <v>#NAME?</v>
      </c>
      <c r="H301" s="113" t="e">
        <f t="shared" ca="1" si="63"/>
        <v>#NAME?</v>
      </c>
      <c r="I301" s="79" t="e">
        <f t="shared" ca="1" si="64"/>
        <v>#NAME?</v>
      </c>
      <c r="J301" s="115" t="e">
        <f t="shared" ca="1" si="65"/>
        <v>#NAME?</v>
      </c>
      <c r="K301" s="78" t="e">
        <f t="shared" ca="1" si="66"/>
        <v>#NAME?</v>
      </c>
      <c r="L301" s="78" t="e">
        <f t="shared" ca="1" si="67"/>
        <v>#NAME?</v>
      </c>
      <c r="M301" s="78" t="e">
        <f t="shared" ca="1" si="68"/>
        <v>#NAME?</v>
      </c>
      <c r="N301" s="78" t="e">
        <f t="shared" ca="1" si="69"/>
        <v>#NAME?</v>
      </c>
    </row>
    <row r="302" spans="1:14" x14ac:dyDescent="0.25">
      <c r="A302" s="79"/>
      <c r="B302" s="108" t="e">
        <f t="shared" ca="1" si="70"/>
        <v>#NAME?</v>
      </c>
      <c r="C302" s="109" t="e">
        <f t="shared" ca="1" si="71"/>
        <v>#NAME?</v>
      </c>
      <c r="D302" s="110" t="e">
        <f t="shared" ca="1" si="60"/>
        <v>#NAME?</v>
      </c>
      <c r="E302" s="111" t="e">
        <f t="shared" ca="1" si="61"/>
        <v>#NAME?</v>
      </c>
      <c r="F302" s="110" t="e">
        <f t="shared" ca="1" si="62"/>
        <v>#NAME?</v>
      </c>
      <c r="G302" s="112" t="e">
        <f t="shared" ca="1" si="72"/>
        <v>#NAME?</v>
      </c>
      <c r="H302" s="113" t="e">
        <f t="shared" ca="1" si="63"/>
        <v>#NAME?</v>
      </c>
      <c r="I302" s="79" t="e">
        <f t="shared" ca="1" si="64"/>
        <v>#NAME?</v>
      </c>
      <c r="J302" s="115" t="e">
        <f t="shared" ca="1" si="65"/>
        <v>#NAME?</v>
      </c>
      <c r="K302" s="78" t="e">
        <f t="shared" ca="1" si="66"/>
        <v>#NAME?</v>
      </c>
      <c r="L302" s="78" t="e">
        <f t="shared" ca="1" si="67"/>
        <v>#NAME?</v>
      </c>
      <c r="M302" s="78" t="e">
        <f t="shared" ca="1" si="68"/>
        <v>#NAME?</v>
      </c>
      <c r="N302" s="78" t="e">
        <f t="shared" ca="1" si="69"/>
        <v>#NAME?</v>
      </c>
    </row>
    <row r="303" spans="1:14" x14ac:dyDescent="0.25">
      <c r="A303" s="79"/>
      <c r="B303" s="108" t="e">
        <f t="shared" ca="1" si="70"/>
        <v>#NAME?</v>
      </c>
      <c r="C303" s="109" t="e">
        <f t="shared" ca="1" si="71"/>
        <v>#NAME?</v>
      </c>
      <c r="D303" s="110" t="e">
        <f t="shared" ca="1" si="60"/>
        <v>#NAME?</v>
      </c>
      <c r="E303" s="111" t="e">
        <f t="shared" ca="1" si="61"/>
        <v>#NAME?</v>
      </c>
      <c r="F303" s="110" t="e">
        <f t="shared" ca="1" si="62"/>
        <v>#NAME?</v>
      </c>
      <c r="G303" s="112" t="e">
        <f t="shared" ca="1" si="72"/>
        <v>#NAME?</v>
      </c>
      <c r="H303" s="113" t="e">
        <f t="shared" ca="1" si="63"/>
        <v>#NAME?</v>
      </c>
      <c r="I303" s="79" t="e">
        <f t="shared" ca="1" si="64"/>
        <v>#NAME?</v>
      </c>
      <c r="J303" s="115" t="e">
        <f t="shared" ca="1" si="65"/>
        <v>#NAME?</v>
      </c>
      <c r="K303" s="78" t="e">
        <f t="shared" ca="1" si="66"/>
        <v>#NAME?</v>
      </c>
      <c r="L303" s="78" t="e">
        <f t="shared" ca="1" si="67"/>
        <v>#NAME?</v>
      </c>
      <c r="M303" s="78" t="e">
        <f t="shared" ca="1" si="68"/>
        <v>#NAME?</v>
      </c>
      <c r="N303" s="78" t="e">
        <f t="shared" ca="1" si="69"/>
        <v>#NAME?</v>
      </c>
    </row>
    <row r="304" spans="1:14" x14ac:dyDescent="0.25">
      <c r="A304" s="79"/>
      <c r="B304" s="108" t="e">
        <f t="shared" ca="1" si="70"/>
        <v>#NAME?</v>
      </c>
      <c r="C304" s="109" t="e">
        <f t="shared" ca="1" si="71"/>
        <v>#NAME?</v>
      </c>
      <c r="D304" s="110" t="e">
        <f t="shared" ca="1" si="60"/>
        <v>#NAME?</v>
      </c>
      <c r="E304" s="111" t="e">
        <f t="shared" ca="1" si="61"/>
        <v>#NAME?</v>
      </c>
      <c r="F304" s="110" t="e">
        <f t="shared" ca="1" si="62"/>
        <v>#NAME?</v>
      </c>
      <c r="G304" s="112" t="e">
        <f t="shared" ca="1" si="72"/>
        <v>#NAME?</v>
      </c>
      <c r="H304" s="113" t="e">
        <f t="shared" ca="1" si="63"/>
        <v>#NAME?</v>
      </c>
      <c r="I304" s="79" t="e">
        <f t="shared" ca="1" si="64"/>
        <v>#NAME?</v>
      </c>
      <c r="J304" s="115" t="e">
        <f t="shared" ca="1" si="65"/>
        <v>#NAME?</v>
      </c>
      <c r="K304" s="78" t="e">
        <f t="shared" ca="1" si="66"/>
        <v>#NAME?</v>
      </c>
      <c r="L304" s="78" t="e">
        <f t="shared" ca="1" si="67"/>
        <v>#NAME?</v>
      </c>
      <c r="M304" s="78" t="e">
        <f t="shared" ca="1" si="68"/>
        <v>#NAME?</v>
      </c>
      <c r="N304" s="78" t="e">
        <f t="shared" ca="1" si="69"/>
        <v>#NAME?</v>
      </c>
    </row>
    <row r="305" spans="1:14" x14ac:dyDescent="0.25">
      <c r="A305" s="79"/>
      <c r="B305" s="108" t="e">
        <f t="shared" ca="1" si="70"/>
        <v>#NAME?</v>
      </c>
      <c r="C305" s="109" t="e">
        <f t="shared" ca="1" si="71"/>
        <v>#NAME?</v>
      </c>
      <c r="D305" s="110" t="e">
        <f t="shared" ca="1" si="60"/>
        <v>#NAME?</v>
      </c>
      <c r="E305" s="111" t="e">
        <f t="shared" ca="1" si="61"/>
        <v>#NAME?</v>
      </c>
      <c r="F305" s="110" t="e">
        <f t="shared" ca="1" si="62"/>
        <v>#NAME?</v>
      </c>
      <c r="G305" s="112" t="e">
        <f t="shared" ca="1" si="72"/>
        <v>#NAME?</v>
      </c>
      <c r="H305" s="113" t="e">
        <f t="shared" ca="1" si="63"/>
        <v>#NAME?</v>
      </c>
      <c r="I305" s="79" t="e">
        <f t="shared" ca="1" si="64"/>
        <v>#NAME?</v>
      </c>
      <c r="J305" s="115" t="e">
        <f t="shared" ca="1" si="65"/>
        <v>#NAME?</v>
      </c>
      <c r="K305" s="78" t="e">
        <f t="shared" ca="1" si="66"/>
        <v>#NAME?</v>
      </c>
      <c r="L305" s="78" t="e">
        <f t="shared" ca="1" si="67"/>
        <v>#NAME?</v>
      </c>
      <c r="M305" s="78" t="e">
        <f t="shared" ca="1" si="68"/>
        <v>#NAME?</v>
      </c>
      <c r="N305" s="78" t="e">
        <f t="shared" ca="1" si="69"/>
        <v>#NAME?</v>
      </c>
    </row>
    <row r="306" spans="1:14" x14ac:dyDescent="0.25">
      <c r="A306" s="79"/>
      <c r="B306" s="108" t="e">
        <f t="shared" ca="1" si="70"/>
        <v>#NAME?</v>
      </c>
      <c r="C306" s="109" t="e">
        <f t="shared" ca="1" si="71"/>
        <v>#NAME?</v>
      </c>
      <c r="D306" s="110" t="e">
        <f t="shared" ca="1" si="60"/>
        <v>#NAME?</v>
      </c>
      <c r="E306" s="111" t="e">
        <f t="shared" ca="1" si="61"/>
        <v>#NAME?</v>
      </c>
      <c r="F306" s="110" t="e">
        <f t="shared" ca="1" si="62"/>
        <v>#NAME?</v>
      </c>
      <c r="G306" s="112" t="e">
        <f t="shared" ca="1" si="72"/>
        <v>#NAME?</v>
      </c>
      <c r="H306" s="113" t="e">
        <f t="shared" ca="1" si="63"/>
        <v>#NAME?</v>
      </c>
      <c r="I306" s="79" t="e">
        <f t="shared" ca="1" si="64"/>
        <v>#NAME?</v>
      </c>
      <c r="J306" s="115" t="e">
        <f t="shared" ca="1" si="65"/>
        <v>#NAME?</v>
      </c>
      <c r="K306" s="78" t="e">
        <f t="shared" ca="1" si="66"/>
        <v>#NAME?</v>
      </c>
      <c r="L306" s="78" t="e">
        <f t="shared" ca="1" si="67"/>
        <v>#NAME?</v>
      </c>
      <c r="M306" s="78" t="e">
        <f t="shared" ca="1" si="68"/>
        <v>#NAME?</v>
      </c>
      <c r="N306" s="78" t="e">
        <f t="shared" ca="1" si="69"/>
        <v>#NAME?</v>
      </c>
    </row>
    <row r="307" spans="1:14" x14ac:dyDescent="0.25">
      <c r="A307" s="79"/>
      <c r="B307" s="108" t="e">
        <f t="shared" ca="1" si="70"/>
        <v>#NAME?</v>
      </c>
      <c r="C307" s="109" t="e">
        <f t="shared" ca="1" si="71"/>
        <v>#NAME?</v>
      </c>
      <c r="D307" s="110" t="e">
        <f t="shared" ca="1" si="60"/>
        <v>#NAME?</v>
      </c>
      <c r="E307" s="111" t="e">
        <f t="shared" ca="1" si="61"/>
        <v>#NAME?</v>
      </c>
      <c r="F307" s="110" t="e">
        <f t="shared" ca="1" si="62"/>
        <v>#NAME?</v>
      </c>
      <c r="G307" s="112" t="e">
        <f t="shared" ca="1" si="72"/>
        <v>#NAME?</v>
      </c>
      <c r="H307" s="113" t="e">
        <f t="shared" ca="1" si="63"/>
        <v>#NAME?</v>
      </c>
      <c r="I307" s="79" t="e">
        <f t="shared" ca="1" si="64"/>
        <v>#NAME?</v>
      </c>
      <c r="J307" s="115" t="e">
        <f t="shared" ca="1" si="65"/>
        <v>#NAME?</v>
      </c>
      <c r="K307" s="78" t="e">
        <f t="shared" ca="1" si="66"/>
        <v>#NAME?</v>
      </c>
      <c r="L307" s="78" t="e">
        <f t="shared" ca="1" si="67"/>
        <v>#NAME?</v>
      </c>
      <c r="M307" s="78" t="e">
        <f t="shared" ca="1" si="68"/>
        <v>#NAME?</v>
      </c>
      <c r="N307" s="78" t="e">
        <f t="shared" ca="1" si="69"/>
        <v>#NAME?</v>
      </c>
    </row>
    <row r="308" spans="1:14" x14ac:dyDescent="0.25">
      <c r="A308" s="79"/>
      <c r="B308" s="108" t="e">
        <f t="shared" ca="1" si="70"/>
        <v>#NAME?</v>
      </c>
      <c r="C308" s="109" t="e">
        <f t="shared" ca="1" si="71"/>
        <v>#NAME?</v>
      </c>
      <c r="D308" s="110" t="e">
        <f t="shared" ca="1" si="60"/>
        <v>#NAME?</v>
      </c>
      <c r="E308" s="111" t="e">
        <f t="shared" ca="1" si="61"/>
        <v>#NAME?</v>
      </c>
      <c r="F308" s="110" t="e">
        <f t="shared" ca="1" si="62"/>
        <v>#NAME?</v>
      </c>
      <c r="G308" s="112" t="e">
        <f t="shared" ca="1" si="72"/>
        <v>#NAME?</v>
      </c>
      <c r="H308" s="113" t="e">
        <f t="shared" ca="1" si="63"/>
        <v>#NAME?</v>
      </c>
      <c r="I308" s="79" t="e">
        <f t="shared" ca="1" si="64"/>
        <v>#NAME?</v>
      </c>
      <c r="J308" s="115" t="e">
        <f t="shared" ca="1" si="65"/>
        <v>#NAME?</v>
      </c>
      <c r="K308" s="78" t="e">
        <f t="shared" ca="1" si="66"/>
        <v>#NAME?</v>
      </c>
      <c r="L308" s="78" t="e">
        <f t="shared" ca="1" si="67"/>
        <v>#NAME?</v>
      </c>
      <c r="M308" s="78" t="e">
        <f t="shared" ca="1" si="68"/>
        <v>#NAME?</v>
      </c>
      <c r="N308" s="78" t="e">
        <f t="shared" ca="1" si="69"/>
        <v>#NAME?</v>
      </c>
    </row>
    <row r="309" spans="1:14" x14ac:dyDescent="0.25">
      <c r="A309" s="79"/>
      <c r="B309" s="108" t="e">
        <f t="shared" ca="1" si="70"/>
        <v>#NAME?</v>
      </c>
      <c r="C309" s="109" t="e">
        <f t="shared" ca="1" si="71"/>
        <v>#NAME?</v>
      </c>
      <c r="D309" s="110" t="e">
        <f t="shared" ca="1" si="60"/>
        <v>#NAME?</v>
      </c>
      <c r="E309" s="111" t="e">
        <f t="shared" ca="1" si="61"/>
        <v>#NAME?</v>
      </c>
      <c r="F309" s="110" t="e">
        <f t="shared" ca="1" si="62"/>
        <v>#NAME?</v>
      </c>
      <c r="G309" s="112" t="e">
        <f t="shared" ca="1" si="72"/>
        <v>#NAME?</v>
      </c>
      <c r="H309" s="113" t="e">
        <f t="shared" ca="1" si="63"/>
        <v>#NAME?</v>
      </c>
      <c r="I309" s="79" t="e">
        <f t="shared" ca="1" si="64"/>
        <v>#NAME?</v>
      </c>
      <c r="J309" s="115" t="e">
        <f t="shared" ca="1" si="65"/>
        <v>#NAME?</v>
      </c>
      <c r="K309" s="78" t="e">
        <f t="shared" ca="1" si="66"/>
        <v>#NAME?</v>
      </c>
      <c r="L309" s="78" t="e">
        <f t="shared" ca="1" si="67"/>
        <v>#NAME?</v>
      </c>
      <c r="M309" s="78" t="e">
        <f t="shared" ca="1" si="68"/>
        <v>#NAME?</v>
      </c>
      <c r="N309" s="78" t="e">
        <f t="shared" ca="1" si="69"/>
        <v>#NAME?</v>
      </c>
    </row>
    <row r="310" spans="1:14" x14ac:dyDescent="0.25">
      <c r="A310" s="79"/>
      <c r="B310" s="108" t="e">
        <f t="shared" ca="1" si="70"/>
        <v>#NAME?</v>
      </c>
      <c r="C310" s="109" t="e">
        <f t="shared" ca="1" si="71"/>
        <v>#NAME?</v>
      </c>
      <c r="D310" s="110" t="e">
        <f t="shared" ca="1" si="60"/>
        <v>#NAME?</v>
      </c>
      <c r="E310" s="111" t="e">
        <f t="shared" ca="1" si="61"/>
        <v>#NAME?</v>
      </c>
      <c r="F310" s="110" t="e">
        <f t="shared" ca="1" si="62"/>
        <v>#NAME?</v>
      </c>
      <c r="G310" s="112" t="e">
        <f t="shared" ca="1" si="72"/>
        <v>#NAME?</v>
      </c>
      <c r="H310" s="113" t="e">
        <f t="shared" ca="1" si="63"/>
        <v>#NAME?</v>
      </c>
      <c r="I310" s="79" t="e">
        <f t="shared" ca="1" si="64"/>
        <v>#NAME?</v>
      </c>
      <c r="J310" s="115" t="e">
        <f t="shared" ca="1" si="65"/>
        <v>#NAME?</v>
      </c>
      <c r="K310" s="78" t="e">
        <f t="shared" ca="1" si="66"/>
        <v>#NAME?</v>
      </c>
      <c r="L310" s="78" t="e">
        <f t="shared" ca="1" si="67"/>
        <v>#NAME?</v>
      </c>
      <c r="M310" s="78" t="e">
        <f t="shared" ca="1" si="68"/>
        <v>#NAME?</v>
      </c>
      <c r="N310" s="78" t="e">
        <f t="shared" ca="1" si="69"/>
        <v>#NAME?</v>
      </c>
    </row>
    <row r="311" spans="1:14" x14ac:dyDescent="0.25">
      <c r="A311" s="79"/>
      <c r="B311" s="108" t="e">
        <f t="shared" ca="1" si="70"/>
        <v>#NAME?</v>
      </c>
      <c r="C311" s="109" t="e">
        <f t="shared" ca="1" si="71"/>
        <v>#NAME?</v>
      </c>
      <c r="D311" s="110" t="e">
        <f t="shared" ca="1" si="60"/>
        <v>#NAME?</v>
      </c>
      <c r="E311" s="111" t="e">
        <f t="shared" ca="1" si="61"/>
        <v>#NAME?</v>
      </c>
      <c r="F311" s="110" t="e">
        <f t="shared" ca="1" si="62"/>
        <v>#NAME?</v>
      </c>
      <c r="G311" s="112" t="e">
        <f t="shared" ca="1" si="72"/>
        <v>#NAME?</v>
      </c>
      <c r="H311" s="113" t="e">
        <f t="shared" ca="1" si="63"/>
        <v>#NAME?</v>
      </c>
      <c r="I311" s="79" t="e">
        <f t="shared" ca="1" si="64"/>
        <v>#NAME?</v>
      </c>
      <c r="J311" s="115" t="e">
        <f t="shared" ca="1" si="65"/>
        <v>#NAME?</v>
      </c>
      <c r="K311" s="78" t="e">
        <f t="shared" ca="1" si="66"/>
        <v>#NAME?</v>
      </c>
      <c r="L311" s="78" t="e">
        <f t="shared" ca="1" si="67"/>
        <v>#NAME?</v>
      </c>
      <c r="M311" s="78" t="e">
        <f t="shared" ca="1" si="68"/>
        <v>#NAME?</v>
      </c>
      <c r="N311" s="78" t="e">
        <f t="shared" ca="1" si="69"/>
        <v>#NAME?</v>
      </c>
    </row>
    <row r="312" spans="1:14" x14ac:dyDescent="0.25">
      <c r="A312" s="79"/>
      <c r="B312" s="108" t="e">
        <f t="shared" ca="1" si="70"/>
        <v>#NAME?</v>
      </c>
      <c r="C312" s="109" t="e">
        <f t="shared" ca="1" si="71"/>
        <v>#NAME?</v>
      </c>
      <c r="D312" s="110" t="e">
        <f t="shared" ca="1" si="60"/>
        <v>#NAME?</v>
      </c>
      <c r="E312" s="111" t="e">
        <f t="shared" ca="1" si="61"/>
        <v>#NAME?</v>
      </c>
      <c r="F312" s="110" t="e">
        <f t="shared" ca="1" si="62"/>
        <v>#NAME?</v>
      </c>
      <c r="G312" s="112" t="e">
        <f t="shared" ca="1" si="72"/>
        <v>#NAME?</v>
      </c>
      <c r="H312" s="113" t="e">
        <f t="shared" ca="1" si="63"/>
        <v>#NAME?</v>
      </c>
      <c r="I312" s="79" t="e">
        <f t="shared" ca="1" si="64"/>
        <v>#NAME?</v>
      </c>
      <c r="J312" s="115" t="e">
        <f t="shared" ca="1" si="65"/>
        <v>#NAME?</v>
      </c>
      <c r="K312" s="78" t="e">
        <f t="shared" ca="1" si="66"/>
        <v>#NAME?</v>
      </c>
      <c r="L312" s="78" t="e">
        <f t="shared" ca="1" si="67"/>
        <v>#NAME?</v>
      </c>
      <c r="M312" s="78" t="e">
        <f t="shared" ca="1" si="68"/>
        <v>#NAME?</v>
      </c>
      <c r="N312" s="78" t="e">
        <f t="shared" ca="1" si="69"/>
        <v>#NAME?</v>
      </c>
    </row>
    <row r="313" spans="1:14" x14ac:dyDescent="0.25">
      <c r="A313" s="79"/>
      <c r="B313" s="108" t="e">
        <f t="shared" ca="1" si="70"/>
        <v>#NAME?</v>
      </c>
      <c r="C313" s="109" t="e">
        <f t="shared" ca="1" si="71"/>
        <v>#NAME?</v>
      </c>
      <c r="D313" s="110" t="e">
        <f t="shared" ca="1" si="60"/>
        <v>#NAME?</v>
      </c>
      <c r="E313" s="111" t="e">
        <f t="shared" ca="1" si="61"/>
        <v>#NAME?</v>
      </c>
      <c r="F313" s="110" t="e">
        <f t="shared" ca="1" si="62"/>
        <v>#NAME?</v>
      </c>
      <c r="G313" s="112" t="e">
        <f t="shared" ca="1" si="72"/>
        <v>#NAME?</v>
      </c>
      <c r="H313" s="113" t="e">
        <f t="shared" ca="1" si="63"/>
        <v>#NAME?</v>
      </c>
      <c r="I313" s="79" t="e">
        <f t="shared" ca="1" si="64"/>
        <v>#NAME?</v>
      </c>
      <c r="J313" s="115" t="e">
        <f t="shared" ca="1" si="65"/>
        <v>#NAME?</v>
      </c>
      <c r="K313" s="78" t="e">
        <f t="shared" ca="1" si="66"/>
        <v>#NAME?</v>
      </c>
      <c r="L313" s="78" t="e">
        <f t="shared" ca="1" si="67"/>
        <v>#NAME?</v>
      </c>
      <c r="M313" s="78" t="e">
        <f t="shared" ca="1" si="68"/>
        <v>#NAME?</v>
      </c>
      <c r="N313" s="78" t="e">
        <f t="shared" ca="1" si="69"/>
        <v>#NAME?</v>
      </c>
    </row>
    <row r="314" spans="1:14" x14ac:dyDescent="0.25">
      <c r="A314" s="79"/>
      <c r="B314" s="108" t="e">
        <f t="shared" ca="1" si="70"/>
        <v>#NAME?</v>
      </c>
      <c r="C314" s="109" t="e">
        <f t="shared" ca="1" si="71"/>
        <v>#NAME?</v>
      </c>
      <c r="D314" s="110" t="e">
        <f t="shared" ca="1" si="60"/>
        <v>#NAME?</v>
      </c>
      <c r="E314" s="111" t="e">
        <f t="shared" ca="1" si="61"/>
        <v>#NAME?</v>
      </c>
      <c r="F314" s="110" t="e">
        <f t="shared" ca="1" si="62"/>
        <v>#NAME?</v>
      </c>
      <c r="G314" s="112" t="e">
        <f t="shared" ca="1" si="72"/>
        <v>#NAME?</v>
      </c>
      <c r="H314" s="113" t="e">
        <f t="shared" ca="1" si="63"/>
        <v>#NAME?</v>
      </c>
      <c r="I314" s="79" t="e">
        <f t="shared" ca="1" si="64"/>
        <v>#NAME?</v>
      </c>
      <c r="J314" s="115" t="e">
        <f t="shared" ca="1" si="65"/>
        <v>#NAME?</v>
      </c>
      <c r="K314" s="78" t="e">
        <f t="shared" ca="1" si="66"/>
        <v>#NAME?</v>
      </c>
      <c r="L314" s="78" t="e">
        <f t="shared" ca="1" si="67"/>
        <v>#NAME?</v>
      </c>
      <c r="M314" s="78" t="e">
        <f t="shared" ca="1" si="68"/>
        <v>#NAME?</v>
      </c>
      <c r="N314" s="78" t="e">
        <f t="shared" ca="1" si="69"/>
        <v>#NAME?</v>
      </c>
    </row>
    <row r="315" spans="1:14" x14ac:dyDescent="0.25">
      <c r="A315" s="79"/>
      <c r="B315" s="108" t="e">
        <f t="shared" ca="1" si="70"/>
        <v>#NAME?</v>
      </c>
      <c r="C315" s="109" t="e">
        <f t="shared" ca="1" si="71"/>
        <v>#NAME?</v>
      </c>
      <c r="D315" s="110" t="e">
        <f t="shared" ca="1" si="60"/>
        <v>#NAME?</v>
      </c>
      <c r="E315" s="111" t="e">
        <f t="shared" ca="1" si="61"/>
        <v>#NAME?</v>
      </c>
      <c r="F315" s="110" t="e">
        <f t="shared" ca="1" si="62"/>
        <v>#NAME?</v>
      </c>
      <c r="G315" s="112" t="e">
        <f t="shared" ca="1" si="72"/>
        <v>#NAME?</v>
      </c>
      <c r="H315" s="113" t="e">
        <f t="shared" ca="1" si="63"/>
        <v>#NAME?</v>
      </c>
      <c r="I315" s="79" t="e">
        <f t="shared" ca="1" si="64"/>
        <v>#NAME?</v>
      </c>
      <c r="J315" s="115" t="e">
        <f t="shared" ca="1" si="65"/>
        <v>#NAME?</v>
      </c>
      <c r="K315" s="78" t="e">
        <f t="shared" ca="1" si="66"/>
        <v>#NAME?</v>
      </c>
      <c r="L315" s="78" t="e">
        <f t="shared" ca="1" si="67"/>
        <v>#NAME?</v>
      </c>
      <c r="M315" s="78" t="e">
        <f t="shared" ca="1" si="68"/>
        <v>#NAME?</v>
      </c>
      <c r="N315" s="78" t="e">
        <f t="shared" ca="1" si="69"/>
        <v>#NAME?</v>
      </c>
    </row>
    <row r="316" spans="1:14" x14ac:dyDescent="0.25">
      <c r="A316" s="79"/>
      <c r="B316" s="108" t="e">
        <f t="shared" ca="1" si="70"/>
        <v>#NAME?</v>
      </c>
      <c r="C316" s="109" t="e">
        <f t="shared" ca="1" si="71"/>
        <v>#NAME?</v>
      </c>
      <c r="D316" s="110" t="e">
        <f t="shared" ca="1" si="60"/>
        <v>#NAME?</v>
      </c>
      <c r="E316" s="111" t="e">
        <f t="shared" ca="1" si="61"/>
        <v>#NAME?</v>
      </c>
      <c r="F316" s="110" t="e">
        <f t="shared" ca="1" si="62"/>
        <v>#NAME?</v>
      </c>
      <c r="G316" s="112" t="e">
        <f t="shared" ca="1" si="72"/>
        <v>#NAME?</v>
      </c>
      <c r="H316" s="113" t="e">
        <f t="shared" ca="1" si="63"/>
        <v>#NAME?</v>
      </c>
      <c r="I316" s="79" t="e">
        <f t="shared" ca="1" si="64"/>
        <v>#NAME?</v>
      </c>
      <c r="J316" s="115" t="e">
        <f t="shared" ca="1" si="65"/>
        <v>#NAME?</v>
      </c>
      <c r="K316" s="78" t="e">
        <f t="shared" ca="1" si="66"/>
        <v>#NAME?</v>
      </c>
      <c r="L316" s="78" t="e">
        <f t="shared" ca="1" si="67"/>
        <v>#NAME?</v>
      </c>
      <c r="M316" s="78" t="e">
        <f t="shared" ca="1" si="68"/>
        <v>#NAME?</v>
      </c>
      <c r="N316" s="78" t="e">
        <f t="shared" ca="1" si="69"/>
        <v>#NAME?</v>
      </c>
    </row>
    <row r="317" spans="1:14" x14ac:dyDescent="0.25">
      <c r="A317" s="79"/>
      <c r="B317" s="108" t="e">
        <f t="shared" ca="1" si="70"/>
        <v>#NAME?</v>
      </c>
      <c r="C317" s="109" t="e">
        <f t="shared" ca="1" si="71"/>
        <v>#NAME?</v>
      </c>
      <c r="D317" s="110" t="e">
        <f t="shared" ca="1" si="60"/>
        <v>#NAME?</v>
      </c>
      <c r="E317" s="111" t="e">
        <f t="shared" ca="1" si="61"/>
        <v>#NAME?</v>
      </c>
      <c r="F317" s="110" t="e">
        <f t="shared" ca="1" si="62"/>
        <v>#NAME?</v>
      </c>
      <c r="G317" s="112" t="e">
        <f t="shared" ca="1" si="72"/>
        <v>#NAME?</v>
      </c>
      <c r="H317" s="113" t="e">
        <f t="shared" ca="1" si="63"/>
        <v>#NAME?</v>
      </c>
      <c r="I317" s="79" t="e">
        <f t="shared" ca="1" si="64"/>
        <v>#NAME?</v>
      </c>
      <c r="J317" s="115" t="e">
        <f t="shared" ca="1" si="65"/>
        <v>#NAME?</v>
      </c>
      <c r="K317" s="78" t="e">
        <f t="shared" ca="1" si="66"/>
        <v>#NAME?</v>
      </c>
      <c r="L317" s="78" t="e">
        <f t="shared" ca="1" si="67"/>
        <v>#NAME?</v>
      </c>
      <c r="M317" s="78" t="e">
        <f t="shared" ca="1" si="68"/>
        <v>#NAME?</v>
      </c>
      <c r="N317" s="78" t="e">
        <f t="shared" ca="1" si="69"/>
        <v>#NAME?</v>
      </c>
    </row>
    <row r="318" spans="1:14" x14ac:dyDescent="0.25">
      <c r="A318" s="79"/>
      <c r="B318" s="108" t="e">
        <f t="shared" ca="1" si="70"/>
        <v>#NAME?</v>
      </c>
      <c r="C318" s="109" t="e">
        <f t="shared" ca="1" si="71"/>
        <v>#NAME?</v>
      </c>
      <c r="D318" s="110" t="e">
        <f t="shared" ca="1" si="60"/>
        <v>#NAME?</v>
      </c>
      <c r="E318" s="111" t="e">
        <f t="shared" ca="1" si="61"/>
        <v>#NAME?</v>
      </c>
      <c r="F318" s="110" t="e">
        <f t="shared" ca="1" si="62"/>
        <v>#NAME?</v>
      </c>
      <c r="G318" s="112" t="e">
        <f t="shared" ca="1" si="72"/>
        <v>#NAME?</v>
      </c>
      <c r="H318" s="113" t="e">
        <f t="shared" ca="1" si="63"/>
        <v>#NAME?</v>
      </c>
      <c r="I318" s="79" t="e">
        <f t="shared" ca="1" si="64"/>
        <v>#NAME?</v>
      </c>
      <c r="J318" s="115" t="e">
        <f t="shared" ca="1" si="65"/>
        <v>#NAME?</v>
      </c>
      <c r="K318" s="78" t="e">
        <f t="shared" ca="1" si="66"/>
        <v>#NAME?</v>
      </c>
      <c r="L318" s="78" t="e">
        <f t="shared" ca="1" si="67"/>
        <v>#NAME?</v>
      </c>
      <c r="M318" s="78" t="e">
        <f t="shared" ca="1" si="68"/>
        <v>#NAME?</v>
      </c>
      <c r="N318" s="78" t="e">
        <f t="shared" ca="1" si="69"/>
        <v>#NAME?</v>
      </c>
    </row>
    <row r="319" spans="1:14" x14ac:dyDescent="0.25">
      <c r="A319" s="79"/>
      <c r="B319" s="108" t="e">
        <f t="shared" ca="1" si="70"/>
        <v>#NAME?</v>
      </c>
      <c r="C319" s="109" t="e">
        <f t="shared" ca="1" si="71"/>
        <v>#NAME?</v>
      </c>
      <c r="D319" s="110" t="e">
        <f t="shared" ca="1" si="60"/>
        <v>#NAME?</v>
      </c>
      <c r="E319" s="111" t="e">
        <f t="shared" ca="1" si="61"/>
        <v>#NAME?</v>
      </c>
      <c r="F319" s="110" t="e">
        <f t="shared" ca="1" si="62"/>
        <v>#NAME?</v>
      </c>
      <c r="G319" s="112" t="e">
        <f t="shared" ca="1" si="72"/>
        <v>#NAME?</v>
      </c>
      <c r="H319" s="113" t="e">
        <f t="shared" ca="1" si="63"/>
        <v>#NAME?</v>
      </c>
      <c r="I319" s="79" t="e">
        <f t="shared" ca="1" si="64"/>
        <v>#NAME?</v>
      </c>
      <c r="J319" s="115" t="e">
        <f t="shared" ca="1" si="65"/>
        <v>#NAME?</v>
      </c>
      <c r="K319" s="78" t="e">
        <f t="shared" ca="1" si="66"/>
        <v>#NAME?</v>
      </c>
      <c r="L319" s="78" t="e">
        <f t="shared" ca="1" si="67"/>
        <v>#NAME?</v>
      </c>
      <c r="M319" s="78" t="e">
        <f t="shared" ca="1" si="68"/>
        <v>#NAME?</v>
      </c>
      <c r="N319" s="78" t="e">
        <f t="shared" ca="1" si="69"/>
        <v>#NAME?</v>
      </c>
    </row>
    <row r="320" spans="1:14" x14ac:dyDescent="0.25">
      <c r="A320" s="79"/>
      <c r="B320" s="108" t="e">
        <f t="shared" ca="1" si="70"/>
        <v>#NAME?</v>
      </c>
      <c r="C320" s="109" t="e">
        <f t="shared" ca="1" si="71"/>
        <v>#NAME?</v>
      </c>
      <c r="D320" s="110" t="e">
        <f t="shared" ca="1" si="60"/>
        <v>#NAME?</v>
      </c>
      <c r="E320" s="111" t="e">
        <f t="shared" ca="1" si="61"/>
        <v>#NAME?</v>
      </c>
      <c r="F320" s="110" t="e">
        <f t="shared" ca="1" si="62"/>
        <v>#NAME?</v>
      </c>
      <c r="G320" s="112" t="e">
        <f t="shared" ca="1" si="72"/>
        <v>#NAME?</v>
      </c>
      <c r="H320" s="113" t="e">
        <f t="shared" ca="1" si="63"/>
        <v>#NAME?</v>
      </c>
      <c r="I320" s="79" t="e">
        <f t="shared" ca="1" si="64"/>
        <v>#NAME?</v>
      </c>
      <c r="J320" s="115" t="e">
        <f t="shared" ca="1" si="65"/>
        <v>#NAME?</v>
      </c>
      <c r="K320" s="78" t="e">
        <f t="shared" ca="1" si="66"/>
        <v>#NAME?</v>
      </c>
      <c r="L320" s="78" t="e">
        <f t="shared" ca="1" si="67"/>
        <v>#NAME?</v>
      </c>
      <c r="M320" s="78" t="e">
        <f t="shared" ca="1" si="68"/>
        <v>#NAME?</v>
      </c>
      <c r="N320" s="78" t="e">
        <f t="shared" ca="1" si="69"/>
        <v>#NAME?</v>
      </c>
    </row>
    <row r="321" spans="1:14" x14ac:dyDescent="0.25">
      <c r="A321" s="79"/>
      <c r="B321" s="108" t="e">
        <f t="shared" ca="1" si="70"/>
        <v>#NAME?</v>
      </c>
      <c r="C321" s="109" t="e">
        <f t="shared" ca="1" si="71"/>
        <v>#NAME?</v>
      </c>
      <c r="D321" s="110" t="e">
        <f t="shared" ca="1" si="60"/>
        <v>#NAME?</v>
      </c>
      <c r="E321" s="111" t="e">
        <f t="shared" ca="1" si="61"/>
        <v>#NAME?</v>
      </c>
      <c r="F321" s="110" t="e">
        <f t="shared" ca="1" si="62"/>
        <v>#NAME?</v>
      </c>
      <c r="G321" s="112" t="e">
        <f t="shared" ca="1" si="72"/>
        <v>#NAME?</v>
      </c>
      <c r="H321" s="113" t="e">
        <f t="shared" ca="1" si="63"/>
        <v>#NAME?</v>
      </c>
      <c r="I321" s="79" t="e">
        <f t="shared" ca="1" si="64"/>
        <v>#NAME?</v>
      </c>
      <c r="J321" s="115" t="e">
        <f t="shared" ca="1" si="65"/>
        <v>#NAME?</v>
      </c>
      <c r="K321" s="78" t="e">
        <f t="shared" ca="1" si="66"/>
        <v>#NAME?</v>
      </c>
      <c r="L321" s="78" t="e">
        <f t="shared" ca="1" si="67"/>
        <v>#NAME?</v>
      </c>
      <c r="M321" s="78" t="e">
        <f t="shared" ca="1" si="68"/>
        <v>#NAME?</v>
      </c>
      <c r="N321" s="78" t="e">
        <f t="shared" ca="1" si="69"/>
        <v>#NAME?</v>
      </c>
    </row>
    <row r="322" spans="1:14" x14ac:dyDescent="0.25">
      <c r="A322" s="79"/>
      <c r="B322" s="108" t="e">
        <f t="shared" ca="1" si="70"/>
        <v>#NAME?</v>
      </c>
      <c r="C322" s="109" t="e">
        <f t="shared" ca="1" si="71"/>
        <v>#NAME?</v>
      </c>
      <c r="D322" s="110" t="e">
        <f t="shared" ca="1" si="60"/>
        <v>#NAME?</v>
      </c>
      <c r="E322" s="111" t="e">
        <f t="shared" ca="1" si="61"/>
        <v>#NAME?</v>
      </c>
      <c r="F322" s="110" t="e">
        <f t="shared" ca="1" si="62"/>
        <v>#NAME?</v>
      </c>
      <c r="G322" s="112" t="e">
        <f t="shared" ca="1" si="72"/>
        <v>#NAME?</v>
      </c>
      <c r="H322" s="113" t="e">
        <f t="shared" ca="1" si="63"/>
        <v>#NAME?</v>
      </c>
      <c r="I322" s="79" t="e">
        <f t="shared" ca="1" si="64"/>
        <v>#NAME?</v>
      </c>
      <c r="J322" s="115" t="e">
        <f t="shared" ca="1" si="65"/>
        <v>#NAME?</v>
      </c>
      <c r="K322" s="78" t="e">
        <f t="shared" ca="1" si="66"/>
        <v>#NAME?</v>
      </c>
      <c r="L322" s="78" t="e">
        <f t="shared" ca="1" si="67"/>
        <v>#NAME?</v>
      </c>
      <c r="M322" s="78" t="e">
        <f t="shared" ca="1" si="68"/>
        <v>#NAME?</v>
      </c>
      <c r="N322" s="78" t="e">
        <f t="shared" ca="1" si="69"/>
        <v>#NAME?</v>
      </c>
    </row>
    <row r="323" spans="1:14" x14ac:dyDescent="0.25">
      <c r="A323" s="79"/>
      <c r="B323" s="108" t="e">
        <f t="shared" ca="1" si="70"/>
        <v>#NAME?</v>
      </c>
      <c r="C323" s="109" t="e">
        <f t="shared" ca="1" si="71"/>
        <v>#NAME?</v>
      </c>
      <c r="D323" s="110" t="e">
        <f t="shared" ca="1" si="60"/>
        <v>#NAME?</v>
      </c>
      <c r="E323" s="111" t="e">
        <f t="shared" ca="1" si="61"/>
        <v>#NAME?</v>
      </c>
      <c r="F323" s="110" t="e">
        <f t="shared" ca="1" si="62"/>
        <v>#NAME?</v>
      </c>
      <c r="G323" s="112" t="e">
        <f t="shared" ca="1" si="72"/>
        <v>#NAME?</v>
      </c>
      <c r="H323" s="113" t="e">
        <f t="shared" ca="1" si="63"/>
        <v>#NAME?</v>
      </c>
      <c r="I323" s="79" t="e">
        <f t="shared" ca="1" si="64"/>
        <v>#NAME?</v>
      </c>
      <c r="J323" s="115" t="e">
        <f t="shared" ca="1" si="65"/>
        <v>#NAME?</v>
      </c>
      <c r="K323" s="78" t="e">
        <f t="shared" ca="1" si="66"/>
        <v>#NAME?</v>
      </c>
      <c r="L323" s="78" t="e">
        <f t="shared" ca="1" si="67"/>
        <v>#NAME?</v>
      </c>
      <c r="M323" s="78" t="e">
        <f t="shared" ca="1" si="68"/>
        <v>#NAME?</v>
      </c>
      <c r="N323" s="78" t="e">
        <f t="shared" ca="1" si="69"/>
        <v>#NAME?</v>
      </c>
    </row>
    <row r="324" spans="1:14" x14ac:dyDescent="0.25">
      <c r="A324" s="79"/>
      <c r="B324" s="108" t="e">
        <f t="shared" ca="1" si="70"/>
        <v>#NAME?</v>
      </c>
      <c r="C324" s="109" t="e">
        <f t="shared" ca="1" si="71"/>
        <v>#NAME?</v>
      </c>
      <c r="D324" s="110" t="e">
        <f t="shared" ca="1" si="60"/>
        <v>#NAME?</v>
      </c>
      <c r="E324" s="111" t="e">
        <f t="shared" ca="1" si="61"/>
        <v>#NAME?</v>
      </c>
      <c r="F324" s="110" t="e">
        <f t="shared" ca="1" si="62"/>
        <v>#NAME?</v>
      </c>
      <c r="G324" s="112" t="e">
        <f t="shared" ca="1" si="72"/>
        <v>#NAME?</v>
      </c>
      <c r="H324" s="113" t="e">
        <f t="shared" ca="1" si="63"/>
        <v>#NAME?</v>
      </c>
      <c r="I324" s="79" t="e">
        <f t="shared" ca="1" si="64"/>
        <v>#NAME?</v>
      </c>
      <c r="J324" s="115" t="e">
        <f t="shared" ca="1" si="65"/>
        <v>#NAME?</v>
      </c>
      <c r="K324" s="78" t="e">
        <f t="shared" ca="1" si="66"/>
        <v>#NAME?</v>
      </c>
      <c r="L324" s="78" t="e">
        <f t="shared" ca="1" si="67"/>
        <v>#NAME?</v>
      </c>
      <c r="M324" s="78" t="e">
        <f t="shared" ca="1" si="68"/>
        <v>#NAME?</v>
      </c>
      <c r="N324" s="78" t="e">
        <f t="shared" ca="1" si="69"/>
        <v>#NAME?</v>
      </c>
    </row>
    <row r="325" spans="1:14" x14ac:dyDescent="0.25">
      <c r="A325" s="79"/>
      <c r="B325" s="108" t="e">
        <f t="shared" ca="1" si="70"/>
        <v>#NAME?</v>
      </c>
      <c r="C325" s="109" t="e">
        <f t="shared" ca="1" si="71"/>
        <v>#NAME?</v>
      </c>
      <c r="D325" s="110" t="e">
        <f t="shared" ca="1" si="60"/>
        <v>#NAME?</v>
      </c>
      <c r="E325" s="111" t="e">
        <f t="shared" ca="1" si="61"/>
        <v>#NAME?</v>
      </c>
      <c r="F325" s="110" t="e">
        <f t="shared" ca="1" si="62"/>
        <v>#NAME?</v>
      </c>
      <c r="G325" s="112" t="e">
        <f t="shared" ca="1" si="72"/>
        <v>#NAME?</v>
      </c>
      <c r="H325" s="113" t="e">
        <f t="shared" ca="1" si="63"/>
        <v>#NAME?</v>
      </c>
      <c r="I325" s="79" t="e">
        <f t="shared" ca="1" si="64"/>
        <v>#NAME?</v>
      </c>
      <c r="J325" s="115" t="e">
        <f t="shared" ca="1" si="65"/>
        <v>#NAME?</v>
      </c>
      <c r="K325" s="78" t="e">
        <f t="shared" ca="1" si="66"/>
        <v>#NAME?</v>
      </c>
      <c r="L325" s="78" t="e">
        <f t="shared" ca="1" si="67"/>
        <v>#NAME?</v>
      </c>
      <c r="M325" s="78" t="e">
        <f t="shared" ca="1" si="68"/>
        <v>#NAME?</v>
      </c>
      <c r="N325" s="78" t="e">
        <f t="shared" ca="1" si="69"/>
        <v>#NAME?</v>
      </c>
    </row>
    <row r="326" spans="1:14" x14ac:dyDescent="0.25">
      <c r="A326" s="79"/>
      <c r="B326" s="108" t="e">
        <f t="shared" ca="1" si="70"/>
        <v>#NAME?</v>
      </c>
      <c r="C326" s="109" t="e">
        <f t="shared" ca="1" si="71"/>
        <v>#NAME?</v>
      </c>
      <c r="D326" s="110" t="e">
        <f t="shared" ca="1" si="60"/>
        <v>#NAME?</v>
      </c>
      <c r="E326" s="111" t="e">
        <f t="shared" ca="1" si="61"/>
        <v>#NAME?</v>
      </c>
      <c r="F326" s="110" t="e">
        <f t="shared" ca="1" si="62"/>
        <v>#NAME?</v>
      </c>
      <c r="G326" s="112" t="e">
        <f t="shared" ca="1" si="72"/>
        <v>#NAME?</v>
      </c>
      <c r="H326" s="113" t="e">
        <f t="shared" ca="1" si="63"/>
        <v>#NAME?</v>
      </c>
      <c r="I326" s="79" t="e">
        <f t="shared" ca="1" si="64"/>
        <v>#NAME?</v>
      </c>
      <c r="J326" s="115" t="e">
        <f t="shared" ca="1" si="65"/>
        <v>#NAME?</v>
      </c>
      <c r="K326" s="78" t="e">
        <f t="shared" ca="1" si="66"/>
        <v>#NAME?</v>
      </c>
      <c r="L326" s="78" t="e">
        <f t="shared" ca="1" si="67"/>
        <v>#NAME?</v>
      </c>
      <c r="M326" s="78" t="e">
        <f t="shared" ca="1" si="68"/>
        <v>#NAME?</v>
      </c>
      <c r="N326" s="78" t="e">
        <f t="shared" ca="1" si="69"/>
        <v>#NAME?</v>
      </c>
    </row>
    <row r="327" spans="1:14" ht="15.75" thickBot="1" x14ac:dyDescent="0.3">
      <c r="A327" s="79"/>
      <c r="B327" s="102" t="e">
        <f t="shared" ca="1" si="70"/>
        <v>#NAME?</v>
      </c>
      <c r="C327" s="103" t="e">
        <f t="shared" ca="1" si="71"/>
        <v>#NAME?</v>
      </c>
      <c r="D327" s="110" t="e">
        <f t="shared" ca="1" si="60"/>
        <v>#NAME?</v>
      </c>
      <c r="E327" s="105" t="e">
        <f t="shared" ca="1" si="61"/>
        <v>#NAME?</v>
      </c>
      <c r="F327" s="104" t="e">
        <f t="shared" ca="1" si="62"/>
        <v>#NAME?</v>
      </c>
      <c r="G327" s="106" t="e">
        <f t="shared" ca="1" si="72"/>
        <v>#NAME?</v>
      </c>
      <c r="H327" s="107" t="e">
        <f t="shared" ca="1" si="63"/>
        <v>#NAME?</v>
      </c>
      <c r="I327" s="79" t="e">
        <f t="shared" ca="1" si="64"/>
        <v>#NAME?</v>
      </c>
      <c r="J327" s="115" t="e">
        <f t="shared" ca="1" si="65"/>
        <v>#NAME?</v>
      </c>
      <c r="K327" s="78" t="e">
        <f t="shared" ca="1" si="66"/>
        <v>#NAME?</v>
      </c>
      <c r="L327" s="78" t="e">
        <f t="shared" ca="1" si="67"/>
        <v>#NAME?</v>
      </c>
      <c r="M327" s="78" t="e">
        <f t="shared" ca="1" si="68"/>
        <v>#NAME?</v>
      </c>
      <c r="N327" s="78" t="e">
        <f t="shared" ca="1" si="69"/>
        <v>#NAME?</v>
      </c>
    </row>
  </sheetData>
  <mergeCells count="42">
    <mergeCell ref="M25:M26"/>
    <mergeCell ref="N25:N26"/>
    <mergeCell ref="B24:N24"/>
    <mergeCell ref="I25:I26"/>
    <mergeCell ref="B14:C14"/>
    <mergeCell ref="J25:J26"/>
    <mergeCell ref="K25:K26"/>
    <mergeCell ref="L25:L26"/>
    <mergeCell ref="B25:B26"/>
    <mergeCell ref="C25:C26"/>
    <mergeCell ref="D25:D26"/>
    <mergeCell ref="E25:E26"/>
    <mergeCell ref="F25:F26"/>
    <mergeCell ref="G25:G26"/>
    <mergeCell ref="H25:H26"/>
    <mergeCell ref="B15:C15"/>
    <mergeCell ref="B12:C12"/>
    <mergeCell ref="G12:H12"/>
    <mergeCell ref="B13:C13"/>
    <mergeCell ref="B17:H17"/>
    <mergeCell ref="B18:B19"/>
    <mergeCell ref="C18:C19"/>
    <mergeCell ref="D18:D19"/>
    <mergeCell ref="E18:E19"/>
    <mergeCell ref="F18:F19"/>
    <mergeCell ref="G18:G19"/>
    <mergeCell ref="H18:H19"/>
    <mergeCell ref="L11:M11"/>
    <mergeCell ref="B1:C1"/>
    <mergeCell ref="B3:E3"/>
    <mergeCell ref="G3:I3"/>
    <mergeCell ref="B5:C5"/>
    <mergeCell ref="B6:C6"/>
    <mergeCell ref="G6:H6"/>
    <mergeCell ref="B7:C7"/>
    <mergeCell ref="B8:C8"/>
    <mergeCell ref="G8:H8"/>
    <mergeCell ref="B9:C9"/>
    <mergeCell ref="B10:C10"/>
    <mergeCell ref="G10:H10"/>
    <mergeCell ref="B11:C11"/>
    <mergeCell ref="G11:H11"/>
  </mergeCells>
  <conditionalFormatting sqref="D11">
    <cfRule type="expression" dxfId="0" priority="1" stopIfTrue="1">
      <formula>$I$13&lt;&gt;ROUND($I$13,0)</formula>
    </cfRule>
  </conditionalFormatting>
  <dataValidations count="2">
    <dataValidation type="list" showInputMessage="1" showErrorMessage="1" errorTitle="Erreur de saisie" error="Il faut saisir Mensuel, Trimestriel, Semestriel ou Annuel" promptTitle="Périodicité" prompt="Mensuel, Trimestriel, Semestriel ou Annuel" sqref="D9 IZ9 SV9 ACR9 AMN9 AWJ9 BGF9 BQB9 BZX9 CJT9 CTP9 DDL9 DNH9 DXD9 EGZ9 EQV9 FAR9 FKN9 FUJ9 GEF9 GOB9 GXX9 HHT9 HRP9 IBL9 ILH9 IVD9 JEZ9 JOV9 JYR9 KIN9 KSJ9 LCF9 LMB9 LVX9 MFT9 MPP9 MZL9 NJH9 NTD9 OCZ9 OMV9 OWR9 PGN9 PQJ9 QAF9 QKB9 QTX9 RDT9 RNP9 RXL9 SHH9 SRD9 TAZ9 TKV9 TUR9 UEN9 UOJ9 UYF9 VIB9 VRX9 WBT9 WLP9 WVL9 D65546 IZ65546 SV65546 ACR65546 AMN65546 AWJ65546 BGF65546 BQB65546 BZX65546 CJT65546 CTP65546 DDL65546 DNH65546 DXD65546 EGZ65546 EQV65546 FAR65546 FKN65546 FUJ65546 GEF65546 GOB65546 GXX65546 HHT65546 HRP65546 IBL65546 ILH65546 IVD65546 JEZ65546 JOV65546 JYR65546 KIN65546 KSJ65546 LCF65546 LMB65546 LVX65546 MFT65546 MPP65546 MZL65546 NJH65546 NTD65546 OCZ65546 OMV65546 OWR65546 PGN65546 PQJ65546 QAF65546 QKB65546 QTX65546 RDT65546 RNP65546 RXL65546 SHH65546 SRD65546 TAZ65546 TKV65546 TUR65546 UEN65546 UOJ65546 UYF65546 VIB65546 VRX65546 WBT65546 WLP65546 WVL65546 D131082 IZ131082 SV131082 ACR131082 AMN131082 AWJ131082 BGF131082 BQB131082 BZX131082 CJT131082 CTP131082 DDL131082 DNH131082 DXD131082 EGZ131082 EQV131082 FAR131082 FKN131082 FUJ131082 GEF131082 GOB131082 GXX131082 HHT131082 HRP131082 IBL131082 ILH131082 IVD131082 JEZ131082 JOV131082 JYR131082 KIN131082 KSJ131082 LCF131082 LMB131082 LVX131082 MFT131082 MPP131082 MZL131082 NJH131082 NTD131082 OCZ131082 OMV131082 OWR131082 PGN131082 PQJ131082 QAF131082 QKB131082 QTX131082 RDT131082 RNP131082 RXL131082 SHH131082 SRD131082 TAZ131082 TKV131082 TUR131082 UEN131082 UOJ131082 UYF131082 VIB131082 VRX131082 WBT131082 WLP131082 WVL131082 D196618 IZ196618 SV196618 ACR196618 AMN196618 AWJ196618 BGF196618 BQB196618 BZX196618 CJT196618 CTP196618 DDL196618 DNH196618 DXD196618 EGZ196618 EQV196618 FAR196618 FKN196618 FUJ196618 GEF196618 GOB196618 GXX196618 HHT196618 HRP196618 IBL196618 ILH196618 IVD196618 JEZ196618 JOV196618 JYR196618 KIN196618 KSJ196618 LCF196618 LMB196618 LVX196618 MFT196618 MPP196618 MZL196618 NJH196618 NTD196618 OCZ196618 OMV196618 OWR196618 PGN196618 PQJ196618 QAF196618 QKB196618 QTX196618 RDT196618 RNP196618 RXL196618 SHH196618 SRD196618 TAZ196618 TKV196618 TUR196618 UEN196618 UOJ196618 UYF196618 VIB196618 VRX196618 WBT196618 WLP196618 WVL196618 D262154 IZ262154 SV262154 ACR262154 AMN262154 AWJ262154 BGF262154 BQB262154 BZX262154 CJT262154 CTP262154 DDL262154 DNH262154 DXD262154 EGZ262154 EQV262154 FAR262154 FKN262154 FUJ262154 GEF262154 GOB262154 GXX262154 HHT262154 HRP262154 IBL262154 ILH262154 IVD262154 JEZ262154 JOV262154 JYR262154 KIN262154 KSJ262154 LCF262154 LMB262154 LVX262154 MFT262154 MPP262154 MZL262154 NJH262154 NTD262154 OCZ262154 OMV262154 OWR262154 PGN262154 PQJ262154 QAF262154 QKB262154 QTX262154 RDT262154 RNP262154 RXL262154 SHH262154 SRD262154 TAZ262154 TKV262154 TUR262154 UEN262154 UOJ262154 UYF262154 VIB262154 VRX262154 WBT262154 WLP262154 WVL262154 D327690 IZ327690 SV327690 ACR327690 AMN327690 AWJ327690 BGF327690 BQB327690 BZX327690 CJT327690 CTP327690 DDL327690 DNH327690 DXD327690 EGZ327690 EQV327690 FAR327690 FKN327690 FUJ327690 GEF327690 GOB327690 GXX327690 HHT327690 HRP327690 IBL327690 ILH327690 IVD327690 JEZ327690 JOV327690 JYR327690 KIN327690 KSJ327690 LCF327690 LMB327690 LVX327690 MFT327690 MPP327690 MZL327690 NJH327690 NTD327690 OCZ327690 OMV327690 OWR327690 PGN327690 PQJ327690 QAF327690 QKB327690 QTX327690 RDT327690 RNP327690 RXL327690 SHH327690 SRD327690 TAZ327690 TKV327690 TUR327690 UEN327690 UOJ327690 UYF327690 VIB327690 VRX327690 WBT327690 WLP327690 WVL327690 D393226 IZ393226 SV393226 ACR393226 AMN393226 AWJ393226 BGF393226 BQB393226 BZX393226 CJT393226 CTP393226 DDL393226 DNH393226 DXD393226 EGZ393226 EQV393226 FAR393226 FKN393226 FUJ393226 GEF393226 GOB393226 GXX393226 HHT393226 HRP393226 IBL393226 ILH393226 IVD393226 JEZ393226 JOV393226 JYR393226 KIN393226 KSJ393226 LCF393226 LMB393226 LVX393226 MFT393226 MPP393226 MZL393226 NJH393226 NTD393226 OCZ393226 OMV393226 OWR393226 PGN393226 PQJ393226 QAF393226 QKB393226 QTX393226 RDT393226 RNP393226 RXL393226 SHH393226 SRD393226 TAZ393226 TKV393226 TUR393226 UEN393226 UOJ393226 UYF393226 VIB393226 VRX393226 WBT393226 WLP393226 WVL393226 D458762 IZ458762 SV458762 ACR458762 AMN458762 AWJ458762 BGF458762 BQB458762 BZX458762 CJT458762 CTP458762 DDL458762 DNH458762 DXD458762 EGZ458762 EQV458762 FAR458762 FKN458762 FUJ458762 GEF458762 GOB458762 GXX458762 HHT458762 HRP458762 IBL458762 ILH458762 IVD458762 JEZ458762 JOV458762 JYR458762 KIN458762 KSJ458762 LCF458762 LMB458762 LVX458762 MFT458762 MPP458762 MZL458762 NJH458762 NTD458762 OCZ458762 OMV458762 OWR458762 PGN458762 PQJ458762 QAF458762 QKB458762 QTX458762 RDT458762 RNP458762 RXL458762 SHH458762 SRD458762 TAZ458762 TKV458762 TUR458762 UEN458762 UOJ458762 UYF458762 VIB458762 VRX458762 WBT458762 WLP458762 WVL458762 D524298 IZ524298 SV524298 ACR524298 AMN524298 AWJ524298 BGF524298 BQB524298 BZX524298 CJT524298 CTP524298 DDL524298 DNH524298 DXD524298 EGZ524298 EQV524298 FAR524298 FKN524298 FUJ524298 GEF524298 GOB524298 GXX524298 HHT524298 HRP524298 IBL524298 ILH524298 IVD524298 JEZ524298 JOV524298 JYR524298 KIN524298 KSJ524298 LCF524298 LMB524298 LVX524298 MFT524298 MPP524298 MZL524298 NJH524298 NTD524298 OCZ524298 OMV524298 OWR524298 PGN524298 PQJ524298 QAF524298 QKB524298 QTX524298 RDT524298 RNP524298 RXL524298 SHH524298 SRD524298 TAZ524298 TKV524298 TUR524298 UEN524298 UOJ524298 UYF524298 VIB524298 VRX524298 WBT524298 WLP524298 WVL524298 D589834 IZ589834 SV589834 ACR589834 AMN589834 AWJ589834 BGF589834 BQB589834 BZX589834 CJT589834 CTP589834 DDL589834 DNH589834 DXD589834 EGZ589834 EQV589834 FAR589834 FKN589834 FUJ589834 GEF589834 GOB589834 GXX589834 HHT589834 HRP589834 IBL589834 ILH589834 IVD589834 JEZ589834 JOV589834 JYR589834 KIN589834 KSJ589834 LCF589834 LMB589834 LVX589834 MFT589834 MPP589834 MZL589834 NJH589834 NTD589834 OCZ589834 OMV589834 OWR589834 PGN589834 PQJ589834 QAF589834 QKB589834 QTX589834 RDT589834 RNP589834 RXL589834 SHH589834 SRD589834 TAZ589834 TKV589834 TUR589834 UEN589834 UOJ589834 UYF589834 VIB589834 VRX589834 WBT589834 WLP589834 WVL589834 D655370 IZ655370 SV655370 ACR655370 AMN655370 AWJ655370 BGF655370 BQB655370 BZX655370 CJT655370 CTP655370 DDL655370 DNH655370 DXD655370 EGZ655370 EQV655370 FAR655370 FKN655370 FUJ655370 GEF655370 GOB655370 GXX655370 HHT655370 HRP655370 IBL655370 ILH655370 IVD655370 JEZ655370 JOV655370 JYR655370 KIN655370 KSJ655370 LCF655370 LMB655370 LVX655370 MFT655370 MPP655370 MZL655370 NJH655370 NTD655370 OCZ655370 OMV655370 OWR655370 PGN655370 PQJ655370 QAF655370 QKB655370 QTX655370 RDT655370 RNP655370 RXL655370 SHH655370 SRD655370 TAZ655370 TKV655370 TUR655370 UEN655370 UOJ655370 UYF655370 VIB655370 VRX655370 WBT655370 WLP655370 WVL655370 D720906 IZ720906 SV720906 ACR720906 AMN720906 AWJ720906 BGF720906 BQB720906 BZX720906 CJT720906 CTP720906 DDL720906 DNH720906 DXD720906 EGZ720906 EQV720906 FAR720906 FKN720906 FUJ720906 GEF720906 GOB720906 GXX720906 HHT720906 HRP720906 IBL720906 ILH720906 IVD720906 JEZ720906 JOV720906 JYR720906 KIN720906 KSJ720906 LCF720906 LMB720906 LVX720906 MFT720906 MPP720906 MZL720906 NJH720906 NTD720906 OCZ720906 OMV720906 OWR720906 PGN720906 PQJ720906 QAF720906 QKB720906 QTX720906 RDT720906 RNP720906 RXL720906 SHH720906 SRD720906 TAZ720906 TKV720906 TUR720906 UEN720906 UOJ720906 UYF720906 VIB720906 VRX720906 WBT720906 WLP720906 WVL720906 D786442 IZ786442 SV786442 ACR786442 AMN786442 AWJ786442 BGF786442 BQB786442 BZX786442 CJT786442 CTP786442 DDL786442 DNH786442 DXD786442 EGZ786442 EQV786442 FAR786442 FKN786442 FUJ786442 GEF786442 GOB786442 GXX786442 HHT786442 HRP786442 IBL786442 ILH786442 IVD786442 JEZ786442 JOV786442 JYR786442 KIN786442 KSJ786442 LCF786442 LMB786442 LVX786442 MFT786442 MPP786442 MZL786442 NJH786442 NTD786442 OCZ786442 OMV786442 OWR786442 PGN786442 PQJ786442 QAF786442 QKB786442 QTX786442 RDT786442 RNP786442 RXL786442 SHH786442 SRD786442 TAZ786442 TKV786442 TUR786442 UEN786442 UOJ786442 UYF786442 VIB786442 VRX786442 WBT786442 WLP786442 WVL786442 D851978 IZ851978 SV851978 ACR851978 AMN851978 AWJ851978 BGF851978 BQB851978 BZX851978 CJT851978 CTP851978 DDL851978 DNH851978 DXD851978 EGZ851978 EQV851978 FAR851978 FKN851978 FUJ851978 GEF851978 GOB851978 GXX851978 HHT851978 HRP851978 IBL851978 ILH851978 IVD851978 JEZ851978 JOV851978 JYR851978 KIN851978 KSJ851978 LCF851978 LMB851978 LVX851978 MFT851978 MPP851978 MZL851978 NJH851978 NTD851978 OCZ851978 OMV851978 OWR851978 PGN851978 PQJ851978 QAF851978 QKB851978 QTX851978 RDT851978 RNP851978 RXL851978 SHH851978 SRD851978 TAZ851978 TKV851978 TUR851978 UEN851978 UOJ851978 UYF851978 VIB851978 VRX851978 WBT851978 WLP851978 WVL851978 D917514 IZ917514 SV917514 ACR917514 AMN917514 AWJ917514 BGF917514 BQB917514 BZX917514 CJT917514 CTP917514 DDL917514 DNH917514 DXD917514 EGZ917514 EQV917514 FAR917514 FKN917514 FUJ917514 GEF917514 GOB917514 GXX917514 HHT917514 HRP917514 IBL917514 ILH917514 IVD917514 JEZ917514 JOV917514 JYR917514 KIN917514 KSJ917514 LCF917514 LMB917514 LVX917514 MFT917514 MPP917514 MZL917514 NJH917514 NTD917514 OCZ917514 OMV917514 OWR917514 PGN917514 PQJ917514 QAF917514 QKB917514 QTX917514 RDT917514 RNP917514 RXL917514 SHH917514 SRD917514 TAZ917514 TKV917514 TUR917514 UEN917514 UOJ917514 UYF917514 VIB917514 VRX917514 WBT917514 WLP917514 WVL917514 D983050 IZ983050 SV983050 ACR983050 AMN983050 AWJ983050 BGF983050 BQB983050 BZX983050 CJT983050 CTP983050 DDL983050 DNH983050 DXD983050 EGZ983050 EQV983050 FAR983050 FKN983050 FUJ983050 GEF983050 GOB983050 GXX983050 HHT983050 HRP983050 IBL983050 ILH983050 IVD983050 JEZ983050 JOV983050 JYR983050 KIN983050 KSJ983050 LCF983050 LMB983050 LVX983050 MFT983050 MPP983050 MZL983050 NJH983050 NTD983050 OCZ983050 OMV983050 OWR983050 PGN983050 PQJ983050 QAF983050 QKB983050 QTX983050 RDT983050 RNP983050 RXL983050 SHH983050 SRD983050 TAZ983050 TKV983050 TUR983050 UEN983050 UOJ983050 UYF983050 VIB983050 VRX983050 WBT983050 WLP983050 WVL983050 N11">
      <formula1>"Mensuel,Trimestriel,Semestriel,Annuel"</formula1>
    </dataValidation>
    <dataValidation type="list" showInputMessage="1" showErrorMessage="1" errorTitle="Erreur de saisie" error="Il faut saisir Actuariel ou Proportionnel" promptTitle="Type de taux" prompt="Actuariel ou Proportionnel" sqref="E6 JA6 SW6 ACS6 AMO6 AWK6 BGG6 BQC6 BZY6 CJU6 CTQ6 DDM6 DNI6 DXE6 EHA6 EQW6 FAS6 FKO6 FUK6 GEG6 GOC6 GXY6 HHU6 HRQ6 IBM6 ILI6 IVE6 JFA6 JOW6 JYS6 KIO6 KSK6 LCG6 LMC6 LVY6 MFU6 MPQ6 MZM6 NJI6 NTE6 ODA6 OMW6 OWS6 PGO6 PQK6 QAG6 QKC6 QTY6 RDU6 RNQ6 RXM6 SHI6 SRE6 TBA6 TKW6 TUS6 UEO6 UOK6 UYG6 VIC6 VRY6 WBU6 WLQ6 WVM6 E65543 JA65543 SW65543 ACS65543 AMO65543 AWK65543 BGG65543 BQC65543 BZY65543 CJU65543 CTQ65543 DDM65543 DNI65543 DXE65543 EHA65543 EQW65543 FAS65543 FKO65543 FUK65543 GEG65543 GOC65543 GXY65543 HHU65543 HRQ65543 IBM65543 ILI65543 IVE65543 JFA65543 JOW65543 JYS65543 KIO65543 KSK65543 LCG65543 LMC65543 LVY65543 MFU65543 MPQ65543 MZM65543 NJI65543 NTE65543 ODA65543 OMW65543 OWS65543 PGO65543 PQK65543 QAG65543 QKC65543 QTY65543 RDU65543 RNQ65543 RXM65543 SHI65543 SRE65543 TBA65543 TKW65543 TUS65543 UEO65543 UOK65543 UYG65543 VIC65543 VRY65543 WBU65543 WLQ65543 WVM65543 E131079 JA131079 SW131079 ACS131079 AMO131079 AWK131079 BGG131079 BQC131079 BZY131079 CJU131079 CTQ131079 DDM131079 DNI131079 DXE131079 EHA131079 EQW131079 FAS131079 FKO131079 FUK131079 GEG131079 GOC131079 GXY131079 HHU131079 HRQ131079 IBM131079 ILI131079 IVE131079 JFA131079 JOW131079 JYS131079 KIO131079 KSK131079 LCG131079 LMC131079 LVY131079 MFU131079 MPQ131079 MZM131079 NJI131079 NTE131079 ODA131079 OMW131079 OWS131079 PGO131079 PQK131079 QAG131079 QKC131079 QTY131079 RDU131079 RNQ131079 RXM131079 SHI131079 SRE131079 TBA131079 TKW131079 TUS131079 UEO131079 UOK131079 UYG131079 VIC131079 VRY131079 WBU131079 WLQ131079 WVM131079 E196615 JA196615 SW196615 ACS196615 AMO196615 AWK196615 BGG196615 BQC196615 BZY196615 CJU196615 CTQ196615 DDM196615 DNI196615 DXE196615 EHA196615 EQW196615 FAS196615 FKO196615 FUK196615 GEG196615 GOC196615 GXY196615 HHU196615 HRQ196615 IBM196615 ILI196615 IVE196615 JFA196615 JOW196615 JYS196615 KIO196615 KSK196615 LCG196615 LMC196615 LVY196615 MFU196615 MPQ196615 MZM196615 NJI196615 NTE196615 ODA196615 OMW196615 OWS196615 PGO196615 PQK196615 QAG196615 QKC196615 QTY196615 RDU196615 RNQ196615 RXM196615 SHI196615 SRE196615 TBA196615 TKW196615 TUS196615 UEO196615 UOK196615 UYG196615 VIC196615 VRY196615 WBU196615 WLQ196615 WVM196615 E262151 JA262151 SW262151 ACS262151 AMO262151 AWK262151 BGG262151 BQC262151 BZY262151 CJU262151 CTQ262151 DDM262151 DNI262151 DXE262151 EHA262151 EQW262151 FAS262151 FKO262151 FUK262151 GEG262151 GOC262151 GXY262151 HHU262151 HRQ262151 IBM262151 ILI262151 IVE262151 JFA262151 JOW262151 JYS262151 KIO262151 KSK262151 LCG262151 LMC262151 LVY262151 MFU262151 MPQ262151 MZM262151 NJI262151 NTE262151 ODA262151 OMW262151 OWS262151 PGO262151 PQK262151 QAG262151 QKC262151 QTY262151 RDU262151 RNQ262151 RXM262151 SHI262151 SRE262151 TBA262151 TKW262151 TUS262151 UEO262151 UOK262151 UYG262151 VIC262151 VRY262151 WBU262151 WLQ262151 WVM262151 E327687 JA327687 SW327687 ACS327687 AMO327687 AWK327687 BGG327687 BQC327687 BZY327687 CJU327687 CTQ327687 DDM327687 DNI327687 DXE327687 EHA327687 EQW327687 FAS327687 FKO327687 FUK327687 GEG327687 GOC327687 GXY327687 HHU327687 HRQ327687 IBM327687 ILI327687 IVE327687 JFA327687 JOW327687 JYS327687 KIO327687 KSK327687 LCG327687 LMC327687 LVY327687 MFU327687 MPQ327687 MZM327687 NJI327687 NTE327687 ODA327687 OMW327687 OWS327687 PGO327687 PQK327687 QAG327687 QKC327687 QTY327687 RDU327687 RNQ327687 RXM327687 SHI327687 SRE327687 TBA327687 TKW327687 TUS327687 UEO327687 UOK327687 UYG327687 VIC327687 VRY327687 WBU327687 WLQ327687 WVM327687 E393223 JA393223 SW393223 ACS393223 AMO393223 AWK393223 BGG393223 BQC393223 BZY393223 CJU393223 CTQ393223 DDM393223 DNI393223 DXE393223 EHA393223 EQW393223 FAS393223 FKO393223 FUK393223 GEG393223 GOC393223 GXY393223 HHU393223 HRQ393223 IBM393223 ILI393223 IVE393223 JFA393223 JOW393223 JYS393223 KIO393223 KSK393223 LCG393223 LMC393223 LVY393223 MFU393223 MPQ393223 MZM393223 NJI393223 NTE393223 ODA393223 OMW393223 OWS393223 PGO393223 PQK393223 QAG393223 QKC393223 QTY393223 RDU393223 RNQ393223 RXM393223 SHI393223 SRE393223 TBA393223 TKW393223 TUS393223 UEO393223 UOK393223 UYG393223 VIC393223 VRY393223 WBU393223 WLQ393223 WVM393223 E458759 JA458759 SW458759 ACS458759 AMO458759 AWK458759 BGG458759 BQC458759 BZY458759 CJU458759 CTQ458759 DDM458759 DNI458759 DXE458759 EHA458759 EQW458759 FAS458759 FKO458759 FUK458759 GEG458759 GOC458759 GXY458759 HHU458759 HRQ458759 IBM458759 ILI458759 IVE458759 JFA458759 JOW458759 JYS458759 KIO458759 KSK458759 LCG458759 LMC458759 LVY458759 MFU458759 MPQ458759 MZM458759 NJI458759 NTE458759 ODA458759 OMW458759 OWS458759 PGO458759 PQK458759 QAG458759 QKC458759 QTY458759 RDU458759 RNQ458759 RXM458759 SHI458759 SRE458759 TBA458759 TKW458759 TUS458759 UEO458759 UOK458759 UYG458759 VIC458759 VRY458759 WBU458759 WLQ458759 WVM458759 E524295 JA524295 SW524295 ACS524295 AMO524295 AWK524295 BGG524295 BQC524295 BZY524295 CJU524295 CTQ524295 DDM524295 DNI524295 DXE524295 EHA524295 EQW524295 FAS524295 FKO524295 FUK524295 GEG524295 GOC524295 GXY524295 HHU524295 HRQ524295 IBM524295 ILI524295 IVE524295 JFA524295 JOW524295 JYS524295 KIO524295 KSK524295 LCG524295 LMC524295 LVY524295 MFU524295 MPQ524295 MZM524295 NJI524295 NTE524295 ODA524295 OMW524295 OWS524295 PGO524295 PQK524295 QAG524295 QKC524295 QTY524295 RDU524295 RNQ524295 RXM524295 SHI524295 SRE524295 TBA524295 TKW524295 TUS524295 UEO524295 UOK524295 UYG524295 VIC524295 VRY524295 WBU524295 WLQ524295 WVM524295 E589831 JA589831 SW589831 ACS589831 AMO589831 AWK589831 BGG589831 BQC589831 BZY589831 CJU589831 CTQ589831 DDM589831 DNI589831 DXE589831 EHA589831 EQW589831 FAS589831 FKO589831 FUK589831 GEG589831 GOC589831 GXY589831 HHU589831 HRQ589831 IBM589831 ILI589831 IVE589831 JFA589831 JOW589831 JYS589831 KIO589831 KSK589831 LCG589831 LMC589831 LVY589831 MFU589831 MPQ589831 MZM589831 NJI589831 NTE589831 ODA589831 OMW589831 OWS589831 PGO589831 PQK589831 QAG589831 QKC589831 QTY589831 RDU589831 RNQ589831 RXM589831 SHI589831 SRE589831 TBA589831 TKW589831 TUS589831 UEO589831 UOK589831 UYG589831 VIC589831 VRY589831 WBU589831 WLQ589831 WVM589831 E655367 JA655367 SW655367 ACS655367 AMO655367 AWK655367 BGG655367 BQC655367 BZY655367 CJU655367 CTQ655367 DDM655367 DNI655367 DXE655367 EHA655367 EQW655367 FAS655367 FKO655367 FUK655367 GEG655367 GOC655367 GXY655367 HHU655367 HRQ655367 IBM655367 ILI655367 IVE655367 JFA655367 JOW655367 JYS655367 KIO655367 KSK655367 LCG655367 LMC655367 LVY655367 MFU655367 MPQ655367 MZM655367 NJI655367 NTE655367 ODA655367 OMW655367 OWS655367 PGO655367 PQK655367 QAG655367 QKC655367 QTY655367 RDU655367 RNQ655367 RXM655367 SHI655367 SRE655367 TBA655367 TKW655367 TUS655367 UEO655367 UOK655367 UYG655367 VIC655367 VRY655367 WBU655367 WLQ655367 WVM655367 E720903 JA720903 SW720903 ACS720903 AMO720903 AWK720903 BGG720903 BQC720903 BZY720903 CJU720903 CTQ720903 DDM720903 DNI720903 DXE720903 EHA720903 EQW720903 FAS720903 FKO720903 FUK720903 GEG720903 GOC720903 GXY720903 HHU720903 HRQ720903 IBM720903 ILI720903 IVE720903 JFA720903 JOW720903 JYS720903 KIO720903 KSK720903 LCG720903 LMC720903 LVY720903 MFU720903 MPQ720903 MZM720903 NJI720903 NTE720903 ODA720903 OMW720903 OWS720903 PGO720903 PQK720903 QAG720903 QKC720903 QTY720903 RDU720903 RNQ720903 RXM720903 SHI720903 SRE720903 TBA720903 TKW720903 TUS720903 UEO720903 UOK720903 UYG720903 VIC720903 VRY720903 WBU720903 WLQ720903 WVM720903 E786439 JA786439 SW786439 ACS786439 AMO786439 AWK786439 BGG786439 BQC786439 BZY786439 CJU786439 CTQ786439 DDM786439 DNI786439 DXE786439 EHA786439 EQW786439 FAS786439 FKO786439 FUK786439 GEG786439 GOC786439 GXY786439 HHU786439 HRQ786439 IBM786439 ILI786439 IVE786439 JFA786439 JOW786439 JYS786439 KIO786439 KSK786439 LCG786439 LMC786439 LVY786439 MFU786439 MPQ786439 MZM786439 NJI786439 NTE786439 ODA786439 OMW786439 OWS786439 PGO786439 PQK786439 QAG786439 QKC786439 QTY786439 RDU786439 RNQ786439 RXM786439 SHI786439 SRE786439 TBA786439 TKW786439 TUS786439 UEO786439 UOK786439 UYG786439 VIC786439 VRY786439 WBU786439 WLQ786439 WVM786439 E851975 JA851975 SW851975 ACS851975 AMO851975 AWK851975 BGG851975 BQC851975 BZY851975 CJU851975 CTQ851975 DDM851975 DNI851975 DXE851975 EHA851975 EQW851975 FAS851975 FKO851975 FUK851975 GEG851975 GOC851975 GXY851975 HHU851975 HRQ851975 IBM851975 ILI851975 IVE851975 JFA851975 JOW851975 JYS851975 KIO851975 KSK851975 LCG851975 LMC851975 LVY851975 MFU851975 MPQ851975 MZM851975 NJI851975 NTE851975 ODA851975 OMW851975 OWS851975 PGO851975 PQK851975 QAG851975 QKC851975 QTY851975 RDU851975 RNQ851975 RXM851975 SHI851975 SRE851975 TBA851975 TKW851975 TUS851975 UEO851975 UOK851975 UYG851975 VIC851975 VRY851975 WBU851975 WLQ851975 WVM851975 E917511 JA917511 SW917511 ACS917511 AMO917511 AWK917511 BGG917511 BQC917511 BZY917511 CJU917511 CTQ917511 DDM917511 DNI917511 DXE917511 EHA917511 EQW917511 FAS917511 FKO917511 FUK917511 GEG917511 GOC917511 GXY917511 HHU917511 HRQ917511 IBM917511 ILI917511 IVE917511 JFA917511 JOW917511 JYS917511 KIO917511 KSK917511 LCG917511 LMC917511 LVY917511 MFU917511 MPQ917511 MZM917511 NJI917511 NTE917511 ODA917511 OMW917511 OWS917511 PGO917511 PQK917511 QAG917511 QKC917511 QTY917511 RDU917511 RNQ917511 RXM917511 SHI917511 SRE917511 TBA917511 TKW917511 TUS917511 UEO917511 UOK917511 UYG917511 VIC917511 VRY917511 WBU917511 WLQ917511 WVM917511 E983047 JA983047 SW983047 ACS983047 AMO983047 AWK983047 BGG983047 BQC983047 BZY983047 CJU983047 CTQ983047 DDM983047 DNI983047 DXE983047 EHA983047 EQW983047 FAS983047 FKO983047 FUK983047 GEG983047 GOC983047 GXY983047 HHU983047 HRQ983047 IBM983047 ILI983047 IVE983047 JFA983047 JOW983047 JYS983047 KIO983047 KSK983047 LCG983047 LMC983047 LVY983047 MFU983047 MPQ983047 MZM983047 NJI983047 NTE983047 ODA983047 OMW983047 OWS983047 PGO983047 PQK983047 QAG983047 QKC983047 QTY983047 RDU983047 RNQ983047 RXM983047 SHI983047 SRE983047 TBA983047 TKW983047 TUS983047 UEO983047 UOK983047 UYG983047 VIC983047 VRY983047 WBU983047 WLQ983047 WVM983047">
      <formula1>"Proportionnel,Actuariel"</formula1>
    </dataValidation>
  </dataValidation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125</vt:i4>
      </vt:variant>
    </vt:vector>
  </HeadingPairs>
  <TitlesOfParts>
    <vt:vector size="128" baseType="lpstr">
      <vt:lpstr>Feuil1</vt:lpstr>
      <vt:lpstr>Feuil4</vt:lpstr>
      <vt:lpstr>Feuil5</vt:lpstr>
      <vt:lpstr>acc2_</vt:lpstr>
      <vt:lpstr>alpha</vt:lpstr>
      <vt:lpstr>am</vt:lpstr>
      <vt:lpstr>am_1</vt:lpstr>
      <vt:lpstr>am_10</vt:lpstr>
      <vt:lpstr>am_11</vt:lpstr>
      <vt:lpstr>am_12</vt:lpstr>
      <vt:lpstr>am_13</vt:lpstr>
      <vt:lpstr>am_14</vt:lpstr>
      <vt:lpstr>am_15</vt:lpstr>
      <vt:lpstr>am_16</vt:lpstr>
      <vt:lpstr>am_17</vt:lpstr>
      <vt:lpstr>am_18</vt:lpstr>
      <vt:lpstr>am_19</vt:lpstr>
      <vt:lpstr>am_2</vt:lpstr>
      <vt:lpstr>am_20</vt:lpstr>
      <vt:lpstr>am_21</vt:lpstr>
      <vt:lpstr>am_3</vt:lpstr>
      <vt:lpstr>am_4</vt:lpstr>
      <vt:lpstr>am_5</vt:lpstr>
      <vt:lpstr>am_6</vt:lpstr>
      <vt:lpstr>am_7</vt:lpstr>
      <vt:lpstr>am_8</vt:lpstr>
      <vt:lpstr>am_9</vt:lpstr>
      <vt:lpstr>am_n_1</vt:lpstr>
      <vt:lpstr>am_n_10</vt:lpstr>
      <vt:lpstr>am_n_11</vt:lpstr>
      <vt:lpstr>am_n_12</vt:lpstr>
      <vt:lpstr>am_n_13</vt:lpstr>
      <vt:lpstr>am_n_14</vt:lpstr>
      <vt:lpstr>am_n_15</vt:lpstr>
      <vt:lpstr>am_n_16</vt:lpstr>
      <vt:lpstr>am_n_17</vt:lpstr>
      <vt:lpstr>am_n_18</vt:lpstr>
      <vt:lpstr>am_n_19</vt:lpstr>
      <vt:lpstr>am_n_2</vt:lpstr>
      <vt:lpstr>am_n_2_1</vt:lpstr>
      <vt:lpstr>am_n_2_10</vt:lpstr>
      <vt:lpstr>am_n_2_11</vt:lpstr>
      <vt:lpstr>am_n_2_12</vt:lpstr>
      <vt:lpstr>am_n_2_13</vt:lpstr>
      <vt:lpstr>am_n_2_14</vt:lpstr>
      <vt:lpstr>am_n_2_15</vt:lpstr>
      <vt:lpstr>am_n_2_16</vt:lpstr>
      <vt:lpstr>am_n_2_17</vt:lpstr>
      <vt:lpstr>am_n_2_18</vt:lpstr>
      <vt:lpstr>am_n_2_19</vt:lpstr>
      <vt:lpstr>am_n_2_2</vt:lpstr>
      <vt:lpstr>am_n_2_20</vt:lpstr>
      <vt:lpstr>am_n_2_3</vt:lpstr>
      <vt:lpstr>am_n_2_4</vt:lpstr>
      <vt:lpstr>am_n_2_5</vt:lpstr>
      <vt:lpstr>am_n_2_6</vt:lpstr>
      <vt:lpstr>am_n_2_7</vt:lpstr>
      <vt:lpstr>am_n_2_8</vt:lpstr>
      <vt:lpstr>am_n_2_9</vt:lpstr>
      <vt:lpstr>am_n_20</vt:lpstr>
      <vt:lpstr>am_n_3</vt:lpstr>
      <vt:lpstr>am_n_4</vt:lpstr>
      <vt:lpstr>am_n_5</vt:lpstr>
      <vt:lpstr>am_n_6</vt:lpstr>
      <vt:lpstr>am_n_7</vt:lpstr>
      <vt:lpstr>am_n_8</vt:lpstr>
      <vt:lpstr>am_n_9</vt:lpstr>
      <vt:lpstr>amn_1</vt:lpstr>
      <vt:lpstr>amn_10</vt:lpstr>
      <vt:lpstr>amn_11</vt:lpstr>
      <vt:lpstr>amn_12</vt:lpstr>
      <vt:lpstr>amn_13</vt:lpstr>
      <vt:lpstr>amn_14</vt:lpstr>
      <vt:lpstr>amn_15</vt:lpstr>
      <vt:lpstr>amn_16</vt:lpstr>
      <vt:lpstr>amn_17</vt:lpstr>
      <vt:lpstr>amn_18</vt:lpstr>
      <vt:lpstr>amn_19</vt:lpstr>
      <vt:lpstr>amn_2</vt:lpstr>
      <vt:lpstr>amn_20</vt:lpstr>
      <vt:lpstr>amn_21</vt:lpstr>
      <vt:lpstr>amn_3</vt:lpstr>
      <vt:lpstr>amn_4</vt:lpstr>
      <vt:lpstr>amn_5</vt:lpstr>
      <vt:lpstr>amn_6</vt:lpstr>
      <vt:lpstr>amn_7</vt:lpstr>
      <vt:lpstr>amn_8</vt:lpstr>
      <vt:lpstr>amn_9</vt:lpstr>
      <vt:lpstr>dateeffet</vt:lpstr>
      <vt:lpstr>datenaissance</vt:lpstr>
      <vt:lpstr>Différé</vt:lpstr>
      <vt:lpstr>fg</vt:lpstr>
      <vt:lpstr>frac</vt:lpstr>
      <vt:lpstr>fractionnelentrente</vt:lpstr>
      <vt:lpstr>Frais_sur_versement</vt:lpstr>
      <vt:lpstr>fraisacquisition</vt:lpstr>
      <vt:lpstr>FraisF</vt:lpstr>
      <vt:lpstr>FraisV</vt:lpstr>
      <vt:lpstr>gg</vt:lpstr>
      <vt:lpstr>gpp</vt:lpstr>
      <vt:lpstr>grr</vt:lpstr>
      <vt:lpstr>i</vt:lpstr>
      <vt:lpstr>k</vt:lpstr>
      <vt:lpstr>m</vt:lpstr>
      <vt:lpstr>majoration</vt:lpstr>
      <vt:lpstr>montantcapital</vt:lpstr>
      <vt:lpstr>MtEch</vt:lpstr>
      <vt:lpstr>MtEmprunt</vt:lpstr>
      <vt:lpstr>n</vt:lpstr>
      <vt:lpstr>NbEch</vt:lpstr>
      <vt:lpstr>NbEchAn</vt:lpstr>
      <vt:lpstr>P</vt:lpstr>
      <vt:lpstr>period</vt:lpstr>
      <vt:lpstr>Periodicité</vt:lpstr>
      <vt:lpstr>Periodicitérente</vt:lpstr>
      <vt:lpstr>prcred</vt:lpstr>
      <vt:lpstr>primecommercialeannuelle</vt:lpstr>
      <vt:lpstr>rd</vt:lpstr>
      <vt:lpstr>rd_2</vt:lpstr>
      <vt:lpstr>rv</vt:lpstr>
      <vt:lpstr>t_2</vt:lpstr>
      <vt:lpstr>tf</vt:lpstr>
      <vt:lpstr>txpen_rachat</vt:lpstr>
      <vt:lpstr>TxPer</vt:lpstr>
      <vt:lpstr>u</vt:lpstr>
      <vt:lpstr>v</vt:lpstr>
      <vt:lpstr>Veillissement</vt:lpstr>
      <vt:lpstr>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junior lonkeng</dc:creator>
  <cp:lastModifiedBy>junior lonkeng</cp:lastModifiedBy>
  <cp:lastPrinted>2019-10-03T10:02:24Z</cp:lastPrinted>
  <dcterms:created xsi:type="dcterms:W3CDTF">2019-09-14T05:39:20Z</dcterms:created>
  <dcterms:modified xsi:type="dcterms:W3CDTF">2019-11-07T17:28:01Z</dcterms:modified>
</cp:coreProperties>
</file>